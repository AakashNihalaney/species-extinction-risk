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akash/Documents/VT/Sem 8/ABIA/PR3_Team04/"/>
    </mc:Choice>
  </mc:AlternateContent>
  <xr:revisionPtr revIDLastSave="0" documentId="13_ncr:1_{8695E337-62DE-9D47-ADC6-F1D8BC550B97}" xr6:coauthVersionLast="47" xr6:coauthVersionMax="47" xr10:uidLastSave="{00000000-0000-0000-0000-000000000000}"/>
  <bookViews>
    <workbookView xWindow="4340" yWindow="500" windowWidth="20120" windowHeight="17500" activeTab="4" xr2:uid="{0371A298-7998-4DC8-9BA6-08F3B34022FE}"/>
  </bookViews>
  <sheets>
    <sheet name="data" sheetId="1" r:id="rId1"/>
    <sheet name="Training" sheetId="2" r:id="rId2"/>
    <sheet name="Validation" sheetId="5" r:id="rId3"/>
    <sheet name="ROC" sheetId="3" r:id="rId4"/>
    <sheet name="Lif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2" i="5" l="1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L792" i="2"/>
  <c r="M792" i="2"/>
  <c r="L793" i="2"/>
  <c r="M793" i="2"/>
  <c r="L794" i="2"/>
  <c r="M794" i="2"/>
  <c r="L795" i="2"/>
  <c r="M795" i="2"/>
  <c r="L796" i="2"/>
  <c r="M796" i="2"/>
  <c r="L797" i="2"/>
  <c r="M797" i="2"/>
  <c r="L798" i="2"/>
  <c r="M798" i="2"/>
  <c r="L799" i="2"/>
  <c r="M799" i="2"/>
  <c r="L800" i="2"/>
  <c r="M800" i="2"/>
  <c r="L801" i="2"/>
  <c r="M801" i="2"/>
  <c r="L802" i="2"/>
  <c r="M802" i="2"/>
  <c r="L803" i="2"/>
  <c r="M803" i="2"/>
  <c r="L804" i="2"/>
  <c r="M804" i="2"/>
  <c r="L805" i="2"/>
  <c r="M805" i="2"/>
  <c r="L806" i="2"/>
  <c r="M806" i="2"/>
  <c r="L807" i="2"/>
  <c r="M807" i="2"/>
  <c r="L808" i="2"/>
  <c r="M808" i="2"/>
  <c r="L809" i="2"/>
  <c r="M809" i="2"/>
  <c r="L810" i="2"/>
  <c r="M810" i="2"/>
  <c r="L811" i="2"/>
  <c r="M811" i="2"/>
  <c r="L812" i="2"/>
  <c r="M812" i="2"/>
  <c r="L813" i="2"/>
  <c r="M813" i="2"/>
  <c r="L814" i="2"/>
  <c r="M814" i="2"/>
  <c r="L815" i="2"/>
  <c r="M815" i="2"/>
  <c r="L816" i="2"/>
  <c r="M816" i="2"/>
  <c r="L817" i="2"/>
  <c r="M817" i="2"/>
  <c r="L818" i="2"/>
  <c r="M818" i="2"/>
  <c r="L819" i="2"/>
  <c r="M819" i="2"/>
  <c r="L820" i="2"/>
  <c r="M820" i="2"/>
  <c r="L821" i="2"/>
  <c r="M821" i="2"/>
  <c r="L822" i="2"/>
  <c r="M822" i="2"/>
  <c r="L823" i="2"/>
  <c r="M823" i="2"/>
  <c r="L824" i="2"/>
  <c r="M824" i="2"/>
  <c r="L825" i="2"/>
  <c r="M825" i="2"/>
  <c r="L826" i="2"/>
  <c r="M826" i="2"/>
  <c r="L827" i="2"/>
  <c r="M827" i="2"/>
  <c r="L828" i="2"/>
  <c r="M828" i="2"/>
  <c r="L829" i="2"/>
  <c r="M829" i="2"/>
  <c r="L830" i="2"/>
  <c r="M830" i="2"/>
  <c r="L831" i="2"/>
  <c r="M831" i="2"/>
  <c r="L832" i="2"/>
  <c r="M832" i="2"/>
  <c r="L833" i="2"/>
  <c r="M833" i="2"/>
  <c r="L834" i="2"/>
  <c r="M834" i="2"/>
  <c r="L835" i="2"/>
  <c r="M835" i="2"/>
  <c r="L836" i="2"/>
  <c r="M836" i="2"/>
  <c r="L837" i="2"/>
  <c r="M837" i="2"/>
  <c r="L838" i="2"/>
  <c r="M838" i="2"/>
  <c r="L839" i="2"/>
  <c r="M839" i="2"/>
  <c r="L840" i="2"/>
  <c r="M840" i="2"/>
  <c r="L841" i="2"/>
  <c r="M841" i="2"/>
  <c r="L842" i="2"/>
  <c r="M842" i="2"/>
  <c r="L843" i="2"/>
  <c r="M843" i="2"/>
  <c r="L844" i="2"/>
  <c r="M844" i="2"/>
  <c r="L845" i="2"/>
  <c r="M845" i="2"/>
  <c r="L846" i="2"/>
  <c r="M846" i="2"/>
  <c r="L847" i="2"/>
  <c r="M847" i="2"/>
  <c r="L848" i="2"/>
  <c r="M848" i="2"/>
  <c r="L849" i="2"/>
  <c r="M849" i="2"/>
  <c r="L850" i="2"/>
  <c r="M850" i="2"/>
  <c r="L851" i="2"/>
  <c r="M851" i="2"/>
  <c r="L852" i="2"/>
  <c r="M852" i="2"/>
  <c r="L853" i="2"/>
  <c r="M853" i="2"/>
  <c r="L854" i="2"/>
  <c r="M854" i="2"/>
  <c r="L855" i="2"/>
  <c r="M855" i="2"/>
  <c r="L856" i="2"/>
  <c r="M856" i="2"/>
  <c r="L857" i="2"/>
  <c r="M857" i="2"/>
  <c r="L858" i="2"/>
  <c r="M858" i="2"/>
  <c r="L859" i="2"/>
  <c r="M859" i="2"/>
  <c r="L860" i="2"/>
  <c r="M860" i="2"/>
  <c r="L861" i="2"/>
  <c r="M861" i="2"/>
  <c r="L862" i="2"/>
  <c r="M862" i="2"/>
  <c r="L863" i="2"/>
  <c r="M863" i="2"/>
  <c r="L864" i="2"/>
  <c r="M864" i="2"/>
  <c r="L865" i="2"/>
  <c r="M865" i="2"/>
  <c r="L866" i="2"/>
  <c r="M866" i="2"/>
  <c r="L867" i="2"/>
  <c r="M867" i="2"/>
  <c r="L868" i="2"/>
  <c r="M868" i="2"/>
  <c r="L869" i="2"/>
  <c r="M869" i="2"/>
  <c r="L870" i="2"/>
  <c r="M870" i="2"/>
  <c r="L871" i="2"/>
  <c r="M871" i="2"/>
  <c r="L872" i="2"/>
  <c r="M872" i="2"/>
  <c r="L873" i="2"/>
  <c r="M873" i="2"/>
  <c r="L874" i="2"/>
  <c r="M874" i="2"/>
  <c r="L875" i="2"/>
  <c r="M875" i="2"/>
  <c r="L876" i="2"/>
  <c r="M876" i="2"/>
  <c r="L877" i="2"/>
  <c r="M877" i="2"/>
  <c r="L878" i="2"/>
  <c r="M878" i="2"/>
  <c r="L879" i="2"/>
  <c r="M879" i="2"/>
  <c r="L880" i="2"/>
  <c r="M880" i="2"/>
  <c r="L881" i="2"/>
  <c r="M881" i="2"/>
  <c r="L882" i="2"/>
  <c r="M882" i="2"/>
  <c r="L883" i="2"/>
  <c r="M883" i="2"/>
  <c r="L884" i="2"/>
  <c r="M884" i="2"/>
  <c r="L885" i="2"/>
  <c r="M885" i="2"/>
  <c r="L886" i="2"/>
  <c r="M886" i="2"/>
  <c r="L887" i="2"/>
  <c r="M887" i="2"/>
  <c r="L888" i="2"/>
  <c r="M888" i="2"/>
  <c r="L889" i="2"/>
  <c r="M889" i="2"/>
  <c r="L890" i="2"/>
  <c r="M890" i="2"/>
  <c r="L891" i="2"/>
  <c r="M891" i="2"/>
  <c r="L892" i="2"/>
  <c r="M892" i="2"/>
  <c r="L893" i="2"/>
  <c r="M893" i="2"/>
  <c r="L894" i="2"/>
  <c r="M894" i="2"/>
  <c r="L895" i="2"/>
  <c r="M895" i="2"/>
  <c r="L896" i="2"/>
  <c r="M896" i="2"/>
  <c r="L897" i="2"/>
  <c r="M897" i="2"/>
  <c r="L898" i="2"/>
  <c r="M898" i="2"/>
  <c r="L899" i="2"/>
  <c r="M899" i="2"/>
  <c r="L900" i="2"/>
  <c r="M900" i="2"/>
  <c r="L901" i="2"/>
  <c r="M901" i="2"/>
  <c r="L902" i="2"/>
  <c r="M902" i="2"/>
  <c r="L903" i="2"/>
  <c r="M903" i="2"/>
  <c r="L904" i="2"/>
  <c r="M904" i="2"/>
  <c r="L905" i="2"/>
  <c r="M905" i="2"/>
  <c r="L906" i="2"/>
  <c r="M906" i="2"/>
  <c r="L907" i="2"/>
  <c r="M907" i="2"/>
  <c r="L908" i="2"/>
  <c r="M908" i="2"/>
  <c r="L909" i="2"/>
  <c r="M909" i="2"/>
  <c r="L910" i="2"/>
  <c r="M910" i="2"/>
  <c r="L911" i="2"/>
  <c r="M911" i="2"/>
  <c r="L912" i="2"/>
  <c r="M912" i="2"/>
  <c r="L913" i="2"/>
  <c r="M913" i="2"/>
  <c r="L914" i="2"/>
  <c r="M914" i="2"/>
  <c r="L915" i="2"/>
  <c r="M915" i="2"/>
  <c r="L916" i="2"/>
  <c r="M916" i="2"/>
  <c r="L917" i="2"/>
  <c r="M917" i="2"/>
  <c r="L918" i="2"/>
  <c r="M918" i="2"/>
  <c r="L919" i="2"/>
  <c r="M919" i="2"/>
  <c r="L920" i="2"/>
  <c r="M920" i="2"/>
  <c r="L921" i="2"/>
  <c r="M921" i="2"/>
  <c r="L922" i="2"/>
  <c r="M922" i="2"/>
  <c r="L923" i="2"/>
  <c r="M923" i="2"/>
  <c r="L924" i="2"/>
  <c r="M924" i="2"/>
  <c r="L925" i="2"/>
  <c r="M925" i="2"/>
  <c r="L926" i="2"/>
  <c r="M926" i="2"/>
  <c r="L927" i="2"/>
  <c r="M927" i="2"/>
  <c r="L928" i="2"/>
  <c r="M928" i="2"/>
  <c r="L929" i="2"/>
  <c r="M929" i="2"/>
  <c r="L930" i="2"/>
  <c r="M930" i="2"/>
  <c r="L931" i="2"/>
  <c r="M931" i="2"/>
  <c r="L932" i="2"/>
  <c r="M932" i="2"/>
  <c r="L933" i="2"/>
  <c r="M933" i="2"/>
  <c r="L934" i="2"/>
  <c r="M934" i="2"/>
  <c r="L935" i="2"/>
  <c r="M935" i="2"/>
  <c r="L936" i="2"/>
  <c r="M936" i="2"/>
  <c r="L937" i="2"/>
  <c r="M937" i="2"/>
  <c r="L938" i="2"/>
  <c r="M938" i="2"/>
  <c r="L939" i="2"/>
  <c r="M939" i="2"/>
  <c r="L940" i="2"/>
  <c r="M940" i="2"/>
  <c r="L941" i="2"/>
  <c r="M941" i="2"/>
  <c r="L942" i="2"/>
  <c r="M942" i="2"/>
  <c r="L943" i="2"/>
  <c r="M943" i="2"/>
  <c r="L944" i="2"/>
  <c r="M944" i="2"/>
  <c r="L945" i="2"/>
  <c r="M945" i="2"/>
  <c r="L946" i="2"/>
  <c r="M946" i="2"/>
  <c r="L947" i="2"/>
  <c r="M947" i="2"/>
  <c r="L948" i="2"/>
  <c r="M948" i="2"/>
  <c r="L949" i="2"/>
  <c r="M949" i="2"/>
  <c r="L950" i="2"/>
  <c r="M950" i="2"/>
  <c r="L951" i="2"/>
  <c r="M951" i="2"/>
  <c r="L952" i="2"/>
  <c r="M952" i="2"/>
  <c r="L953" i="2"/>
  <c r="M953" i="2"/>
  <c r="L954" i="2"/>
  <c r="M954" i="2"/>
  <c r="L955" i="2"/>
  <c r="M955" i="2"/>
  <c r="L956" i="2"/>
  <c r="M956" i="2"/>
  <c r="L957" i="2"/>
  <c r="M957" i="2"/>
  <c r="L958" i="2"/>
  <c r="M958" i="2"/>
  <c r="L959" i="2"/>
  <c r="M959" i="2"/>
  <c r="L960" i="2"/>
  <c r="M960" i="2"/>
  <c r="L961" i="2"/>
  <c r="M961" i="2"/>
  <c r="L962" i="2"/>
  <c r="M962" i="2"/>
  <c r="L963" i="2"/>
  <c r="M963" i="2"/>
  <c r="L964" i="2"/>
  <c r="M964" i="2"/>
  <c r="L965" i="2"/>
  <c r="M965" i="2"/>
  <c r="L966" i="2"/>
  <c r="M966" i="2"/>
  <c r="L967" i="2"/>
  <c r="M967" i="2"/>
  <c r="L968" i="2"/>
  <c r="M968" i="2"/>
  <c r="L969" i="2"/>
  <c r="M969" i="2"/>
  <c r="L970" i="2"/>
  <c r="M970" i="2"/>
  <c r="L971" i="2"/>
  <c r="M971" i="2"/>
  <c r="L972" i="2"/>
  <c r="M972" i="2"/>
  <c r="L973" i="2"/>
  <c r="M973" i="2"/>
  <c r="L974" i="2"/>
  <c r="M974" i="2"/>
  <c r="L975" i="2"/>
  <c r="M975" i="2"/>
  <c r="L976" i="2"/>
  <c r="M976" i="2"/>
  <c r="L977" i="2"/>
  <c r="M977" i="2"/>
  <c r="L978" i="2"/>
  <c r="M978" i="2"/>
  <c r="L979" i="2"/>
  <c r="M979" i="2"/>
  <c r="L980" i="2"/>
  <c r="M980" i="2"/>
  <c r="L981" i="2"/>
  <c r="M981" i="2"/>
  <c r="L982" i="2"/>
  <c r="M982" i="2"/>
  <c r="L983" i="2"/>
  <c r="M983" i="2"/>
  <c r="L984" i="2"/>
  <c r="M984" i="2"/>
  <c r="L985" i="2"/>
  <c r="M985" i="2"/>
  <c r="L986" i="2"/>
  <c r="M986" i="2"/>
  <c r="L987" i="2"/>
  <c r="M987" i="2"/>
  <c r="L988" i="2"/>
  <c r="M988" i="2"/>
  <c r="L989" i="2"/>
  <c r="M989" i="2"/>
  <c r="L990" i="2"/>
  <c r="M990" i="2"/>
  <c r="L991" i="2"/>
  <c r="M991" i="2"/>
  <c r="L992" i="2"/>
  <c r="M992" i="2"/>
  <c r="L993" i="2"/>
  <c r="M993" i="2"/>
  <c r="L994" i="2"/>
  <c r="M994" i="2"/>
  <c r="L995" i="2"/>
  <c r="M995" i="2"/>
  <c r="L996" i="2"/>
  <c r="M996" i="2"/>
  <c r="L997" i="2"/>
  <c r="M997" i="2"/>
  <c r="L998" i="2"/>
  <c r="M998" i="2"/>
  <c r="L999" i="2"/>
  <c r="M999" i="2"/>
  <c r="L1000" i="2"/>
  <c r="M1000" i="2"/>
  <c r="L1001" i="2"/>
  <c r="M1001" i="2"/>
  <c r="L1002" i="2"/>
  <c r="M1002" i="2"/>
  <c r="L1003" i="2"/>
  <c r="M1003" i="2"/>
  <c r="L1004" i="2"/>
  <c r="M1004" i="2"/>
  <c r="L1005" i="2"/>
  <c r="M1005" i="2"/>
  <c r="L1006" i="2"/>
  <c r="M1006" i="2"/>
  <c r="L1007" i="2"/>
  <c r="M1007" i="2"/>
  <c r="L1008" i="2"/>
  <c r="M1008" i="2"/>
  <c r="L1009" i="2"/>
  <c r="M1009" i="2"/>
  <c r="L1010" i="2"/>
  <c r="M1010" i="2"/>
  <c r="L1011" i="2"/>
  <c r="M1011" i="2"/>
  <c r="L1012" i="2"/>
  <c r="M1012" i="2"/>
  <c r="L1013" i="2"/>
  <c r="M1013" i="2"/>
  <c r="L1014" i="2"/>
  <c r="M1014" i="2"/>
  <c r="L1015" i="2"/>
  <c r="M1015" i="2"/>
  <c r="L1016" i="2"/>
  <c r="M1016" i="2"/>
  <c r="L1017" i="2"/>
  <c r="M1017" i="2"/>
  <c r="L1018" i="2"/>
  <c r="M1018" i="2"/>
  <c r="L1019" i="2"/>
  <c r="M1019" i="2"/>
  <c r="L1020" i="2"/>
  <c r="M1020" i="2"/>
  <c r="L1021" i="2"/>
  <c r="M1021" i="2"/>
  <c r="L1022" i="2"/>
  <c r="M1022" i="2"/>
  <c r="L1023" i="2"/>
  <c r="M1023" i="2"/>
  <c r="L1024" i="2"/>
  <c r="M1024" i="2"/>
  <c r="L1025" i="2"/>
  <c r="M1025" i="2"/>
  <c r="L1026" i="2"/>
  <c r="M1026" i="2"/>
  <c r="L1027" i="2"/>
  <c r="M1027" i="2"/>
  <c r="L1028" i="2"/>
  <c r="M1028" i="2"/>
  <c r="L1029" i="2"/>
  <c r="M1029" i="2"/>
  <c r="L1030" i="2"/>
  <c r="M1030" i="2"/>
  <c r="L1031" i="2"/>
  <c r="M1031" i="2"/>
  <c r="L1032" i="2"/>
  <c r="M1032" i="2"/>
  <c r="L1033" i="2"/>
  <c r="M1033" i="2"/>
  <c r="L1034" i="2"/>
  <c r="M1034" i="2"/>
  <c r="L1035" i="2"/>
  <c r="M1035" i="2"/>
  <c r="L1036" i="2"/>
  <c r="M1036" i="2"/>
  <c r="L1037" i="2"/>
  <c r="M1037" i="2"/>
  <c r="L1038" i="2"/>
  <c r="M1038" i="2"/>
  <c r="L1039" i="2"/>
  <c r="M1039" i="2"/>
  <c r="L1040" i="2"/>
  <c r="M1040" i="2"/>
  <c r="L1041" i="2"/>
  <c r="M1041" i="2"/>
  <c r="L1042" i="2"/>
  <c r="M1042" i="2"/>
  <c r="L1043" i="2"/>
  <c r="M1043" i="2"/>
  <c r="L1044" i="2"/>
  <c r="M1044" i="2"/>
  <c r="L1045" i="2"/>
  <c r="M1045" i="2"/>
  <c r="L1046" i="2"/>
  <c r="M1046" i="2"/>
  <c r="L1047" i="2"/>
  <c r="M1047" i="2"/>
  <c r="L1048" i="2"/>
  <c r="M1048" i="2"/>
  <c r="L1049" i="2"/>
  <c r="M1049" i="2"/>
  <c r="L1050" i="2"/>
  <c r="M1050" i="2"/>
  <c r="L1051" i="2"/>
  <c r="M1051" i="2"/>
  <c r="L1052" i="2"/>
  <c r="M1052" i="2"/>
  <c r="L1053" i="2"/>
  <c r="M1053" i="2"/>
  <c r="L1054" i="2"/>
  <c r="M1054" i="2"/>
  <c r="L1055" i="2"/>
  <c r="M1055" i="2"/>
  <c r="L1056" i="2"/>
  <c r="M1056" i="2"/>
  <c r="L1057" i="2"/>
  <c r="M1057" i="2"/>
  <c r="L1058" i="2"/>
  <c r="M1058" i="2"/>
  <c r="L1059" i="2"/>
  <c r="M1059" i="2"/>
  <c r="L1060" i="2"/>
  <c r="M1060" i="2"/>
  <c r="L1061" i="2"/>
  <c r="M1061" i="2"/>
  <c r="L1062" i="2"/>
  <c r="M1062" i="2"/>
  <c r="L1063" i="2"/>
  <c r="M1063" i="2"/>
  <c r="L1064" i="2"/>
  <c r="M1064" i="2"/>
  <c r="L1065" i="2"/>
  <c r="M1065" i="2"/>
  <c r="L1066" i="2"/>
  <c r="M1066" i="2"/>
  <c r="L1067" i="2"/>
  <c r="M1067" i="2"/>
  <c r="L1068" i="2"/>
  <c r="M1068" i="2"/>
  <c r="L1069" i="2"/>
  <c r="M1069" i="2"/>
  <c r="L1070" i="2"/>
  <c r="M1070" i="2"/>
  <c r="L1071" i="2"/>
  <c r="M1071" i="2"/>
  <c r="L1072" i="2"/>
  <c r="M1072" i="2"/>
  <c r="L1073" i="2"/>
  <c r="M1073" i="2"/>
  <c r="L1074" i="2"/>
  <c r="M1074" i="2"/>
  <c r="L1075" i="2"/>
  <c r="M1075" i="2"/>
  <c r="L1076" i="2"/>
  <c r="M1076" i="2"/>
  <c r="L1077" i="2"/>
  <c r="M1077" i="2"/>
  <c r="L1078" i="2"/>
  <c r="M1078" i="2"/>
  <c r="L1079" i="2"/>
  <c r="M1079" i="2"/>
  <c r="L1080" i="2"/>
  <c r="M1080" i="2"/>
  <c r="L1081" i="2"/>
  <c r="M1081" i="2"/>
  <c r="L1082" i="2"/>
  <c r="M1082" i="2"/>
  <c r="L1083" i="2"/>
  <c r="M1083" i="2"/>
  <c r="L1084" i="2"/>
  <c r="M1084" i="2"/>
  <c r="L1085" i="2"/>
  <c r="M1085" i="2"/>
  <c r="L1086" i="2"/>
  <c r="M1086" i="2"/>
  <c r="L1087" i="2"/>
  <c r="M1087" i="2"/>
  <c r="L1088" i="2"/>
  <c r="M1088" i="2"/>
  <c r="L1089" i="2"/>
  <c r="M1089" i="2"/>
  <c r="L1090" i="2"/>
  <c r="M1090" i="2"/>
  <c r="L1091" i="2"/>
  <c r="M1091" i="2"/>
  <c r="L1092" i="2"/>
  <c r="M1092" i="2"/>
  <c r="L1093" i="2"/>
  <c r="M1093" i="2"/>
  <c r="L1094" i="2"/>
  <c r="M1094" i="2"/>
  <c r="L1095" i="2"/>
  <c r="M1095" i="2"/>
  <c r="L1096" i="2"/>
  <c r="M1096" i="2"/>
  <c r="L1097" i="2"/>
  <c r="M1097" i="2"/>
  <c r="L1098" i="2"/>
  <c r="M1098" i="2"/>
  <c r="L1099" i="2"/>
  <c r="M1099" i="2"/>
  <c r="L1100" i="2"/>
  <c r="M1100" i="2"/>
  <c r="L1101" i="2"/>
  <c r="M1101" i="2"/>
  <c r="L1102" i="2"/>
  <c r="M1102" i="2"/>
  <c r="L1103" i="2"/>
  <c r="M1103" i="2"/>
  <c r="L1104" i="2"/>
  <c r="M1104" i="2"/>
  <c r="L1105" i="2"/>
  <c r="M1105" i="2"/>
  <c r="L1106" i="2"/>
  <c r="M1106" i="2"/>
  <c r="L1107" i="2"/>
  <c r="M1107" i="2"/>
  <c r="L1108" i="2"/>
  <c r="M1108" i="2"/>
  <c r="L1109" i="2"/>
  <c r="M1109" i="2"/>
  <c r="L1110" i="2"/>
  <c r="M1110" i="2"/>
  <c r="L1111" i="2"/>
  <c r="M1111" i="2"/>
  <c r="L1112" i="2"/>
  <c r="M1112" i="2"/>
  <c r="L1113" i="2"/>
  <c r="M1113" i="2"/>
  <c r="L1114" i="2"/>
  <c r="M1114" i="2"/>
  <c r="L1115" i="2"/>
  <c r="M1115" i="2"/>
  <c r="L1116" i="2"/>
  <c r="M1116" i="2"/>
  <c r="L1117" i="2"/>
  <c r="M1117" i="2"/>
  <c r="L1118" i="2"/>
  <c r="M1118" i="2"/>
  <c r="L1119" i="2"/>
  <c r="M1119" i="2"/>
  <c r="L1120" i="2"/>
  <c r="M1120" i="2"/>
  <c r="L1121" i="2"/>
  <c r="M1121" i="2"/>
  <c r="L1122" i="2"/>
  <c r="M1122" i="2"/>
  <c r="L1123" i="2"/>
  <c r="M1123" i="2"/>
  <c r="L1124" i="2"/>
  <c r="M1124" i="2"/>
  <c r="L1125" i="2"/>
  <c r="M1125" i="2"/>
  <c r="L1126" i="2"/>
  <c r="M1126" i="2"/>
  <c r="L1127" i="2"/>
  <c r="M1127" i="2"/>
  <c r="L1128" i="2"/>
  <c r="M1128" i="2"/>
  <c r="L1129" i="2"/>
  <c r="M1129" i="2"/>
  <c r="L1130" i="2"/>
  <c r="M1130" i="2"/>
  <c r="L1131" i="2"/>
  <c r="M1131" i="2"/>
  <c r="L1132" i="2"/>
  <c r="M1132" i="2"/>
  <c r="L1133" i="2"/>
  <c r="M1133" i="2"/>
  <c r="L1134" i="2"/>
  <c r="M1134" i="2"/>
  <c r="L1135" i="2"/>
  <c r="M1135" i="2"/>
  <c r="L1136" i="2"/>
  <c r="M1136" i="2"/>
  <c r="L1137" i="2"/>
  <c r="M1137" i="2"/>
  <c r="L1138" i="2"/>
  <c r="M1138" i="2"/>
  <c r="L1139" i="2"/>
  <c r="M1139" i="2"/>
  <c r="L1140" i="2"/>
  <c r="M1140" i="2"/>
  <c r="L1141" i="2"/>
  <c r="M1141" i="2"/>
  <c r="L1142" i="2"/>
  <c r="M1142" i="2"/>
  <c r="L1143" i="2"/>
  <c r="M1143" i="2"/>
  <c r="L1144" i="2"/>
  <c r="M1144" i="2"/>
  <c r="L1145" i="2"/>
  <c r="M1145" i="2"/>
  <c r="L1146" i="2"/>
  <c r="M1146" i="2"/>
  <c r="L1147" i="2"/>
  <c r="M1147" i="2"/>
  <c r="L1148" i="2"/>
  <c r="M1148" i="2"/>
  <c r="L1149" i="2"/>
  <c r="M1149" i="2"/>
  <c r="L1150" i="2"/>
  <c r="M1150" i="2"/>
  <c r="L1151" i="2"/>
  <c r="M1151" i="2"/>
  <c r="L1152" i="2"/>
  <c r="M1152" i="2"/>
  <c r="L1153" i="2"/>
  <c r="M1153" i="2"/>
  <c r="L1154" i="2"/>
  <c r="M1154" i="2"/>
  <c r="L1155" i="2"/>
  <c r="M1155" i="2"/>
  <c r="L1156" i="2"/>
  <c r="M1156" i="2"/>
  <c r="L1157" i="2"/>
  <c r="M1157" i="2"/>
  <c r="L1158" i="2"/>
  <c r="M1158" i="2"/>
  <c r="L1159" i="2"/>
  <c r="M1159" i="2"/>
  <c r="L1160" i="2"/>
  <c r="M1160" i="2"/>
  <c r="L1161" i="2"/>
  <c r="M1161" i="2"/>
  <c r="L1162" i="2"/>
  <c r="M1162" i="2"/>
  <c r="L1163" i="2"/>
  <c r="M1163" i="2"/>
  <c r="L1164" i="2"/>
  <c r="M1164" i="2"/>
  <c r="L1165" i="2"/>
  <c r="M1165" i="2"/>
  <c r="L1166" i="2"/>
  <c r="M1166" i="2"/>
  <c r="L1167" i="2"/>
  <c r="M1167" i="2"/>
  <c r="L1168" i="2"/>
  <c r="M1168" i="2"/>
  <c r="L1169" i="2"/>
  <c r="M1169" i="2"/>
  <c r="L1170" i="2"/>
  <c r="M1170" i="2"/>
  <c r="L1171" i="2"/>
  <c r="M1171" i="2"/>
  <c r="L1172" i="2"/>
  <c r="M1172" i="2"/>
  <c r="L1173" i="2"/>
  <c r="M1173" i="2"/>
  <c r="L1174" i="2"/>
  <c r="M1174" i="2"/>
  <c r="L1175" i="2"/>
  <c r="M1175" i="2"/>
  <c r="L1176" i="2"/>
  <c r="M1176" i="2"/>
  <c r="L1177" i="2"/>
  <c r="M1177" i="2"/>
  <c r="L1178" i="2"/>
  <c r="M1178" i="2"/>
  <c r="L1179" i="2"/>
  <c r="M1179" i="2"/>
  <c r="L1180" i="2"/>
  <c r="M1180" i="2"/>
  <c r="L1181" i="2"/>
  <c r="M1181" i="2"/>
  <c r="L1182" i="2"/>
  <c r="M1182" i="2"/>
  <c r="L1183" i="2"/>
  <c r="M1183" i="2"/>
  <c r="L1184" i="2"/>
  <c r="M1184" i="2"/>
  <c r="L1185" i="2"/>
  <c r="M1185" i="2"/>
  <c r="L1186" i="2"/>
  <c r="M1186" i="2"/>
  <c r="L1187" i="2"/>
  <c r="M1187" i="2"/>
  <c r="L1188" i="2"/>
  <c r="M1188" i="2"/>
  <c r="L1189" i="2"/>
  <c r="M1189" i="2"/>
  <c r="L1190" i="2"/>
  <c r="M1190" i="2"/>
  <c r="L1191" i="2"/>
  <c r="M1191" i="2"/>
  <c r="L1192" i="2"/>
  <c r="M1192" i="2"/>
  <c r="L1193" i="2"/>
  <c r="M1193" i="2"/>
  <c r="L1194" i="2"/>
  <c r="M1194" i="2"/>
  <c r="L1195" i="2"/>
  <c r="M1195" i="2"/>
  <c r="L1196" i="2"/>
  <c r="M1196" i="2"/>
  <c r="L1197" i="2"/>
  <c r="M1197" i="2"/>
  <c r="L1198" i="2"/>
  <c r="M1198" i="2"/>
  <c r="L1199" i="2"/>
  <c r="M1199" i="2"/>
  <c r="L1200" i="2"/>
  <c r="M1200" i="2"/>
  <c r="L1201" i="2"/>
  <c r="M1201" i="2"/>
  <c r="L1202" i="2"/>
  <c r="M1202" i="2"/>
  <c r="L1203" i="2"/>
  <c r="M1203" i="2"/>
  <c r="L1204" i="2"/>
  <c r="M1204" i="2"/>
  <c r="L1205" i="2"/>
  <c r="M1205" i="2"/>
  <c r="L1206" i="2"/>
  <c r="M1206" i="2"/>
  <c r="L1207" i="2"/>
  <c r="M1207" i="2"/>
  <c r="L1208" i="2"/>
  <c r="M1208" i="2"/>
  <c r="L1209" i="2"/>
  <c r="M1209" i="2"/>
  <c r="L1210" i="2"/>
  <c r="M1210" i="2"/>
  <c r="L1211" i="2"/>
  <c r="M1211" i="2"/>
  <c r="L1212" i="2"/>
  <c r="M1212" i="2"/>
  <c r="L1213" i="2"/>
  <c r="M1213" i="2"/>
  <c r="L1214" i="2"/>
  <c r="M1214" i="2"/>
  <c r="L1215" i="2"/>
  <c r="M1215" i="2"/>
  <c r="L1216" i="2"/>
  <c r="M1216" i="2"/>
  <c r="L1217" i="2"/>
  <c r="M1217" i="2"/>
  <c r="L1218" i="2"/>
  <c r="M1218" i="2"/>
  <c r="L1219" i="2"/>
  <c r="M1219" i="2"/>
  <c r="L1220" i="2"/>
  <c r="M1220" i="2"/>
  <c r="L1221" i="2"/>
  <c r="M1221" i="2"/>
  <c r="L1222" i="2"/>
  <c r="M1222" i="2"/>
  <c r="L1223" i="2"/>
  <c r="M1223" i="2"/>
  <c r="L1224" i="2"/>
  <c r="M1224" i="2"/>
  <c r="L1225" i="2"/>
  <c r="M1225" i="2"/>
  <c r="L1226" i="2"/>
  <c r="M1226" i="2"/>
  <c r="L1227" i="2"/>
  <c r="M1227" i="2"/>
  <c r="L1228" i="2"/>
  <c r="M1228" i="2"/>
  <c r="L1229" i="2"/>
  <c r="M1229" i="2"/>
  <c r="L1230" i="2"/>
  <c r="M1230" i="2"/>
  <c r="L1231" i="2"/>
  <c r="M1231" i="2"/>
  <c r="L1232" i="2"/>
  <c r="M1232" i="2"/>
  <c r="L1233" i="2"/>
  <c r="M1233" i="2"/>
  <c r="L1234" i="2"/>
  <c r="M1234" i="2"/>
  <c r="L1235" i="2"/>
  <c r="M1235" i="2"/>
  <c r="L1236" i="2"/>
  <c r="M1236" i="2"/>
  <c r="L1237" i="2"/>
  <c r="M1237" i="2"/>
  <c r="L1238" i="2"/>
  <c r="M1238" i="2"/>
  <c r="L1239" i="2"/>
  <c r="M1239" i="2"/>
  <c r="L1240" i="2"/>
  <c r="M1240" i="2"/>
  <c r="L1241" i="2"/>
  <c r="M1241" i="2"/>
  <c r="L1242" i="2"/>
  <c r="M1242" i="2"/>
  <c r="L1243" i="2"/>
  <c r="M1243" i="2"/>
  <c r="L1244" i="2"/>
  <c r="M1244" i="2"/>
  <c r="L1245" i="2"/>
  <c r="M1245" i="2"/>
  <c r="L1246" i="2"/>
  <c r="M1246" i="2"/>
  <c r="L1247" i="2"/>
  <c r="M1247" i="2"/>
  <c r="L1248" i="2"/>
  <c r="M1248" i="2"/>
  <c r="L1249" i="2"/>
  <c r="M1249" i="2"/>
  <c r="L1250" i="2"/>
  <c r="M1250" i="2"/>
  <c r="L1251" i="2"/>
  <c r="M1251" i="2"/>
  <c r="L1252" i="2"/>
  <c r="M1252" i="2"/>
  <c r="L1253" i="2"/>
  <c r="M1253" i="2"/>
  <c r="L1254" i="2"/>
  <c r="M1254" i="2"/>
  <c r="L1255" i="2"/>
  <c r="M1255" i="2"/>
  <c r="L1256" i="2"/>
  <c r="M1256" i="2"/>
  <c r="L1257" i="2"/>
  <c r="M1257" i="2"/>
  <c r="L1258" i="2"/>
  <c r="M1258" i="2"/>
  <c r="L762" i="2"/>
  <c r="M762" i="2"/>
  <c r="L763" i="2"/>
  <c r="M763" i="2"/>
  <c r="L764" i="2"/>
  <c r="M764" i="2"/>
  <c r="L765" i="2"/>
  <c r="M765" i="2"/>
  <c r="L766" i="2"/>
  <c r="M766" i="2"/>
  <c r="L767" i="2"/>
  <c r="M767" i="2"/>
  <c r="L768" i="2"/>
  <c r="M768" i="2"/>
  <c r="L769" i="2"/>
  <c r="M769" i="2"/>
  <c r="L770" i="2"/>
  <c r="M770" i="2"/>
  <c r="L771" i="2"/>
  <c r="M771" i="2"/>
  <c r="L772" i="2"/>
  <c r="M772" i="2"/>
  <c r="L773" i="2"/>
  <c r="M773" i="2"/>
  <c r="L774" i="2"/>
  <c r="M774" i="2"/>
  <c r="L775" i="2"/>
  <c r="M775" i="2"/>
  <c r="L776" i="2"/>
  <c r="M776" i="2"/>
  <c r="L777" i="2"/>
  <c r="M777" i="2"/>
  <c r="L778" i="2"/>
  <c r="M778" i="2"/>
  <c r="L779" i="2"/>
  <c r="M779" i="2"/>
  <c r="L780" i="2"/>
  <c r="M780" i="2"/>
  <c r="L781" i="2"/>
  <c r="M781" i="2"/>
  <c r="L782" i="2"/>
  <c r="M782" i="2"/>
  <c r="L783" i="2"/>
  <c r="M783" i="2"/>
  <c r="L784" i="2"/>
  <c r="M784" i="2"/>
  <c r="L785" i="2"/>
  <c r="M785" i="2"/>
  <c r="L786" i="2"/>
  <c r="M786" i="2"/>
  <c r="L787" i="2"/>
  <c r="M787" i="2"/>
  <c r="L788" i="2"/>
  <c r="M788" i="2"/>
  <c r="L789" i="2"/>
  <c r="M789" i="2"/>
  <c r="L790" i="2"/>
  <c r="M790" i="2"/>
  <c r="L791" i="2"/>
  <c r="M791" i="2"/>
  <c r="L754" i="2"/>
  <c r="M754" i="2"/>
  <c r="L755" i="2"/>
  <c r="M755" i="2"/>
  <c r="L756" i="2"/>
  <c r="M756" i="2"/>
  <c r="L757" i="2"/>
  <c r="M757" i="2"/>
  <c r="L758" i="2"/>
  <c r="M758" i="2"/>
  <c r="L759" i="2"/>
  <c r="M759" i="2"/>
  <c r="L760" i="2"/>
  <c r="M760" i="2"/>
  <c r="L761" i="2"/>
  <c r="M761" i="2"/>
  <c r="L752" i="2"/>
  <c r="M752" i="2"/>
  <c r="L753" i="2"/>
  <c r="M753" i="2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M2" i="1"/>
  <c r="M42" i="5" s="1"/>
  <c r="L2" i="1"/>
  <c r="M65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B844" i="2" s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D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4" i="1"/>
  <c r="E844" i="2" l="1"/>
  <c r="F844" i="2"/>
  <c r="D844" i="2"/>
  <c r="C844" i="2"/>
  <c r="B760" i="2"/>
  <c r="C760" i="2" s="1"/>
  <c r="B755" i="2"/>
  <c r="B775" i="2"/>
  <c r="C775" i="2" s="1"/>
  <c r="B770" i="2"/>
  <c r="B763" i="2"/>
  <c r="B1239" i="2"/>
  <c r="B1237" i="2"/>
  <c r="B1230" i="2"/>
  <c r="B1226" i="2"/>
  <c r="E1226" i="2" s="1"/>
  <c r="B1217" i="2"/>
  <c r="B1212" i="2"/>
  <c r="B1208" i="2"/>
  <c r="B1201" i="2"/>
  <c r="B1192" i="2"/>
  <c r="F1192" i="2" s="1"/>
  <c r="B1184" i="2"/>
  <c r="B1169" i="2"/>
  <c r="B1052" i="2"/>
  <c r="B1049" i="2"/>
  <c r="B1018" i="2"/>
  <c r="B835" i="2"/>
  <c r="B814" i="2"/>
  <c r="C814" i="2" s="1"/>
  <c r="B788" i="2"/>
  <c r="B781" i="2"/>
  <c r="E781" i="2" s="1"/>
  <c r="B772" i="2"/>
  <c r="B1256" i="2"/>
  <c r="B1250" i="2"/>
  <c r="C1250" i="2" s="1"/>
  <c r="N1250" i="2" s="1"/>
  <c r="B1248" i="2"/>
  <c r="B1219" i="2"/>
  <c r="B1171" i="2"/>
  <c r="B1167" i="2"/>
  <c r="B1161" i="2"/>
  <c r="B1154" i="2"/>
  <c r="B1143" i="2"/>
  <c r="C1143" i="2" s="1"/>
  <c r="B1103" i="2"/>
  <c r="D1103" i="2" s="1"/>
  <c r="B1093" i="2"/>
  <c r="B1088" i="2"/>
  <c r="B1037" i="2"/>
  <c r="B967" i="2"/>
  <c r="B950" i="2"/>
  <c r="C950" i="2" s="1"/>
  <c r="B941" i="2"/>
  <c r="B924" i="2"/>
  <c r="B911" i="2"/>
  <c r="C911" i="2" s="1"/>
  <c r="B905" i="2"/>
  <c r="C905" i="2" s="1"/>
  <c r="B799" i="2"/>
  <c r="B810" i="2"/>
  <c r="D810" i="2" s="1"/>
  <c r="B828" i="2"/>
  <c r="B870" i="2"/>
  <c r="B877" i="2"/>
  <c r="B884" i="2"/>
  <c r="B886" i="2"/>
  <c r="B888" i="2"/>
  <c r="B903" i="2"/>
  <c r="B907" i="2"/>
  <c r="B795" i="2"/>
  <c r="C795" i="2" s="1"/>
  <c r="B797" i="2"/>
  <c r="C797" i="2" s="1"/>
  <c r="B803" i="2"/>
  <c r="B809" i="2"/>
  <c r="B812" i="2"/>
  <c r="B815" i="2"/>
  <c r="C815" i="2" s="1"/>
  <c r="B819" i="2"/>
  <c r="B831" i="2"/>
  <c r="B832" i="2"/>
  <c r="B841" i="2"/>
  <c r="B842" i="2"/>
  <c r="B845" i="2"/>
  <c r="B849" i="2"/>
  <c r="B862" i="2"/>
  <c r="B864" i="2"/>
  <c r="B872" i="2"/>
  <c r="B874" i="2"/>
  <c r="B876" i="2"/>
  <c r="B883" i="2"/>
  <c r="B801" i="2"/>
  <c r="C801" i="2" s="1"/>
  <c r="B824" i="2"/>
  <c r="B826" i="2"/>
  <c r="D826" i="2" s="1"/>
  <c r="B837" i="2"/>
  <c r="B838" i="2"/>
  <c r="C838" i="2" s="1"/>
  <c r="B851" i="2"/>
  <c r="B807" i="2"/>
  <c r="B817" i="2"/>
  <c r="B823" i="2"/>
  <c r="C823" i="2" s="1"/>
  <c r="B825" i="2"/>
  <c r="C825" i="2" s="1"/>
  <c r="B829" i="2"/>
  <c r="B843" i="2"/>
  <c r="B802" i="2"/>
  <c r="B811" i="2"/>
  <c r="B813" i="2"/>
  <c r="B834" i="2"/>
  <c r="B847" i="2"/>
  <c r="B852" i="2"/>
  <c r="B856" i="2"/>
  <c r="B860" i="2"/>
  <c r="B867" i="2"/>
  <c r="B881" i="2"/>
  <c r="C881" i="2" s="1"/>
  <c r="B892" i="2"/>
  <c r="B893" i="2"/>
  <c r="B902" i="2"/>
  <c r="B910" i="2"/>
  <c r="D910" i="2" s="1"/>
  <c r="B914" i="2"/>
  <c r="B937" i="2"/>
  <c r="B939" i="2"/>
  <c r="B940" i="2"/>
  <c r="B951" i="2"/>
  <c r="B952" i="2"/>
  <c r="B955" i="2"/>
  <c r="B958" i="2"/>
  <c r="F958" i="2" s="1"/>
  <c r="B968" i="2"/>
  <c r="B969" i="2"/>
  <c r="B975" i="2"/>
  <c r="B985" i="2"/>
  <c r="B986" i="2"/>
  <c r="B995" i="2"/>
  <c r="B1001" i="2"/>
  <c r="C1001" i="2" s="1"/>
  <c r="N1001" i="2" s="1"/>
  <c r="B1005" i="2"/>
  <c r="B1009" i="2"/>
  <c r="B1022" i="2"/>
  <c r="B1045" i="2"/>
  <c r="B1046" i="2"/>
  <c r="B1053" i="2"/>
  <c r="B1065" i="2"/>
  <c r="B1095" i="2"/>
  <c r="B1098" i="2"/>
  <c r="B1101" i="2"/>
  <c r="C1101" i="2" s="1"/>
  <c r="B1131" i="2"/>
  <c r="F1131" i="2" s="1"/>
  <c r="B839" i="2"/>
  <c r="B858" i="2"/>
  <c r="B869" i="2"/>
  <c r="B887" i="2"/>
  <c r="B889" i="2"/>
  <c r="B917" i="2"/>
  <c r="B932" i="2"/>
  <c r="B957" i="2"/>
  <c r="B961" i="2"/>
  <c r="B964" i="2"/>
  <c r="F964" i="2" s="1"/>
  <c r="B977" i="2"/>
  <c r="B992" i="2"/>
  <c r="F992" i="2" s="1"/>
  <c r="B1004" i="2"/>
  <c r="B1011" i="2"/>
  <c r="C1011" i="2" s="1"/>
  <c r="N1011" i="2" s="1"/>
  <c r="B1024" i="2"/>
  <c r="B1026" i="2"/>
  <c r="D1026" i="2" s="1"/>
  <c r="B1068" i="2"/>
  <c r="B1074" i="2"/>
  <c r="B1075" i="2"/>
  <c r="B1080" i="2"/>
  <c r="B1086" i="2"/>
  <c r="D1086" i="2" s="1"/>
  <c r="B1091" i="2"/>
  <c r="B794" i="2"/>
  <c r="C794" i="2" s="1"/>
  <c r="N794" i="2" s="1"/>
  <c r="B800" i="2"/>
  <c r="B816" i="2"/>
  <c r="C816" i="2" s="1"/>
  <c r="B821" i="2"/>
  <c r="B833" i="2"/>
  <c r="B850" i="2"/>
  <c r="B855" i="2"/>
  <c r="B891" i="2"/>
  <c r="B896" i="2"/>
  <c r="B898" i="2"/>
  <c r="B899" i="2"/>
  <c r="C899" i="2" s="1"/>
  <c r="B901" i="2"/>
  <c r="B909" i="2"/>
  <c r="B913" i="2"/>
  <c r="B919" i="2"/>
  <c r="B921" i="2"/>
  <c r="F921" i="2" s="1"/>
  <c r="B935" i="2"/>
  <c r="F935" i="2" s="1"/>
  <c r="B938" i="2"/>
  <c r="B947" i="2"/>
  <c r="B962" i="2"/>
  <c r="B976" i="2"/>
  <c r="B979" i="2"/>
  <c r="E979" i="2" s="1"/>
  <c r="B988" i="2"/>
  <c r="E988" i="2" s="1"/>
  <c r="B996" i="2"/>
  <c r="B1008" i="2"/>
  <c r="B1014" i="2"/>
  <c r="C1014" i="2" s="1"/>
  <c r="B1020" i="2"/>
  <c r="B1031" i="2"/>
  <c r="B1032" i="2"/>
  <c r="C1032" i="2" s="1"/>
  <c r="B1038" i="2"/>
  <c r="B1044" i="2"/>
  <c r="B1048" i="2"/>
  <c r="B1055" i="2"/>
  <c r="B1058" i="2"/>
  <c r="B1059" i="2"/>
  <c r="B1069" i="2"/>
  <c r="C1069" i="2" s="1"/>
  <c r="B793" i="2"/>
  <c r="B796" i="2"/>
  <c r="C796" i="2" s="1"/>
  <c r="N796" i="2" s="1"/>
  <c r="B806" i="2"/>
  <c r="B818" i="2"/>
  <c r="B822" i="2"/>
  <c r="B879" i="2"/>
  <c r="B897" i="2"/>
  <c r="B908" i="2"/>
  <c r="D908" i="2" s="1"/>
  <c r="B912" i="2"/>
  <c r="F912" i="2" s="1"/>
  <c r="B915" i="2"/>
  <c r="B927" i="2"/>
  <c r="B928" i="2"/>
  <c r="B929" i="2"/>
  <c r="B944" i="2"/>
  <c r="B948" i="2"/>
  <c r="B953" i="2"/>
  <c r="B966" i="2"/>
  <c r="B983" i="2"/>
  <c r="B998" i="2"/>
  <c r="B1029" i="2"/>
  <c r="B1035" i="2"/>
  <c r="B1043" i="2"/>
  <c r="B840" i="2"/>
  <c r="C840" i="2" s="1"/>
  <c r="B866" i="2"/>
  <c r="B880" i="2"/>
  <c r="C880" i="2" s="1"/>
  <c r="B920" i="2"/>
  <c r="B925" i="2"/>
  <c r="B931" i="2"/>
  <c r="B949" i="2"/>
  <c r="B960" i="2"/>
  <c r="D960" i="2" s="1"/>
  <c r="B978" i="2"/>
  <c r="B987" i="2"/>
  <c r="B1013" i="2"/>
  <c r="F1013" i="2" s="1"/>
  <c r="B1019" i="2"/>
  <c r="B1030" i="2"/>
  <c r="B1042" i="2"/>
  <c r="B1062" i="2"/>
  <c r="B1066" i="2"/>
  <c r="B1071" i="2"/>
  <c r="D1071" i="2" s="1"/>
  <c r="B1104" i="2"/>
  <c r="F1104" i="2" s="1"/>
  <c r="B1106" i="2"/>
  <c r="B1122" i="2"/>
  <c r="B1123" i="2"/>
  <c r="B1124" i="2"/>
  <c r="E1124" i="2" s="1"/>
  <c r="B1130" i="2"/>
  <c r="B1144" i="2"/>
  <c r="E1144" i="2" s="1"/>
  <c r="B1150" i="2"/>
  <c r="B1162" i="2"/>
  <c r="B1166" i="2"/>
  <c r="C1166" i="2" s="1"/>
  <c r="B1178" i="2"/>
  <c r="B1179" i="2"/>
  <c r="E1179" i="2" s="1"/>
  <c r="B1181" i="2"/>
  <c r="B1198" i="2"/>
  <c r="B1211" i="2"/>
  <c r="B1218" i="2"/>
  <c r="B1221" i="2"/>
  <c r="B1227" i="2"/>
  <c r="B1228" i="2"/>
  <c r="B762" i="2"/>
  <c r="C762" i="2" s="1"/>
  <c r="B776" i="2"/>
  <c r="F776" i="2" s="1"/>
  <c r="B778" i="2"/>
  <c r="B784" i="2"/>
  <c r="D784" i="2" s="1"/>
  <c r="B786" i="2"/>
  <c r="C786" i="2" s="1"/>
  <c r="B754" i="2"/>
  <c r="C754" i="2" s="1"/>
  <c r="B759" i="2"/>
  <c r="B753" i="2"/>
  <c r="B846" i="2"/>
  <c r="D846" i="2" s="1"/>
  <c r="B859" i="2"/>
  <c r="B900" i="2"/>
  <c r="B933" i="2"/>
  <c r="B965" i="2"/>
  <c r="F965" i="2" s="1"/>
  <c r="B970" i="2"/>
  <c r="B1003" i="2"/>
  <c r="B1007" i="2"/>
  <c r="B1016" i="2"/>
  <c r="B1025" i="2"/>
  <c r="B1051" i="2"/>
  <c r="B1056" i="2"/>
  <c r="B1070" i="2"/>
  <c r="B1077" i="2"/>
  <c r="C1077" i="2" s="1"/>
  <c r="B1094" i="2"/>
  <c r="B1115" i="2"/>
  <c r="C1115" i="2" s="1"/>
  <c r="B1118" i="2"/>
  <c r="B1146" i="2"/>
  <c r="B1158" i="2"/>
  <c r="B1159" i="2"/>
  <c r="B1176" i="2"/>
  <c r="F1176" i="2" s="1"/>
  <c r="B1183" i="2"/>
  <c r="E1183" i="2" s="1"/>
  <c r="B1190" i="2"/>
  <c r="B1205" i="2"/>
  <c r="B1210" i="2"/>
  <c r="B1232" i="2"/>
  <c r="B1234" i="2"/>
  <c r="B1243" i="2"/>
  <c r="B1244" i="2"/>
  <c r="B1257" i="2"/>
  <c r="B769" i="2"/>
  <c r="B779" i="2"/>
  <c r="B782" i="2"/>
  <c r="F782" i="2" s="1"/>
  <c r="B804" i="2"/>
  <c r="B820" i="2"/>
  <c r="B836" i="2"/>
  <c r="B875" i="2"/>
  <c r="E875" i="2" s="1"/>
  <c r="B885" i="2"/>
  <c r="B890" i="2"/>
  <c r="B894" i="2"/>
  <c r="B923" i="2"/>
  <c r="C923" i="2" s="1"/>
  <c r="B930" i="2"/>
  <c r="B936" i="2"/>
  <c r="B956" i="2"/>
  <c r="B972" i="2"/>
  <c r="B981" i="2"/>
  <c r="B990" i="2"/>
  <c r="B999" i="2"/>
  <c r="B1023" i="2"/>
  <c r="B1034" i="2"/>
  <c r="B1036" i="2"/>
  <c r="B1040" i="2"/>
  <c r="B1054" i="2"/>
  <c r="B1084" i="2"/>
  <c r="D1084" i="2" s="1"/>
  <c r="B1096" i="2"/>
  <c r="B1111" i="2"/>
  <c r="C1111" i="2" s="1"/>
  <c r="B1121" i="2"/>
  <c r="B1128" i="2"/>
  <c r="C1128" i="2" s="1"/>
  <c r="B1132" i="2"/>
  <c r="B1136" i="2"/>
  <c r="B1138" i="2"/>
  <c r="C1138" i="2" s="1"/>
  <c r="B1147" i="2"/>
  <c r="D1147" i="2" s="1"/>
  <c r="B1149" i="2"/>
  <c r="B1152" i="2"/>
  <c r="C1152" i="2" s="1"/>
  <c r="B1156" i="2"/>
  <c r="B1160" i="2"/>
  <c r="B1168" i="2"/>
  <c r="B1174" i="2"/>
  <c r="E1174" i="2" s="1"/>
  <c r="B1189" i="2"/>
  <c r="B1195" i="2"/>
  <c r="B1200" i="2"/>
  <c r="B1202" i="2"/>
  <c r="C1202" i="2" s="1"/>
  <c r="N1202" i="2" s="1"/>
  <c r="B1236" i="2"/>
  <c r="B757" i="2"/>
  <c r="E757" i="2" s="1"/>
  <c r="B761" i="2"/>
  <c r="F761" i="2" s="1"/>
  <c r="B798" i="2"/>
  <c r="B805" i="2"/>
  <c r="B792" i="2"/>
  <c r="C792" i="2" s="1"/>
  <c r="B808" i="2"/>
  <c r="C808" i="2" s="1"/>
  <c r="B854" i="2"/>
  <c r="B861" i="2"/>
  <c r="B863" i="2"/>
  <c r="B895" i="2"/>
  <c r="B904" i="2"/>
  <c r="B946" i="2"/>
  <c r="B973" i="2"/>
  <c r="B982" i="2"/>
  <c r="B989" i="2"/>
  <c r="B1039" i="2"/>
  <c r="E1039" i="2" s="1"/>
  <c r="B1060" i="2"/>
  <c r="B1081" i="2"/>
  <c r="B1089" i="2"/>
  <c r="B1090" i="2"/>
  <c r="D1090" i="2" s="1"/>
  <c r="B1092" i="2"/>
  <c r="B1100" i="2"/>
  <c r="B1108" i="2"/>
  <c r="B1119" i="2"/>
  <c r="B1120" i="2"/>
  <c r="B1126" i="2"/>
  <c r="B1127" i="2"/>
  <c r="B1133" i="2"/>
  <c r="B1135" i="2"/>
  <c r="B1137" i="2"/>
  <c r="B1140" i="2"/>
  <c r="B1141" i="2"/>
  <c r="B1142" i="2"/>
  <c r="B1151" i="2"/>
  <c r="F1151" i="2" s="1"/>
  <c r="B1155" i="2"/>
  <c r="B1172" i="2"/>
  <c r="B1173" i="2"/>
  <c r="B1187" i="2"/>
  <c r="B1193" i="2"/>
  <c r="B1203" i="2"/>
  <c r="C1203" i="2" s="1"/>
  <c r="B1207" i="2"/>
  <c r="B1209" i="2"/>
  <c r="B1214" i="2"/>
  <c r="B1222" i="2"/>
  <c r="B1224" i="2"/>
  <c r="B1229" i="2"/>
  <c r="B1240" i="2"/>
  <c r="B1251" i="2"/>
  <c r="B764" i="2"/>
  <c r="B780" i="2"/>
  <c r="B254" i="5"/>
  <c r="B262" i="5"/>
  <c r="E262" i="5" s="1"/>
  <c r="B266" i="5"/>
  <c r="B273" i="5"/>
  <c r="C273" i="5" s="1"/>
  <c r="B276" i="5"/>
  <c r="B282" i="5"/>
  <c r="B286" i="5"/>
  <c r="B295" i="5"/>
  <c r="B305" i="5"/>
  <c r="B309" i="5"/>
  <c r="B318" i="5"/>
  <c r="B332" i="5"/>
  <c r="B334" i="5"/>
  <c r="B342" i="5"/>
  <c r="B349" i="5"/>
  <c r="B350" i="5"/>
  <c r="B355" i="5"/>
  <c r="B357" i="5"/>
  <c r="C357" i="5" s="1"/>
  <c r="B360" i="5"/>
  <c r="B363" i="5"/>
  <c r="C363" i="5" s="1"/>
  <c r="B367" i="5"/>
  <c r="B252" i="5"/>
  <c r="B272" i="5"/>
  <c r="B278" i="5"/>
  <c r="B297" i="5"/>
  <c r="C297" i="5" s="1"/>
  <c r="B326" i="5"/>
  <c r="B336" i="5"/>
  <c r="B343" i="5"/>
  <c r="C343" i="5" s="1"/>
  <c r="B351" i="5"/>
  <c r="B368" i="5"/>
  <c r="B378" i="5"/>
  <c r="B257" i="5"/>
  <c r="B287" i="5"/>
  <c r="B255" i="5"/>
  <c r="B256" i="5"/>
  <c r="B259" i="5"/>
  <c r="C259" i="5" s="1"/>
  <c r="B268" i="5"/>
  <c r="B280" i="5"/>
  <c r="B284" i="5"/>
  <c r="C284" i="5" s="1"/>
  <c r="B307" i="5"/>
  <c r="B311" i="5"/>
  <c r="E311" i="5" s="1"/>
  <c r="B314" i="5"/>
  <c r="C314" i="5" s="1"/>
  <c r="B320" i="5"/>
  <c r="E320" i="5" s="1"/>
  <c r="B322" i="5"/>
  <c r="B325" i="5"/>
  <c r="E325" i="5" s="1"/>
  <c r="B329" i="5"/>
  <c r="B337" i="5"/>
  <c r="B372" i="5"/>
  <c r="B373" i="5"/>
  <c r="B375" i="5"/>
  <c r="B397" i="5"/>
  <c r="B399" i="5"/>
  <c r="B404" i="5"/>
  <c r="C404" i="5" s="1"/>
  <c r="B411" i="5"/>
  <c r="B412" i="5"/>
  <c r="B421" i="5"/>
  <c r="B427" i="5"/>
  <c r="B270" i="5"/>
  <c r="B275" i="5"/>
  <c r="B296" i="5"/>
  <c r="B303" i="5"/>
  <c r="B328" i="5"/>
  <c r="B338" i="5"/>
  <c r="B341" i="5"/>
  <c r="B347" i="5"/>
  <c r="B353" i="5"/>
  <c r="B358" i="5"/>
  <c r="B364" i="5"/>
  <c r="C364" i="5" s="1"/>
  <c r="B370" i="5"/>
  <c r="B381" i="5"/>
  <c r="C381" i="5" s="1"/>
  <c r="B383" i="5"/>
  <c r="E383" i="5" s="1"/>
  <c r="B386" i="5"/>
  <c r="B417" i="5"/>
  <c r="C417" i="5" s="1"/>
  <c r="B419" i="5"/>
  <c r="B420" i="5"/>
  <c r="B260" i="5"/>
  <c r="C260" i="5" s="1"/>
  <c r="B263" i="5"/>
  <c r="E263" i="5" s="1"/>
  <c r="B265" i="5"/>
  <c r="B267" i="5"/>
  <c r="B279" i="5"/>
  <c r="B281" i="5"/>
  <c r="B313" i="5"/>
  <c r="B315" i="5"/>
  <c r="C315" i="5" s="1"/>
  <c r="B317" i="5"/>
  <c r="C317" i="5" s="1"/>
  <c r="B324" i="5"/>
  <c r="B376" i="5"/>
  <c r="B385" i="5"/>
  <c r="B388" i="5"/>
  <c r="B390" i="5"/>
  <c r="B413" i="5"/>
  <c r="B414" i="5"/>
  <c r="B424" i="5"/>
  <c r="B430" i="5"/>
  <c r="B253" i="5"/>
  <c r="B274" i="5"/>
  <c r="C274" i="5" s="1"/>
  <c r="B290" i="5"/>
  <c r="B269" i="5"/>
  <c r="B304" i="5"/>
  <c r="B335" i="5"/>
  <c r="B339" i="5"/>
  <c r="B395" i="5"/>
  <c r="B401" i="5"/>
  <c r="B408" i="5"/>
  <c r="F408" i="5" s="1"/>
  <c r="B410" i="5"/>
  <c r="B440" i="5"/>
  <c r="B457" i="5"/>
  <c r="B459" i="5"/>
  <c r="B462" i="5"/>
  <c r="B464" i="5"/>
  <c r="B467" i="5"/>
  <c r="B468" i="5"/>
  <c r="F468" i="5" s="1"/>
  <c r="B474" i="5"/>
  <c r="B481" i="5"/>
  <c r="B511" i="5"/>
  <c r="B529" i="5"/>
  <c r="B531" i="5"/>
  <c r="B532" i="5"/>
  <c r="B534" i="5"/>
  <c r="B542" i="5"/>
  <c r="B544" i="5"/>
  <c r="B546" i="5"/>
  <c r="B299" i="5"/>
  <c r="B301" i="5"/>
  <c r="B330" i="5"/>
  <c r="B346" i="5"/>
  <c r="B365" i="5"/>
  <c r="C365" i="5" s="1"/>
  <c r="B407" i="5"/>
  <c r="B438" i="5"/>
  <c r="B442" i="5"/>
  <c r="B444" i="5"/>
  <c r="B445" i="5"/>
  <c r="B449" i="5"/>
  <c r="B455" i="5"/>
  <c r="B460" i="5"/>
  <c r="B466" i="5"/>
  <c r="B472" i="5"/>
  <c r="B476" i="5"/>
  <c r="B478" i="5"/>
  <c r="B480" i="5"/>
  <c r="B482" i="5"/>
  <c r="B493" i="5"/>
  <c r="B496" i="5"/>
  <c r="C496" i="5" s="1"/>
  <c r="B501" i="5"/>
  <c r="B510" i="5"/>
  <c r="B264" i="5"/>
  <c r="B285" i="5"/>
  <c r="B288" i="5"/>
  <c r="B310" i="5"/>
  <c r="B356" i="5"/>
  <c r="B371" i="5"/>
  <c r="B380" i="5"/>
  <c r="C380" i="5" s="1"/>
  <c r="B387" i="5"/>
  <c r="F387" i="5" s="1"/>
  <c r="B392" i="5"/>
  <c r="B394" i="5"/>
  <c r="B418" i="5"/>
  <c r="B422" i="5"/>
  <c r="B434" i="5"/>
  <c r="B435" i="5"/>
  <c r="C435" i="5" s="1"/>
  <c r="B450" i="5"/>
  <c r="B453" i="5"/>
  <c r="B261" i="5"/>
  <c r="B258" i="5"/>
  <c r="B291" i="5"/>
  <c r="B293" i="5"/>
  <c r="B352" i="5"/>
  <c r="B354" i="5"/>
  <c r="B379" i="5"/>
  <c r="B382" i="5"/>
  <c r="C382" i="5" s="1"/>
  <c r="B396" i="5"/>
  <c r="B403" i="5"/>
  <c r="B406" i="5"/>
  <c r="C406" i="5" s="1"/>
  <c r="B426" i="5"/>
  <c r="E426" i="5" s="1"/>
  <c r="B439" i="5"/>
  <c r="B446" i="5"/>
  <c r="B452" i="5"/>
  <c r="B454" i="5"/>
  <c r="B461" i="5"/>
  <c r="B470" i="5"/>
  <c r="B477" i="5"/>
  <c r="B483" i="5"/>
  <c r="C483" i="5" s="1"/>
  <c r="B488" i="5"/>
  <c r="B271" i="5"/>
  <c r="B277" i="5"/>
  <c r="B289" i="5"/>
  <c r="B308" i="5"/>
  <c r="B429" i="5"/>
  <c r="B431" i="5"/>
  <c r="B486" i="5"/>
  <c r="B497" i="5"/>
  <c r="C497" i="5" s="1"/>
  <c r="B499" i="5"/>
  <c r="B504" i="5"/>
  <c r="B514" i="5"/>
  <c r="B519" i="5"/>
  <c r="B530" i="5"/>
  <c r="B533" i="5"/>
  <c r="B537" i="5"/>
  <c r="E537" i="5" s="1"/>
  <c r="B545" i="5"/>
  <c r="B555" i="5"/>
  <c r="B563" i="5"/>
  <c r="B569" i="5"/>
  <c r="E569" i="5" s="1"/>
  <c r="B579" i="5"/>
  <c r="B581" i="5"/>
  <c r="C581" i="5" s="1"/>
  <c r="B593" i="5"/>
  <c r="B598" i="5"/>
  <c r="B602" i="5"/>
  <c r="F602" i="5" s="1"/>
  <c r="B620" i="5"/>
  <c r="B624" i="5"/>
  <c r="B333" i="5"/>
  <c r="B340" i="5"/>
  <c r="B409" i="5"/>
  <c r="B443" i="5"/>
  <c r="B451" i="5"/>
  <c r="B463" i="5"/>
  <c r="B484" i="5"/>
  <c r="B489" i="5"/>
  <c r="B503" i="5"/>
  <c r="B508" i="5"/>
  <c r="B516" i="5"/>
  <c r="C516" i="5" s="1"/>
  <c r="B518" i="5"/>
  <c r="B526" i="5"/>
  <c r="B535" i="5"/>
  <c r="B540" i="5"/>
  <c r="B548" i="5"/>
  <c r="B562" i="5"/>
  <c r="B567" i="5"/>
  <c r="B571" i="5"/>
  <c r="B573" i="5"/>
  <c r="B600" i="5"/>
  <c r="C600" i="5" s="1"/>
  <c r="B606" i="5"/>
  <c r="B611" i="5"/>
  <c r="B615" i="5"/>
  <c r="C615" i="5" s="1"/>
  <c r="B283" i="5"/>
  <c r="B321" i="5"/>
  <c r="B327" i="5"/>
  <c r="B348" i="5"/>
  <c r="B359" i="5"/>
  <c r="B384" i="5"/>
  <c r="B393" i="5"/>
  <c r="B398" i="5"/>
  <c r="C398" i="5" s="1"/>
  <c r="B402" i="5"/>
  <c r="B416" i="5"/>
  <c r="B436" i="5"/>
  <c r="B471" i="5"/>
  <c r="B521" i="5"/>
  <c r="B543" i="5"/>
  <c r="B565" i="5"/>
  <c r="B574" i="5"/>
  <c r="B595" i="5"/>
  <c r="B608" i="5"/>
  <c r="B609" i="5"/>
  <c r="B614" i="5"/>
  <c r="B619" i="5"/>
  <c r="B623" i="5"/>
  <c r="B628" i="5"/>
  <c r="B306" i="5"/>
  <c r="B344" i="5"/>
  <c r="B298" i="5"/>
  <c r="B302" i="5"/>
  <c r="B294" i="5"/>
  <c r="B292" i="5"/>
  <c r="B300" i="5"/>
  <c r="B312" i="5"/>
  <c r="B316" i="5"/>
  <c r="B319" i="5"/>
  <c r="B323" i="5"/>
  <c r="B362" i="5"/>
  <c r="E362" i="5" s="1"/>
  <c r="B374" i="5"/>
  <c r="B389" i="5"/>
  <c r="B405" i="5"/>
  <c r="F405" i="5" s="1"/>
  <c r="B415" i="5"/>
  <c r="B425" i="5"/>
  <c r="B447" i="5"/>
  <c r="B456" i="5"/>
  <c r="C456" i="5" s="1"/>
  <c r="B490" i="5"/>
  <c r="B506" i="5"/>
  <c r="B509" i="5"/>
  <c r="B512" i="5"/>
  <c r="B522" i="5"/>
  <c r="C522" i="5" s="1"/>
  <c r="B524" i="5"/>
  <c r="B527" i="5"/>
  <c r="B528" i="5"/>
  <c r="B549" i="5"/>
  <c r="B551" i="5"/>
  <c r="B558" i="5"/>
  <c r="B559" i="5"/>
  <c r="B560" i="5"/>
  <c r="C560" i="5" s="1"/>
  <c r="B564" i="5"/>
  <c r="B572" i="5"/>
  <c r="B575" i="5"/>
  <c r="B576" i="5"/>
  <c r="B583" i="5"/>
  <c r="F583" i="5" s="1"/>
  <c r="B585" i="5"/>
  <c r="B596" i="5"/>
  <c r="C596" i="5" s="1"/>
  <c r="B607" i="5"/>
  <c r="B612" i="5"/>
  <c r="B618" i="5"/>
  <c r="B629" i="5"/>
  <c r="C629" i="5" s="1"/>
  <c r="B432" i="5"/>
  <c r="B487" i="5"/>
  <c r="C487" i="5" s="1"/>
  <c r="B494" i="5"/>
  <c r="B505" i="5"/>
  <c r="B588" i="5"/>
  <c r="B597" i="5"/>
  <c r="B603" i="5"/>
  <c r="B626" i="5"/>
  <c r="B475" i="5"/>
  <c r="B525" i="5"/>
  <c r="B541" i="5"/>
  <c r="B547" i="5"/>
  <c r="B553" i="5"/>
  <c r="B561" i="5"/>
  <c r="B577" i="5"/>
  <c r="B594" i="5"/>
  <c r="B622" i="5"/>
  <c r="B491" i="5"/>
  <c r="B500" i="5"/>
  <c r="B556" i="5"/>
  <c r="B566" i="5"/>
  <c r="C566" i="5" s="1"/>
  <c r="B580" i="5"/>
  <c r="B584" i="5"/>
  <c r="B592" i="5"/>
  <c r="C592" i="5" s="1"/>
  <c r="B616" i="5"/>
  <c r="B366" i="5"/>
  <c r="B433" i="5"/>
  <c r="B479" i="5"/>
  <c r="B485" i="5"/>
  <c r="B498" i="5"/>
  <c r="B391" i="5"/>
  <c r="B448" i="5"/>
  <c r="B361" i="5"/>
  <c r="B377" i="5"/>
  <c r="C377" i="5" s="1"/>
  <c r="B400" i="5"/>
  <c r="B437" i="5"/>
  <c r="C437" i="5" s="1"/>
  <c r="B458" i="5"/>
  <c r="B473" i="5"/>
  <c r="B492" i="5"/>
  <c r="B495" i="5"/>
  <c r="B441" i="5"/>
  <c r="B331" i="5"/>
  <c r="B345" i="5"/>
  <c r="B369" i="5"/>
  <c r="B423" i="5"/>
  <c r="B428" i="5"/>
  <c r="B502" i="5"/>
  <c r="B513" i="5"/>
  <c r="D513" i="5" s="1"/>
  <c r="B536" i="5"/>
  <c r="E536" i="5" s="1"/>
  <c r="B586" i="5"/>
  <c r="B590" i="5"/>
  <c r="B599" i="5"/>
  <c r="B610" i="5"/>
  <c r="B520" i="5"/>
  <c r="B539" i="5"/>
  <c r="B604" i="5"/>
  <c r="B589" i="5"/>
  <c r="B617" i="5"/>
  <c r="C617" i="5" s="1"/>
  <c r="B517" i="5"/>
  <c r="D517" i="5" s="1"/>
  <c r="B550" i="5"/>
  <c r="B568" i="5"/>
  <c r="E568" i="5" s="1"/>
  <c r="B578" i="5"/>
  <c r="B601" i="5"/>
  <c r="C601" i="5" s="1"/>
  <c r="B621" i="5"/>
  <c r="B627" i="5"/>
  <c r="D627" i="5" s="1"/>
  <c r="B469" i="5"/>
  <c r="D469" i="5" s="1"/>
  <c r="B554" i="5"/>
  <c r="B557" i="5"/>
  <c r="C557" i="5" s="1"/>
  <c r="B582" i="5"/>
  <c r="B587" i="5"/>
  <c r="B605" i="5"/>
  <c r="B507" i="5"/>
  <c r="B570" i="5"/>
  <c r="B591" i="5"/>
  <c r="B625" i="5"/>
  <c r="B465" i="5"/>
  <c r="D465" i="5" s="1"/>
  <c r="B515" i="5"/>
  <c r="B523" i="5"/>
  <c r="B538" i="5"/>
  <c r="C538" i="5" s="1"/>
  <c r="B552" i="5"/>
  <c r="B613" i="5"/>
  <c r="B765" i="2"/>
  <c r="E765" i="2" s="1"/>
  <c r="B1252" i="2"/>
  <c r="B1241" i="2"/>
  <c r="F1241" i="2" s="1"/>
  <c r="B1194" i="2"/>
  <c r="B1163" i="2"/>
  <c r="B1139" i="2"/>
  <c r="B1114" i="2"/>
  <c r="B1110" i="2"/>
  <c r="B1079" i="2"/>
  <c r="B1072" i="2"/>
  <c r="D1072" i="2" s="1"/>
  <c r="B1067" i="2"/>
  <c r="C1067" i="2" s="1"/>
  <c r="B1064" i="2"/>
  <c r="F1064" i="2" s="1"/>
  <c r="B1057" i="2"/>
  <c r="B1028" i="2"/>
  <c r="E1028" i="2" s="1"/>
  <c r="B1015" i="2"/>
  <c r="B1010" i="2"/>
  <c r="E1010" i="2" s="1"/>
  <c r="B1000" i="2"/>
  <c r="B997" i="2"/>
  <c r="B963" i="2"/>
  <c r="D963" i="2" s="1"/>
  <c r="B873" i="2"/>
  <c r="B752" i="2"/>
  <c r="C752" i="2" s="1"/>
  <c r="B790" i="2"/>
  <c r="B785" i="2"/>
  <c r="B777" i="2"/>
  <c r="B774" i="2"/>
  <c r="B1254" i="2"/>
  <c r="B1245" i="2"/>
  <c r="B1238" i="2"/>
  <c r="B1216" i="2"/>
  <c r="B1196" i="2"/>
  <c r="B1191" i="2"/>
  <c r="B1185" i="2"/>
  <c r="B1134" i="2"/>
  <c r="B1129" i="2"/>
  <c r="D1129" i="2" s="1"/>
  <c r="B1116" i="2"/>
  <c r="B1112" i="2"/>
  <c r="B1105" i="2"/>
  <c r="B1097" i="2"/>
  <c r="B1076" i="2"/>
  <c r="C1076" i="2" s="1"/>
  <c r="B1012" i="2"/>
  <c r="B1002" i="2"/>
  <c r="B980" i="2"/>
  <c r="B974" i="2"/>
  <c r="E974" i="2" s="1"/>
  <c r="B943" i="2"/>
  <c r="C943" i="2" s="1"/>
  <c r="N943" i="2" s="1"/>
  <c r="B853" i="2"/>
  <c r="B827" i="2"/>
  <c r="B756" i="2"/>
  <c r="C756" i="2" s="1"/>
  <c r="B787" i="2"/>
  <c r="D787" i="2" s="1"/>
  <c r="B783" i="2"/>
  <c r="B771" i="2"/>
  <c r="E771" i="2" s="1"/>
  <c r="B767" i="2"/>
  <c r="B1247" i="2"/>
  <c r="F1247" i="2" s="1"/>
  <c r="B1223" i="2"/>
  <c r="E1223" i="2" s="1"/>
  <c r="B1213" i="2"/>
  <c r="B1164" i="2"/>
  <c r="B1145" i="2"/>
  <c r="B1107" i="2"/>
  <c r="B1099" i="2"/>
  <c r="E1099" i="2" s="1"/>
  <c r="B1085" i="2"/>
  <c r="B1083" i="2"/>
  <c r="B1033" i="2"/>
  <c r="B1017" i="2"/>
  <c r="B994" i="2"/>
  <c r="B991" i="2"/>
  <c r="B934" i="2"/>
  <c r="B926" i="2"/>
  <c r="B916" i="2"/>
  <c r="E916" i="2" s="1"/>
  <c r="B882" i="2"/>
  <c r="B830" i="2"/>
  <c r="B1235" i="2"/>
  <c r="B1231" i="2"/>
  <c r="B1220" i="2"/>
  <c r="F1220" i="2" s="1"/>
  <c r="B1186" i="2"/>
  <c r="B1180" i="2"/>
  <c r="B1175" i="2"/>
  <c r="B1170" i="2"/>
  <c r="B1157" i="2"/>
  <c r="B1153" i="2"/>
  <c r="B1102" i="2"/>
  <c r="B1063" i="2"/>
  <c r="B1061" i="2"/>
  <c r="B1050" i="2"/>
  <c r="B1047" i="2"/>
  <c r="C1047" i="2" s="1"/>
  <c r="B1041" i="2"/>
  <c r="F1041" i="2" s="1"/>
  <c r="B1027" i="2"/>
  <c r="B971" i="2"/>
  <c r="B878" i="2"/>
  <c r="B865" i="2"/>
  <c r="B789" i="2"/>
  <c r="F789" i="2" s="1"/>
  <c r="B773" i="2"/>
  <c r="C773" i="2" s="1"/>
  <c r="B768" i="2"/>
  <c r="B1258" i="2"/>
  <c r="B1253" i="2"/>
  <c r="B1249" i="2"/>
  <c r="B1233" i="2"/>
  <c r="B1215" i="2"/>
  <c r="E1215" i="2" s="1"/>
  <c r="B1199" i="2"/>
  <c r="C1199" i="2" s="1"/>
  <c r="N1199" i="2" s="1"/>
  <c r="B1182" i="2"/>
  <c r="B1148" i="2"/>
  <c r="B1125" i="2"/>
  <c r="D1125" i="2" s="1"/>
  <c r="B1117" i="2"/>
  <c r="B1109" i="2"/>
  <c r="B1078" i="2"/>
  <c r="B1021" i="2"/>
  <c r="B1006" i="2"/>
  <c r="B954" i="2"/>
  <c r="B945" i="2"/>
  <c r="D945" i="2" s="1"/>
  <c r="B942" i="2"/>
  <c r="B922" i="2"/>
  <c r="B906" i="2"/>
  <c r="B868" i="2"/>
  <c r="B758" i="2"/>
  <c r="C758" i="2" s="1"/>
  <c r="B791" i="2"/>
  <c r="B766" i="2"/>
  <c r="B1255" i="2"/>
  <c r="B1246" i="2"/>
  <c r="B1242" i="2"/>
  <c r="C1242" i="2" s="1"/>
  <c r="B1225" i="2"/>
  <c r="B1206" i="2"/>
  <c r="B1204" i="2"/>
  <c r="B1197" i="2"/>
  <c r="B1188" i="2"/>
  <c r="B1177" i="2"/>
  <c r="C1177" i="2" s="1"/>
  <c r="B1165" i="2"/>
  <c r="B1113" i="2"/>
  <c r="B1087" i="2"/>
  <c r="B1082" i="2"/>
  <c r="B1073" i="2"/>
  <c r="B993" i="2"/>
  <c r="B984" i="2"/>
  <c r="F984" i="2" s="1"/>
  <c r="B959" i="2"/>
  <c r="F959" i="2" s="1"/>
  <c r="B918" i="2"/>
  <c r="F918" i="2" s="1"/>
  <c r="B871" i="2"/>
  <c r="B857" i="2"/>
  <c r="B848" i="2"/>
  <c r="N844" i="2"/>
  <c r="N815" i="2"/>
  <c r="N881" i="2"/>
  <c r="E375" i="5"/>
  <c r="F375" i="5"/>
  <c r="D375" i="5"/>
  <c r="G375" i="5" s="1"/>
  <c r="E333" i="5"/>
  <c r="F333" i="5"/>
  <c r="D594" i="5"/>
  <c r="D568" i="5"/>
  <c r="G568" i="5" s="1"/>
  <c r="E560" i="5"/>
  <c r="F560" i="5"/>
  <c r="C256" i="5"/>
  <c r="D256" i="5"/>
  <c r="E256" i="5"/>
  <c r="F256" i="5"/>
  <c r="D617" i="5"/>
  <c r="E617" i="5"/>
  <c r="F617" i="5"/>
  <c r="H617" i="5" s="1"/>
  <c r="C594" i="5"/>
  <c r="E577" i="5"/>
  <c r="F574" i="5"/>
  <c r="D610" i="5"/>
  <c r="G610" i="5" s="1"/>
  <c r="E610" i="5"/>
  <c r="F610" i="5"/>
  <c r="E456" i="5"/>
  <c r="F456" i="5"/>
  <c r="D456" i="5"/>
  <c r="G456" i="5" s="1"/>
  <c r="E398" i="5"/>
  <c r="F398" i="5"/>
  <c r="H398" i="5" s="1"/>
  <c r="D398" i="5"/>
  <c r="D492" i="5"/>
  <c r="C492" i="5"/>
  <c r="E492" i="5"/>
  <c r="F492" i="5"/>
  <c r="C597" i="5"/>
  <c r="D597" i="5"/>
  <c r="E593" i="5"/>
  <c r="F593" i="5"/>
  <c r="C268" i="5"/>
  <c r="D268" i="5"/>
  <c r="E268" i="5"/>
  <c r="F268" i="5"/>
  <c r="H456" i="5"/>
  <c r="J456" i="5"/>
  <c r="K456" i="5" s="1"/>
  <c r="D581" i="5"/>
  <c r="J581" i="5" s="1"/>
  <c r="E581" i="5"/>
  <c r="F581" i="5"/>
  <c r="H581" i="5" s="1"/>
  <c r="D567" i="5"/>
  <c r="E567" i="5"/>
  <c r="F567" i="5"/>
  <c r="C567" i="5"/>
  <c r="C471" i="5"/>
  <c r="D471" i="5"/>
  <c r="E471" i="5"/>
  <c r="F471" i="5"/>
  <c r="E612" i="5"/>
  <c r="D600" i="5"/>
  <c r="D629" i="5"/>
  <c r="J629" i="5" s="1"/>
  <c r="E629" i="5"/>
  <c r="F629" i="5"/>
  <c r="H629" i="5" s="1"/>
  <c r="D540" i="5"/>
  <c r="E540" i="5"/>
  <c r="F540" i="5"/>
  <c r="C540" i="5"/>
  <c r="D580" i="5"/>
  <c r="E580" i="5"/>
  <c r="F580" i="5"/>
  <c r="C580" i="5"/>
  <c r="D612" i="5"/>
  <c r="G612" i="5" s="1"/>
  <c r="C345" i="5"/>
  <c r="F345" i="5"/>
  <c r="D345" i="5"/>
  <c r="E345" i="5"/>
  <c r="E259" i="5"/>
  <c r="F259" i="5"/>
  <c r="H259" i="5" s="1"/>
  <c r="D259" i="5"/>
  <c r="C495" i="5"/>
  <c r="D495" i="5"/>
  <c r="E495" i="5"/>
  <c r="F495" i="5"/>
  <c r="F517" i="5"/>
  <c r="E517" i="5"/>
  <c r="G517" i="5" s="1"/>
  <c r="E600" i="5"/>
  <c r="F600" i="5"/>
  <c r="H600" i="5" s="1"/>
  <c r="C603" i="5"/>
  <c r="D603" i="5"/>
  <c r="E603" i="5"/>
  <c r="F603" i="5"/>
  <c r="F627" i="5"/>
  <c r="C627" i="5"/>
  <c r="E627" i="5"/>
  <c r="G627" i="5" s="1"/>
  <c r="F565" i="5"/>
  <c r="C565" i="5"/>
  <c r="D565" i="5"/>
  <c r="E565" i="5"/>
  <c r="D457" i="5"/>
  <c r="G457" i="5" s="1"/>
  <c r="C457" i="5"/>
  <c r="E457" i="5"/>
  <c r="F457" i="5"/>
  <c r="E357" i="5"/>
  <c r="F357" i="5"/>
  <c r="H357" i="5" s="1"/>
  <c r="D357" i="5"/>
  <c r="D406" i="5"/>
  <c r="E406" i="5"/>
  <c r="F406" i="5"/>
  <c r="H406" i="5" s="1"/>
  <c r="C570" i="5"/>
  <c r="F570" i="5"/>
  <c r="H487" i="5"/>
  <c r="E487" i="5"/>
  <c r="D487" i="5"/>
  <c r="F487" i="5"/>
  <c r="C469" i="5"/>
  <c r="E469" i="5"/>
  <c r="G469" i="5" s="1"/>
  <c r="F469" i="5"/>
  <c r="C360" i="5"/>
  <c r="D360" i="5"/>
  <c r="E360" i="5"/>
  <c r="F360" i="5"/>
  <c r="E557" i="5"/>
  <c r="F537" i="5"/>
  <c r="H560" i="5"/>
  <c r="C528" i="5"/>
  <c r="D528" i="5"/>
  <c r="E528" i="5"/>
  <c r="F528" i="5"/>
  <c r="C325" i="5"/>
  <c r="D325" i="5"/>
  <c r="G325" i="5" s="1"/>
  <c r="F325" i="5"/>
  <c r="C517" i="5"/>
  <c r="F365" i="5"/>
  <c r="H365" i="5" s="1"/>
  <c r="D365" i="5"/>
  <c r="E365" i="5"/>
  <c r="F474" i="5"/>
  <c r="E474" i="5"/>
  <c r="D458" i="5"/>
  <c r="F458" i="5"/>
  <c r="C400" i="5"/>
  <c r="D400" i="5"/>
  <c r="E611" i="5"/>
  <c r="F611" i="5"/>
  <c r="E623" i="5"/>
  <c r="F623" i="5"/>
  <c r="F582" i="5"/>
  <c r="C582" i="5"/>
  <c r="D582" i="5"/>
  <c r="G582" i="5" s="1"/>
  <c r="E582" i="5"/>
  <c r="D404" i="5"/>
  <c r="D596" i="5"/>
  <c r="E596" i="5"/>
  <c r="F596" i="5"/>
  <c r="H596" i="5" s="1"/>
  <c r="C513" i="5"/>
  <c r="E513" i="5"/>
  <c r="G513" i="5" s="1"/>
  <c r="F513" i="5"/>
  <c r="D557" i="5"/>
  <c r="J557" i="5" s="1"/>
  <c r="F557" i="5"/>
  <c r="H557" i="5" s="1"/>
  <c r="C537" i="5"/>
  <c r="D537" i="5"/>
  <c r="G537" i="5" s="1"/>
  <c r="C421" i="5"/>
  <c r="D421" i="5"/>
  <c r="E421" i="5"/>
  <c r="F421" i="5"/>
  <c r="D417" i="5"/>
  <c r="E417" i="5"/>
  <c r="F417" i="5"/>
  <c r="H417" i="5" s="1"/>
  <c r="D333" i="5"/>
  <c r="F615" i="5"/>
  <c r="H615" i="5" s="1"/>
  <c r="D615" i="5"/>
  <c r="J615" i="5" s="1"/>
  <c r="K615" i="5" s="1"/>
  <c r="E615" i="5"/>
  <c r="D592" i="5"/>
  <c r="G592" i="5" s="1"/>
  <c r="E592" i="5"/>
  <c r="F592" i="5"/>
  <c r="H592" i="5" s="1"/>
  <c r="F554" i="5"/>
  <c r="E554" i="5"/>
  <c r="E422" i="5"/>
  <c r="F422" i="5"/>
  <c r="C422" i="5"/>
  <c r="D422" i="5"/>
  <c r="G422" i="5" s="1"/>
  <c r="C610" i="5"/>
  <c r="F568" i="5"/>
  <c r="D560" i="5"/>
  <c r="G560" i="5" s="1"/>
  <c r="E404" i="5"/>
  <c r="F404" i="5"/>
  <c r="H404" i="5" s="1"/>
  <c r="C375" i="5"/>
  <c r="C333" i="5"/>
  <c r="C303" i="5"/>
  <c r="D303" i="5"/>
  <c r="E303" i="5"/>
  <c r="F303" i="5"/>
  <c r="C491" i="5"/>
  <c r="D491" i="5"/>
  <c r="E491" i="5"/>
  <c r="F491" i="5"/>
  <c r="F553" i="5"/>
  <c r="C553" i="5"/>
  <c r="E463" i="5"/>
  <c r="D463" i="5"/>
  <c r="G463" i="5" s="1"/>
  <c r="C463" i="5"/>
  <c r="F463" i="5"/>
  <c r="D418" i="5"/>
  <c r="F418" i="5"/>
  <c r="D516" i="5"/>
  <c r="E516" i="5"/>
  <c r="F516" i="5"/>
  <c r="H516" i="5" s="1"/>
  <c r="C426" i="5"/>
  <c r="D426" i="5"/>
  <c r="G426" i="5" s="1"/>
  <c r="F426" i="5"/>
  <c r="C602" i="5"/>
  <c r="D602" i="5"/>
  <c r="E602" i="5"/>
  <c r="E519" i="5"/>
  <c r="F519" i="5"/>
  <c r="C501" i="5"/>
  <c r="D501" i="5"/>
  <c r="F473" i="5"/>
  <c r="C473" i="5"/>
  <c r="D442" i="5"/>
  <c r="F442" i="5"/>
  <c r="D435" i="5"/>
  <c r="J435" i="5" s="1"/>
  <c r="E435" i="5"/>
  <c r="F435" i="5"/>
  <c r="H435" i="5" s="1"/>
  <c r="D363" i="5"/>
  <c r="J363" i="5" s="1"/>
  <c r="E363" i="5"/>
  <c r="F363" i="5"/>
  <c r="H363" i="5" s="1"/>
  <c r="C301" i="5"/>
  <c r="D301" i="5"/>
  <c r="E301" i="5"/>
  <c r="F301" i="5"/>
  <c r="F317" i="5"/>
  <c r="H317" i="5" s="1"/>
  <c r="D317" i="5"/>
  <c r="E317" i="5"/>
  <c r="F522" i="5"/>
  <c r="H522" i="5" s="1"/>
  <c r="E522" i="5"/>
  <c r="D522" i="5"/>
  <c r="F484" i="5"/>
  <c r="E484" i="5"/>
  <c r="C484" i="5"/>
  <c r="D484" i="5"/>
  <c r="C341" i="5"/>
  <c r="D341" i="5"/>
  <c r="G341" i="5" s="1"/>
  <c r="E341" i="5"/>
  <c r="F341" i="5"/>
  <c r="D488" i="5"/>
  <c r="E488" i="5"/>
  <c r="E579" i="5"/>
  <c r="F579" i="5"/>
  <c r="F599" i="5"/>
  <c r="C599" i="5"/>
  <c r="C564" i="5"/>
  <c r="D564" i="5"/>
  <c r="E564" i="5"/>
  <c r="F564" i="5"/>
  <c r="D497" i="5"/>
  <c r="E497" i="5"/>
  <c r="F497" i="5"/>
  <c r="H497" i="5" s="1"/>
  <c r="D370" i="5"/>
  <c r="E370" i="5"/>
  <c r="D355" i="5"/>
  <c r="G355" i="5" s="1"/>
  <c r="E355" i="5"/>
  <c r="C493" i="5"/>
  <c r="D493" i="5"/>
  <c r="E493" i="5"/>
  <c r="F493" i="5"/>
  <c r="C465" i="5"/>
  <c r="E465" i="5"/>
  <c r="G465" i="5" s="1"/>
  <c r="F465" i="5"/>
  <c r="C618" i="5"/>
  <c r="D618" i="5"/>
  <c r="E618" i="5"/>
  <c r="F618" i="5"/>
  <c r="C598" i="5"/>
  <c r="C472" i="5"/>
  <c r="D472" i="5"/>
  <c r="F472" i="5"/>
  <c r="E472" i="5"/>
  <c r="F277" i="5"/>
  <c r="E277" i="5"/>
  <c r="D277" i="5"/>
  <c r="C277" i="5"/>
  <c r="E521" i="5"/>
  <c r="F521" i="5"/>
  <c r="D601" i="5"/>
  <c r="E601" i="5"/>
  <c r="F601" i="5"/>
  <c r="H601" i="5" s="1"/>
  <c r="C455" i="5"/>
  <c r="E455" i="5"/>
  <c r="D455" i="5"/>
  <c r="F455" i="5"/>
  <c r="E595" i="5"/>
  <c r="D595" i="5"/>
  <c r="E566" i="5"/>
  <c r="D566" i="5"/>
  <c r="F566" i="5"/>
  <c r="H566" i="5" s="1"/>
  <c r="C468" i="5"/>
  <c r="D468" i="5"/>
  <c r="E468" i="5"/>
  <c r="F380" i="5"/>
  <c r="H380" i="5" s="1"/>
  <c r="C347" i="5"/>
  <c r="D347" i="5"/>
  <c r="E347" i="5"/>
  <c r="F347" i="5"/>
  <c r="D315" i="5"/>
  <c r="E315" i="5"/>
  <c r="F315" i="5"/>
  <c r="H315" i="5" s="1"/>
  <c r="E280" i="5"/>
  <c r="F280" i="5"/>
  <c r="C280" i="5"/>
  <c r="D280" i="5"/>
  <c r="F555" i="5"/>
  <c r="C555" i="5"/>
  <c r="C331" i="5"/>
  <c r="D331" i="5"/>
  <c r="E308" i="5"/>
  <c r="F308" i="5"/>
  <c r="C308" i="5"/>
  <c r="D308" i="5"/>
  <c r="F569" i="5"/>
  <c r="E535" i="5"/>
  <c r="C535" i="5"/>
  <c r="D475" i="5"/>
  <c r="C475" i="5"/>
  <c r="C583" i="5"/>
  <c r="D583" i="5"/>
  <c r="E583" i="5"/>
  <c r="C505" i="5"/>
  <c r="D505" i="5"/>
  <c r="G505" i="5" s="1"/>
  <c r="E505" i="5"/>
  <c r="F505" i="5"/>
  <c r="E628" i="5"/>
  <c r="F628" i="5"/>
  <c r="C448" i="5"/>
  <c r="D448" i="5"/>
  <c r="E343" i="5"/>
  <c r="F343" i="5"/>
  <c r="H343" i="5" s="1"/>
  <c r="D343" i="5"/>
  <c r="G343" i="5" s="1"/>
  <c r="C569" i="5"/>
  <c r="D569" i="5"/>
  <c r="G569" i="5" s="1"/>
  <c r="D380" i="5"/>
  <c r="E380" i="5"/>
  <c r="F368" i="5"/>
  <c r="D368" i="5"/>
  <c r="E368" i="5"/>
  <c r="C368" i="5"/>
  <c r="C304" i="5"/>
  <c r="F304" i="5"/>
  <c r="D304" i="5"/>
  <c r="E304" i="5"/>
  <c r="D525" i="5"/>
  <c r="F525" i="5"/>
  <c r="D382" i="5"/>
  <c r="E382" i="5"/>
  <c r="F382" i="5"/>
  <c r="H382" i="5" s="1"/>
  <c r="D298" i="5"/>
  <c r="E298" i="5"/>
  <c r="D294" i="5"/>
  <c r="G294" i="5" s="1"/>
  <c r="E294" i="5"/>
  <c r="F294" i="5"/>
  <c r="C294" i="5"/>
  <c r="F320" i="5"/>
  <c r="C320" i="5"/>
  <c r="D320" i="5"/>
  <c r="G320" i="5" s="1"/>
  <c r="D619" i="5"/>
  <c r="C606" i="5"/>
  <c r="D604" i="5"/>
  <c r="D585" i="5"/>
  <c r="E533" i="5"/>
  <c r="D504" i="5"/>
  <c r="E499" i="5"/>
  <c r="F499" i="5"/>
  <c r="F496" i="5"/>
  <c r="H496" i="5" s="1"/>
  <c r="E486" i="5"/>
  <c r="F486" i="5"/>
  <c r="F483" i="5"/>
  <c r="H483" i="5" s="1"/>
  <c r="D483" i="5"/>
  <c r="E483" i="5"/>
  <c r="C476" i="5"/>
  <c r="D460" i="5"/>
  <c r="C263" i="5"/>
  <c r="D263" i="5"/>
  <c r="G263" i="5" s="1"/>
  <c r="F263" i="5"/>
  <c r="D533" i="5"/>
  <c r="D524" i="5"/>
  <c r="F524" i="5"/>
  <c r="E374" i="5"/>
  <c r="F374" i="5"/>
  <c r="D496" i="5"/>
  <c r="E496" i="5"/>
  <c r="D377" i="5"/>
  <c r="J377" i="5" s="1"/>
  <c r="E377" i="5"/>
  <c r="F377" i="5"/>
  <c r="H377" i="5" s="1"/>
  <c r="F364" i="5"/>
  <c r="H364" i="5" s="1"/>
  <c r="D364" i="5"/>
  <c r="J364" i="5" s="1"/>
  <c r="E364" i="5"/>
  <c r="C266" i="5"/>
  <c r="D266" i="5"/>
  <c r="E266" i="5"/>
  <c r="F266" i="5"/>
  <c r="D376" i="5"/>
  <c r="E376" i="5"/>
  <c r="C376" i="5"/>
  <c r="F376" i="5"/>
  <c r="E285" i="5"/>
  <c r="F285" i="5"/>
  <c r="D327" i="5"/>
  <c r="E327" i="5"/>
  <c r="D437" i="5"/>
  <c r="G437" i="5" s="1"/>
  <c r="E437" i="5"/>
  <c r="F437" i="5"/>
  <c r="H437" i="5" s="1"/>
  <c r="E539" i="5"/>
  <c r="D515" i="5"/>
  <c r="D446" i="5"/>
  <c r="E446" i="5"/>
  <c r="D443" i="5"/>
  <c r="C386" i="5"/>
  <c r="D386" i="5"/>
  <c r="F362" i="5"/>
  <c r="D356" i="5"/>
  <c r="F295" i="5"/>
  <c r="D295" i="5"/>
  <c r="E295" i="5"/>
  <c r="C295" i="5"/>
  <c r="E261" i="5"/>
  <c r="F261" i="5"/>
  <c r="D403" i="5"/>
  <c r="E403" i="5"/>
  <c r="C403" i="5"/>
  <c r="F403" i="5"/>
  <c r="D605" i="5"/>
  <c r="E584" i="5"/>
  <c r="F616" i="5"/>
  <c r="C584" i="5"/>
  <c r="F578" i="5"/>
  <c r="C539" i="5"/>
  <c r="E520" i="5"/>
  <c r="F520" i="5"/>
  <c r="C515" i="5"/>
  <c r="C464" i="5"/>
  <c r="F464" i="5"/>
  <c r="C443" i="5"/>
  <c r="C356" i="5"/>
  <c r="F523" i="5"/>
  <c r="E523" i="5"/>
  <c r="F541" i="5"/>
  <c r="F500" i="5"/>
  <c r="C362" i="5"/>
  <c r="D362" i="5"/>
  <c r="G362" i="5" s="1"/>
  <c r="D314" i="5"/>
  <c r="J314" i="5" s="1"/>
  <c r="E314" i="5"/>
  <c r="F314" i="5"/>
  <c r="H314" i="5" s="1"/>
  <c r="E302" i="5"/>
  <c r="F302" i="5"/>
  <c r="D273" i="5"/>
  <c r="E273" i="5"/>
  <c r="F273" i="5"/>
  <c r="H273" i="5" s="1"/>
  <c r="C511" i="5"/>
  <c r="C462" i="5"/>
  <c r="E453" i="5"/>
  <c r="D453" i="5"/>
  <c r="D379" i="5"/>
  <c r="E379" i="5"/>
  <c r="F379" i="5"/>
  <c r="C379" i="5"/>
  <c r="C270" i="5"/>
  <c r="D270" i="5"/>
  <c r="D441" i="5"/>
  <c r="G441" i="5" s="1"/>
  <c r="E441" i="5"/>
  <c r="D397" i="5"/>
  <c r="E397" i="5"/>
  <c r="E258" i="5"/>
  <c r="F258" i="5"/>
  <c r="E278" i="5"/>
  <c r="F278" i="5"/>
  <c r="F538" i="5"/>
  <c r="H538" i="5" s="1"/>
  <c r="F536" i="5"/>
  <c r="E405" i="5"/>
  <c r="C405" i="5"/>
  <c r="D405" i="5"/>
  <c r="C387" i="5"/>
  <c r="D387" i="5"/>
  <c r="E387" i="5"/>
  <c r="E381" i="5"/>
  <c r="F381" i="5"/>
  <c r="H381" i="5" s="1"/>
  <c r="D381" i="5"/>
  <c r="E284" i="5"/>
  <c r="F284" i="5"/>
  <c r="H284" i="5" s="1"/>
  <c r="D284" i="5"/>
  <c r="G284" i="5" s="1"/>
  <c r="C257" i="5"/>
  <c r="D257" i="5"/>
  <c r="C571" i="5"/>
  <c r="C548" i="5"/>
  <c r="C546" i="5"/>
  <c r="E538" i="5"/>
  <c r="D536" i="5"/>
  <c r="G536" i="5" s="1"/>
  <c r="D534" i="5"/>
  <c r="D384" i="5"/>
  <c r="E384" i="5"/>
  <c r="D297" i="5"/>
  <c r="E297" i="5"/>
  <c r="F297" i="5"/>
  <c r="H297" i="5" s="1"/>
  <c r="D260" i="5"/>
  <c r="D538" i="5"/>
  <c r="C536" i="5"/>
  <c r="C427" i="5"/>
  <c r="D427" i="5"/>
  <c r="D321" i="5"/>
  <c r="E321" i="5"/>
  <c r="D512" i="5"/>
  <c r="E512" i="5"/>
  <c r="D445" i="5"/>
  <c r="E445" i="5"/>
  <c r="C354" i="5"/>
  <c r="D354" i="5"/>
  <c r="E354" i="5"/>
  <c r="F354" i="5"/>
  <c r="E260" i="5"/>
  <c r="F260" i="5"/>
  <c r="H260" i="5" s="1"/>
  <c r="D424" i="5"/>
  <c r="E424" i="5"/>
  <c r="F514" i="5"/>
  <c r="F490" i="5"/>
  <c r="D392" i="5"/>
  <c r="D390" i="5"/>
  <c r="D371" i="5"/>
  <c r="C366" i="5"/>
  <c r="C359" i="5"/>
  <c r="D359" i="5"/>
  <c r="D352" i="5"/>
  <c r="D319" i="5"/>
  <c r="C287" i="5"/>
  <c r="D287" i="5"/>
  <c r="E423" i="5"/>
  <c r="F423" i="5"/>
  <c r="C408" i="5"/>
  <c r="D408" i="5"/>
  <c r="E408" i="5"/>
  <c r="E401" i="5"/>
  <c r="F401" i="5"/>
  <c r="C392" i="5"/>
  <c r="C311" i="5"/>
  <c r="D311" i="5"/>
  <c r="G311" i="5" s="1"/>
  <c r="F311" i="5"/>
  <c r="D274" i="5"/>
  <c r="E274" i="5"/>
  <c r="F274" i="5"/>
  <c r="H274" i="5" s="1"/>
  <c r="F262" i="5"/>
  <c r="C440" i="5"/>
  <c r="C416" i="5"/>
  <c r="C383" i="5"/>
  <c r="D383" i="5"/>
  <c r="G383" i="5" s="1"/>
  <c r="F383" i="5"/>
  <c r="C373" i="5"/>
  <c r="D316" i="5"/>
  <c r="G316" i="5" s="1"/>
  <c r="E316" i="5"/>
  <c r="D425" i="5"/>
  <c r="E425" i="5"/>
  <c r="D378" i="5"/>
  <c r="E378" i="5"/>
  <c r="C262" i="5"/>
  <c r="D262" i="5"/>
  <c r="G262" i="5" s="1"/>
  <c r="C335" i="5"/>
  <c r="D335" i="5"/>
  <c r="C310" i="5"/>
  <c r="D310" i="5"/>
  <c r="D322" i="5"/>
  <c r="E322" i="5"/>
  <c r="D346" i="5"/>
  <c r="E346" i="5"/>
  <c r="D338" i="5"/>
  <c r="E334" i="5"/>
  <c r="C332" i="5"/>
  <c r="C286" i="5"/>
  <c r="D286" i="5"/>
  <c r="C429" i="5"/>
  <c r="C334" i="5"/>
  <c r="C271" i="5"/>
  <c r="E309" i="5"/>
  <c r="F309" i="5"/>
  <c r="N1101" i="2"/>
  <c r="N1177" i="2"/>
  <c r="N1076" i="2"/>
  <c r="N1152" i="2"/>
  <c r="N1138" i="2"/>
  <c r="N1069" i="2"/>
  <c r="N1067" i="2"/>
  <c r="N1128" i="2"/>
  <c r="N1115" i="2"/>
  <c r="N1143" i="2"/>
  <c r="N1166" i="2"/>
  <c r="N1242" i="2"/>
  <c r="C1120" i="2"/>
  <c r="D1120" i="2"/>
  <c r="F1120" i="2"/>
  <c r="C1176" i="2"/>
  <c r="D1176" i="2"/>
  <c r="C1103" i="2"/>
  <c r="E1103" i="2"/>
  <c r="G1103" i="2" s="1"/>
  <c r="F1103" i="2"/>
  <c r="C1208" i="2"/>
  <c r="D1208" i="2"/>
  <c r="C1195" i="2"/>
  <c r="E1236" i="2"/>
  <c r="F1236" i="2"/>
  <c r="F1223" i="2"/>
  <c r="C1246" i="2"/>
  <c r="D1246" i="2"/>
  <c r="C1241" i="2"/>
  <c r="F1228" i="2"/>
  <c r="C1215" i="2"/>
  <c r="F1205" i="2"/>
  <c r="D1205" i="2"/>
  <c r="N950" i="2"/>
  <c r="C1025" i="2"/>
  <c r="D1025" i="2"/>
  <c r="E1025" i="2"/>
  <c r="F1025" i="2"/>
  <c r="D1239" i="2"/>
  <c r="C1085" i="2"/>
  <c r="D1085" i="2"/>
  <c r="E1085" i="2"/>
  <c r="F1085" i="2"/>
  <c r="D1226" i="2"/>
  <c r="G1226" i="2" s="1"/>
  <c r="F1226" i="2"/>
  <c r="F1043" i="2"/>
  <c r="C1043" i="2"/>
  <c r="D1043" i="2"/>
  <c r="D1207" i="2"/>
  <c r="C1207" i="2"/>
  <c r="F1199" i="2"/>
  <c r="E1152" i="2"/>
  <c r="D1032" i="2"/>
  <c r="E1032" i="2"/>
  <c r="F1032" i="2"/>
  <c r="H1032" i="2" s="1"/>
  <c r="N1111" i="2"/>
  <c r="C1213" i="2"/>
  <c r="F1179" i="2"/>
  <c r="C1179" i="2"/>
  <c r="E1043" i="2"/>
  <c r="D1202" i="2"/>
  <c r="E1202" i="2"/>
  <c r="F1202" i="2"/>
  <c r="H1202" i="2" s="1"/>
  <c r="F1250" i="2"/>
  <c r="H1250" i="2" s="1"/>
  <c r="D1212" i="2"/>
  <c r="G1212" i="2" s="1"/>
  <c r="E1212" i="2"/>
  <c r="E1194" i="2"/>
  <c r="D1194" i="2"/>
  <c r="F1191" i="2"/>
  <c r="E1250" i="2"/>
  <c r="C1248" i="2"/>
  <c r="C1238" i="2"/>
  <c r="E1217" i="2"/>
  <c r="E1199" i="2"/>
  <c r="E1191" i="2"/>
  <c r="F1181" i="2"/>
  <c r="D1181" i="2"/>
  <c r="E1166" i="2"/>
  <c r="D1152" i="2"/>
  <c r="D1135" i="2"/>
  <c r="E1135" i="2"/>
  <c r="C1244" i="2"/>
  <c r="D1244" i="2"/>
  <c r="C1052" i="2"/>
  <c r="D1052" i="2"/>
  <c r="E1052" i="2"/>
  <c r="F1052" i="2"/>
  <c r="E1241" i="2"/>
  <c r="C1236" i="2"/>
  <c r="F1215" i="2"/>
  <c r="N795" i="2"/>
  <c r="F1152" i="2"/>
  <c r="H1152" i="2" s="1"/>
  <c r="N1032" i="2"/>
  <c r="J1032" i="2"/>
  <c r="D1250" i="2"/>
  <c r="G1250" i="2" s="1"/>
  <c r="D1217" i="2"/>
  <c r="D1199" i="2"/>
  <c r="E1175" i="2"/>
  <c r="F1175" i="2"/>
  <c r="E1106" i="2"/>
  <c r="D1106" i="2"/>
  <c r="G1106" i="2" s="1"/>
  <c r="F1182" i="2"/>
  <c r="D1182" i="2"/>
  <c r="D1179" i="2"/>
  <c r="G1179" i="2" s="1"/>
  <c r="D1223" i="2"/>
  <c r="G1223" i="2" s="1"/>
  <c r="C1223" i="2"/>
  <c r="F1166" i="2"/>
  <c r="H1166" i="2" s="1"/>
  <c r="D1166" i="2"/>
  <c r="J1166" i="2" s="1"/>
  <c r="K1166" i="2" s="1"/>
  <c r="E1125" i="2"/>
  <c r="G1125" i="2" s="1"/>
  <c r="C1125" i="2"/>
  <c r="F1125" i="2"/>
  <c r="D1069" i="2"/>
  <c r="F1069" i="2"/>
  <c r="H1069" i="2" s="1"/>
  <c r="E1069" i="2"/>
  <c r="D1055" i="2"/>
  <c r="E1055" i="2"/>
  <c r="C1055" i="2"/>
  <c r="F1055" i="2"/>
  <c r="C1173" i="2"/>
  <c r="E1173" i="2"/>
  <c r="D1173" i="2"/>
  <c r="G1173" i="2" s="1"/>
  <c r="F1173" i="2"/>
  <c r="C1239" i="2"/>
  <c r="C1192" i="2"/>
  <c r="E1192" i="2"/>
  <c r="F1254" i="2"/>
  <c r="D1240" i="2"/>
  <c r="E1235" i="2"/>
  <c r="C919" i="2"/>
  <c r="E919" i="2"/>
  <c r="F919" i="2"/>
  <c r="D919" i="2"/>
  <c r="G919" i="2" s="1"/>
  <c r="E1120" i="2"/>
  <c r="H1199" i="2"/>
  <c r="D1155" i="2"/>
  <c r="E1155" i="2"/>
  <c r="C1155" i="2"/>
  <c r="F1155" i="2"/>
  <c r="C1186" i="2"/>
  <c r="E1186" i="2"/>
  <c r="C1240" i="2"/>
  <c r="D1235" i="2"/>
  <c r="G1235" i="2" s="1"/>
  <c r="E1222" i="2"/>
  <c r="F1222" i="2"/>
  <c r="F1193" i="2"/>
  <c r="F1183" i="2"/>
  <c r="F1160" i="2"/>
  <c r="D1076" i="2"/>
  <c r="J1076" i="2" s="1"/>
  <c r="K1076" i="2" s="1"/>
  <c r="E1208" i="2"/>
  <c r="E1219" i="2"/>
  <c r="D1214" i="2"/>
  <c r="E1214" i="2"/>
  <c r="E1160" i="2"/>
  <c r="F1072" i="2"/>
  <c r="D1134" i="2"/>
  <c r="F1134" i="2"/>
  <c r="C1134" i="2"/>
  <c r="E1134" i="2"/>
  <c r="D1128" i="2"/>
  <c r="J1128" i="2" s="1"/>
  <c r="E1128" i="2"/>
  <c r="F1128" i="2"/>
  <c r="H1128" i="2" s="1"/>
  <c r="F1115" i="2"/>
  <c r="H1115" i="2" s="1"/>
  <c r="D1115" i="2"/>
  <c r="E1115" i="2"/>
  <c r="E1101" i="2"/>
  <c r="D1101" i="2"/>
  <c r="F1101" i="2"/>
  <c r="H1101" i="2" s="1"/>
  <c r="F1076" i="2"/>
  <c r="H1076" i="2" s="1"/>
  <c r="E1076" i="2"/>
  <c r="N1203" i="2"/>
  <c r="F1143" i="2"/>
  <c r="H1143" i="2" s="1"/>
  <c r="D1143" i="2"/>
  <c r="J1143" i="2" s="1"/>
  <c r="E1143" i="2"/>
  <c r="C1095" i="2"/>
  <c r="D1183" i="2"/>
  <c r="G1183" i="2" s="1"/>
  <c r="C1183" i="2"/>
  <c r="D1258" i="2"/>
  <c r="D1256" i="2"/>
  <c r="F1154" i="2"/>
  <c r="E1072" i="2"/>
  <c r="G1072" i="2" s="1"/>
  <c r="C1072" i="2"/>
  <c r="C1220" i="2"/>
  <c r="D1220" i="2"/>
  <c r="E1220" i="2"/>
  <c r="F1201" i="2"/>
  <c r="C1201" i="2"/>
  <c r="C1258" i="2"/>
  <c r="F1242" i="2"/>
  <c r="H1242" i="2" s="1"/>
  <c r="C1232" i="2"/>
  <c r="C1211" i="2"/>
  <c r="D1188" i="2"/>
  <c r="F1188" i="2"/>
  <c r="D1177" i="2"/>
  <c r="F1174" i="2"/>
  <c r="F1162" i="2"/>
  <c r="E1154" i="2"/>
  <c r="E1138" i="2"/>
  <c r="F1086" i="2"/>
  <c r="E1203" i="2"/>
  <c r="D1203" i="2"/>
  <c r="J1203" i="2" s="1"/>
  <c r="E966" i="2"/>
  <c r="D966" i="2"/>
  <c r="D1192" i="2"/>
  <c r="G1192" i="2" s="1"/>
  <c r="D1236" i="2"/>
  <c r="G1236" i="2" s="1"/>
  <c r="D1247" i="2"/>
  <c r="C1247" i="2"/>
  <c r="E1247" i="2"/>
  <c r="D1168" i="2"/>
  <c r="F1168" i="2"/>
  <c r="E1162" i="2"/>
  <c r="C1151" i="2"/>
  <c r="D1151" i="2"/>
  <c r="E1151" i="2"/>
  <c r="C1147" i="2"/>
  <c r="C1226" i="2"/>
  <c r="D1231" i="2"/>
  <c r="C1231" i="2"/>
  <c r="C1174" i="2"/>
  <c r="D1174" i="2"/>
  <c r="G1174" i="2" s="1"/>
  <c r="D1138" i="2"/>
  <c r="G1138" i="2" s="1"/>
  <c r="F1138" i="2"/>
  <c r="H1138" i="2" s="1"/>
  <c r="E1104" i="2"/>
  <c r="E1086" i="2"/>
  <c r="G1086" i="2" s="1"/>
  <c r="C1086" i="2"/>
  <c r="E1176" i="2"/>
  <c r="D1241" i="2"/>
  <c r="G1241" i="2" s="1"/>
  <c r="D1215" i="2"/>
  <c r="G1215" i="2" s="1"/>
  <c r="E1242" i="2"/>
  <c r="D1242" i="2"/>
  <c r="J1242" i="2" s="1"/>
  <c r="F1177" i="2"/>
  <c r="H1177" i="2" s="1"/>
  <c r="E1177" i="2"/>
  <c r="F1147" i="2"/>
  <c r="D1104" i="2"/>
  <c r="D1079" i="2"/>
  <c r="G1079" i="2" s="1"/>
  <c r="C1079" i="2"/>
  <c r="E1079" i="2"/>
  <c r="F1079" i="2"/>
  <c r="C1135" i="2"/>
  <c r="E1067" i="2"/>
  <c r="D1067" i="2"/>
  <c r="F1067" i="2"/>
  <c r="H1067" i="2" s="1"/>
  <c r="E1224" i="2"/>
  <c r="F1224" i="2"/>
  <c r="F1195" i="2"/>
  <c r="E1234" i="2"/>
  <c r="F1234" i="2"/>
  <c r="F1213" i="2"/>
  <c r="F1208" i="2"/>
  <c r="F1203" i="2"/>
  <c r="H1203" i="2" s="1"/>
  <c r="C1190" i="2"/>
  <c r="E1190" i="2"/>
  <c r="E1147" i="2"/>
  <c r="G1147" i="2" s="1"/>
  <c r="F1135" i="2"/>
  <c r="C1127" i="2"/>
  <c r="E1127" i="2"/>
  <c r="F1127" i="2"/>
  <c r="D1127" i="2"/>
  <c r="H1111" i="2"/>
  <c r="C1104" i="2"/>
  <c r="C1124" i="2"/>
  <c r="D1124" i="2"/>
  <c r="G1124" i="2" s="1"/>
  <c r="F1124" i="2"/>
  <c r="C1091" i="2"/>
  <c r="N1014" i="2"/>
  <c r="C1010" i="2"/>
  <c r="D1010" i="2"/>
  <c r="G1010" i="2" s="1"/>
  <c r="F1010" i="2"/>
  <c r="N923" i="2"/>
  <c r="F1144" i="2"/>
  <c r="E1129" i="2"/>
  <c r="G1129" i="2" s="1"/>
  <c r="F1111" i="2"/>
  <c r="C1049" i="2"/>
  <c r="D1049" i="2"/>
  <c r="D1014" i="2"/>
  <c r="G1014" i="2" s="1"/>
  <c r="E1014" i="2"/>
  <c r="F1014" i="2"/>
  <c r="H1014" i="2" s="1"/>
  <c r="C851" i="2"/>
  <c r="D851" i="2"/>
  <c r="E851" i="2"/>
  <c r="F851" i="2"/>
  <c r="E1180" i="2"/>
  <c r="F1099" i="2"/>
  <c r="D1088" i="2"/>
  <c r="F1088" i="2"/>
  <c r="C1144" i="2"/>
  <c r="D1144" i="2"/>
  <c r="G1144" i="2" s="1"/>
  <c r="C1129" i="2"/>
  <c r="F1129" i="2"/>
  <c r="D1111" i="2"/>
  <c r="E1111" i="2"/>
  <c r="D1099" i="2"/>
  <c r="G1099" i="2" s="1"/>
  <c r="N1077" i="2"/>
  <c r="C1071" i="2"/>
  <c r="E1071" i="2"/>
  <c r="G1071" i="2" s="1"/>
  <c r="F1071" i="2"/>
  <c r="E959" i="2"/>
  <c r="F1196" i="2"/>
  <c r="F1184" i="2"/>
  <c r="C1099" i="2"/>
  <c r="D959" i="2"/>
  <c r="C959" i="2"/>
  <c r="F950" i="2"/>
  <c r="H950" i="2" s="1"/>
  <c r="E950" i="2"/>
  <c r="D950" i="2"/>
  <c r="J950" i="2" s="1"/>
  <c r="E1090" i="2"/>
  <c r="G1090" i="2" s="1"/>
  <c r="C1090" i="2"/>
  <c r="F1090" i="2"/>
  <c r="E1041" i="2"/>
  <c r="F1216" i="2"/>
  <c r="F1210" i="2"/>
  <c r="D1200" i="2"/>
  <c r="E1165" i="2"/>
  <c r="F1204" i="2"/>
  <c r="C1200" i="2"/>
  <c r="F1171" i="2"/>
  <c r="D1165" i="2"/>
  <c r="C1093" i="2"/>
  <c r="D1041" i="2"/>
  <c r="G1041" i="2" s="1"/>
  <c r="E1171" i="2"/>
  <c r="D1131" i="2"/>
  <c r="E1131" i="2"/>
  <c r="C1131" i="2"/>
  <c r="C1041" i="2"/>
  <c r="G1084" i="2"/>
  <c r="C1148" i="2"/>
  <c r="D1148" i="2"/>
  <c r="C1136" i="2"/>
  <c r="D1107" i="2"/>
  <c r="E1107" i="2"/>
  <c r="C1107" i="2"/>
  <c r="F1107" i="2"/>
  <c r="F1084" i="2"/>
  <c r="C1084" i="2"/>
  <c r="E1084" i="2"/>
  <c r="N1047" i="2"/>
  <c r="E1059" i="2"/>
  <c r="C1021" i="2"/>
  <c r="F1021" i="2"/>
  <c r="F978" i="2"/>
  <c r="C1064" i="2"/>
  <c r="D1064" i="2"/>
  <c r="E1064" i="2"/>
  <c r="C1000" i="2"/>
  <c r="F1000" i="2"/>
  <c r="E978" i="2"/>
  <c r="F991" i="2"/>
  <c r="E795" i="2"/>
  <c r="F795" i="2"/>
  <c r="H795" i="2" s="1"/>
  <c r="D795" i="2"/>
  <c r="F1026" i="2"/>
  <c r="E1009" i="2"/>
  <c r="F1009" i="2"/>
  <c r="E984" i="2"/>
  <c r="D984" i="2"/>
  <c r="G984" i="2" s="1"/>
  <c r="C984" i="2"/>
  <c r="N823" i="2"/>
  <c r="C1073" i="2"/>
  <c r="F1073" i="2"/>
  <c r="C965" i="2"/>
  <c r="D965" i="2"/>
  <c r="E965" i="2"/>
  <c r="C1026" i="2"/>
  <c r="E1026" i="2"/>
  <c r="G1026" i="2" s="1"/>
  <c r="E1023" i="2"/>
  <c r="C974" i="2"/>
  <c r="D974" i="2"/>
  <c r="G974" i="2" s="1"/>
  <c r="F974" i="2"/>
  <c r="C1037" i="2"/>
  <c r="E1037" i="2"/>
  <c r="C1023" i="2"/>
  <c r="D1005" i="2"/>
  <c r="E1005" i="2"/>
  <c r="E935" i="2"/>
  <c r="N899" i="2"/>
  <c r="C1096" i="2"/>
  <c r="D1096" i="2"/>
  <c r="D935" i="2"/>
  <c r="D907" i="2"/>
  <c r="F907" i="2"/>
  <c r="C907" i="2"/>
  <c r="E907" i="2"/>
  <c r="N808" i="2"/>
  <c r="C1105" i="2"/>
  <c r="F1105" i="2"/>
  <c r="D1053" i="2"/>
  <c r="C1050" i="2"/>
  <c r="D1050" i="2"/>
  <c r="E1050" i="2"/>
  <c r="F1050" i="2"/>
  <c r="E983" i="2"/>
  <c r="C935" i="2"/>
  <c r="F1141" i="2"/>
  <c r="F1132" i="2"/>
  <c r="D1114" i="2"/>
  <c r="F1114" i="2"/>
  <c r="C1053" i="2"/>
  <c r="F1028" i="2"/>
  <c r="D1047" i="2"/>
  <c r="D1028" i="2"/>
  <c r="G1028" i="2" s="1"/>
  <c r="D956" i="2"/>
  <c r="N911" i="2"/>
  <c r="D1065" i="2"/>
  <c r="F1039" i="2"/>
  <c r="C1028" i="2"/>
  <c r="C956" i="2"/>
  <c r="E1047" i="2"/>
  <c r="F1047" i="2"/>
  <c r="H1047" i="2" s="1"/>
  <c r="D1039" i="2"/>
  <c r="G1039" i="2" s="1"/>
  <c r="E963" i="2"/>
  <c r="G963" i="2" s="1"/>
  <c r="C1100" i="2"/>
  <c r="D1100" i="2"/>
  <c r="F1077" i="2"/>
  <c r="H1077" i="2" s="1"/>
  <c r="D1077" i="2"/>
  <c r="J1077" i="2" s="1"/>
  <c r="K1077" i="2" s="1"/>
  <c r="E1077" i="2"/>
  <c r="C1039" i="2"/>
  <c r="N838" i="2"/>
  <c r="C827" i="2"/>
  <c r="D827" i="2"/>
  <c r="E827" i="2"/>
  <c r="F827" i="2"/>
  <c r="C963" i="2"/>
  <c r="F963" i="2"/>
  <c r="F945" i="2"/>
  <c r="C945" i="2"/>
  <c r="E945" i="2"/>
  <c r="G945" i="2" s="1"/>
  <c r="E917" i="2"/>
  <c r="F917" i="2"/>
  <c r="E910" i="2"/>
  <c r="G910" i="2" s="1"/>
  <c r="C910" i="2"/>
  <c r="F910" i="2"/>
  <c r="D899" i="2"/>
  <c r="F899" i="2"/>
  <c r="H899" i="2" s="1"/>
  <c r="E899" i="2"/>
  <c r="C896" i="2"/>
  <c r="D896" i="2"/>
  <c r="C988" i="2"/>
  <c r="F988" i="2"/>
  <c r="D988" i="2"/>
  <c r="G988" i="2" s="1"/>
  <c r="N905" i="2"/>
  <c r="E817" i="2"/>
  <c r="F817" i="2"/>
  <c r="E997" i="2"/>
  <c r="E1083" i="2"/>
  <c r="F1060" i="2"/>
  <c r="F1044" i="2"/>
  <c r="E1040" i="2"/>
  <c r="C1040" i="2"/>
  <c r="F1022" i="2"/>
  <c r="E1020" i="2"/>
  <c r="D1011" i="2"/>
  <c r="E1011" i="2"/>
  <c r="F1011" i="2"/>
  <c r="H1011" i="2" s="1"/>
  <c r="F1006" i="2"/>
  <c r="E999" i="2"/>
  <c r="D997" i="2"/>
  <c r="F982" i="2"/>
  <c r="F1157" i="2"/>
  <c r="F1133" i="2"/>
  <c r="F1109" i="2"/>
  <c r="E1060" i="2"/>
  <c r="E1058" i="2"/>
  <c r="F1056" i="2"/>
  <c r="F1054" i="2"/>
  <c r="F1048" i="2"/>
  <c r="E1044" i="2"/>
  <c r="E1006" i="2"/>
  <c r="E982" i="2"/>
  <c r="N816" i="2"/>
  <c r="F1001" i="2"/>
  <c r="H1001" i="2" s="1"/>
  <c r="C964" i="2"/>
  <c r="D964" i="2"/>
  <c r="G964" i="2" s="1"/>
  <c r="E964" i="2"/>
  <c r="E958" i="2"/>
  <c r="C958" i="2"/>
  <c r="D958" i="2"/>
  <c r="C916" i="2"/>
  <c r="D916" i="2"/>
  <c r="G916" i="2" s="1"/>
  <c r="F916" i="2"/>
  <c r="E1001" i="2"/>
  <c r="F979" i="2"/>
  <c r="G844" i="2"/>
  <c r="F1142" i="2"/>
  <c r="F1118" i="2"/>
  <c r="F1094" i="2"/>
  <c r="F1075" i="2"/>
  <c r="D1029" i="2"/>
  <c r="F1029" i="2"/>
  <c r="F1024" i="2"/>
  <c r="C1013" i="2"/>
  <c r="D1013" i="2"/>
  <c r="E1013" i="2"/>
  <c r="D1001" i="2"/>
  <c r="J1001" i="2" s="1"/>
  <c r="F987" i="2"/>
  <c r="F908" i="2"/>
  <c r="C866" i="2"/>
  <c r="D866" i="2"/>
  <c r="J844" i="2"/>
  <c r="F1008" i="2"/>
  <c r="E1003" i="2"/>
  <c r="D979" i="2"/>
  <c r="G979" i="2" s="1"/>
  <c r="C979" i="2"/>
  <c r="F954" i="2"/>
  <c r="C992" i="2"/>
  <c r="E992" i="2"/>
  <c r="D992" i="2"/>
  <c r="G992" i="2" s="1"/>
  <c r="C936" i="2"/>
  <c r="E936" i="2"/>
  <c r="D936" i="2"/>
  <c r="G936" i="2" s="1"/>
  <c r="F936" i="2"/>
  <c r="C908" i="2"/>
  <c r="E908" i="2"/>
  <c r="G908" i="2" s="1"/>
  <c r="F806" i="2"/>
  <c r="C803" i="2"/>
  <c r="D803" i="2"/>
  <c r="E803" i="2"/>
  <c r="F803" i="2"/>
  <c r="E810" i="2"/>
  <c r="G810" i="2" s="1"/>
  <c r="E806" i="2"/>
  <c r="N880" i="2"/>
  <c r="C869" i="2"/>
  <c r="D869" i="2"/>
  <c r="E869" i="2"/>
  <c r="F869" i="2"/>
  <c r="F911" i="2"/>
  <c r="H911" i="2" s="1"/>
  <c r="D911" i="2"/>
  <c r="G911" i="2" s="1"/>
  <c r="E911" i="2"/>
  <c r="C832" i="2"/>
  <c r="D832" i="2"/>
  <c r="E832" i="2"/>
  <c r="F832" i="2"/>
  <c r="C810" i="2"/>
  <c r="F810" i="2"/>
  <c r="E873" i="2"/>
  <c r="F873" i="2"/>
  <c r="N797" i="2"/>
  <c r="F986" i="2"/>
  <c r="E929" i="2"/>
  <c r="F890" i="2"/>
  <c r="E884" i="2"/>
  <c r="E878" i="2"/>
  <c r="C944" i="2"/>
  <c r="E944" i="2"/>
  <c r="D929" i="2"/>
  <c r="E890" i="2"/>
  <c r="E967" i="2"/>
  <c r="F960" i="2"/>
  <c r="E921" i="2"/>
  <c r="F850" i="2"/>
  <c r="D830" i="2"/>
  <c r="D967" i="2"/>
  <c r="E953" i="2"/>
  <c r="F931" i="2"/>
  <c r="D921" i="2"/>
  <c r="E850" i="2"/>
  <c r="C830" i="2"/>
  <c r="F808" i="2"/>
  <c r="H808" i="2" s="1"/>
  <c r="F962" i="2"/>
  <c r="C960" i="2"/>
  <c r="E960" i="2"/>
  <c r="G960" i="2" s="1"/>
  <c r="D953" i="2"/>
  <c r="E946" i="2"/>
  <c r="C921" i="2"/>
  <c r="F819" i="2"/>
  <c r="E808" i="2"/>
  <c r="C875" i="2"/>
  <c r="D875" i="2"/>
  <c r="G875" i="2" s="1"/>
  <c r="F875" i="2"/>
  <c r="E819" i="2"/>
  <c r="D808" i="2"/>
  <c r="G808" i="2" s="1"/>
  <c r="N801" i="2"/>
  <c r="F797" i="2"/>
  <c r="H797" i="2" s="1"/>
  <c r="D962" i="2"/>
  <c r="C946" i="2"/>
  <c r="E918" i="2"/>
  <c r="C918" i="2"/>
  <c r="D918" i="2"/>
  <c r="D880" i="2"/>
  <c r="D871" i="2"/>
  <c r="E797" i="2"/>
  <c r="F943" i="2"/>
  <c r="H943" i="2" s="1"/>
  <c r="C912" i="2"/>
  <c r="E912" i="2"/>
  <c r="D912" i="2"/>
  <c r="D886" i="2"/>
  <c r="G886" i="2" s="1"/>
  <c r="E886" i="2"/>
  <c r="C858" i="2"/>
  <c r="D858" i="2"/>
  <c r="E858" i="2"/>
  <c r="F858" i="2"/>
  <c r="D797" i="2"/>
  <c r="J797" i="2" s="1"/>
  <c r="C994" i="2"/>
  <c r="F994" i="2"/>
  <c r="E943" i="2"/>
  <c r="F897" i="2"/>
  <c r="C897" i="2"/>
  <c r="D897" i="2"/>
  <c r="E897" i="2"/>
  <c r="E880" i="2"/>
  <c r="F880" i="2"/>
  <c r="H880" i="2" s="1"/>
  <c r="N814" i="2"/>
  <c r="C955" i="2"/>
  <c r="C948" i="2"/>
  <c r="D943" i="2"/>
  <c r="J943" i="2" s="1"/>
  <c r="E923" i="2"/>
  <c r="C845" i="2"/>
  <c r="D845" i="2"/>
  <c r="E845" i="2"/>
  <c r="F845" i="2"/>
  <c r="D923" i="2"/>
  <c r="J923" i="2" s="1"/>
  <c r="F923" i="2"/>
  <c r="H923" i="2" s="1"/>
  <c r="F905" i="2"/>
  <c r="H905" i="2" s="1"/>
  <c r="D905" i="2"/>
  <c r="J905" i="2" s="1"/>
  <c r="E905" i="2"/>
  <c r="N825" i="2"/>
  <c r="E902" i="2"/>
  <c r="E900" i="2"/>
  <c r="F863" i="2"/>
  <c r="E849" i="2"/>
  <c r="F849" i="2"/>
  <c r="D836" i="2"/>
  <c r="E799" i="2"/>
  <c r="D947" i="2"/>
  <c r="F947" i="2"/>
  <c r="E881" i="2"/>
  <c r="C870" i="2"/>
  <c r="E870" i="2"/>
  <c r="D863" i="2"/>
  <c r="F846" i="2"/>
  <c r="F823" i="2"/>
  <c r="H823" i="2" s="1"/>
  <c r="E802" i="2"/>
  <c r="F826" i="2"/>
  <c r="E823" i="2"/>
  <c r="F815" i="2"/>
  <c r="H815" i="2" s="1"/>
  <c r="E812" i="2"/>
  <c r="C802" i="2"/>
  <c r="D881" i="2"/>
  <c r="F881" i="2"/>
  <c r="H881" i="2" s="1"/>
  <c r="C846" i="2"/>
  <c r="E846" i="2"/>
  <c r="G846" i="2" s="1"/>
  <c r="E826" i="2"/>
  <c r="G826" i="2" s="1"/>
  <c r="D823" i="2"/>
  <c r="J823" i="2" s="1"/>
  <c r="E815" i="2"/>
  <c r="D977" i="2"/>
  <c r="D969" i="2"/>
  <c r="F932" i="2"/>
  <c r="F926" i="2"/>
  <c r="F924" i="2"/>
  <c r="F922" i="2"/>
  <c r="E920" i="2"/>
  <c r="C826" i="2"/>
  <c r="D815" i="2"/>
  <c r="C812" i="2"/>
  <c r="D838" i="2"/>
  <c r="J838" i="2" s="1"/>
  <c r="E838" i="2"/>
  <c r="F838" i="2"/>
  <c r="H838" i="2" s="1"/>
  <c r="D934" i="2"/>
  <c r="D932" i="2"/>
  <c r="D926" i="2"/>
  <c r="F889" i="2"/>
  <c r="E887" i="2"/>
  <c r="C872" i="2"/>
  <c r="F872" i="2"/>
  <c r="E867" i="2"/>
  <c r="D860" i="2"/>
  <c r="E843" i="2"/>
  <c r="D801" i="2"/>
  <c r="F990" i="2"/>
  <c r="D971" i="2"/>
  <c r="F971" i="2"/>
  <c r="F940" i="2"/>
  <c r="F938" i="2"/>
  <c r="C934" i="2"/>
  <c r="F895" i="2"/>
  <c r="F893" i="2"/>
  <c r="E889" i="2"/>
  <c r="D887" i="2"/>
  <c r="G887" i="2" s="1"/>
  <c r="F874" i="2"/>
  <c r="D867" i="2"/>
  <c r="G867" i="2" s="1"/>
  <c r="C860" i="2"/>
  <c r="D843" i="2"/>
  <c r="G843" i="2" s="1"/>
  <c r="E895" i="2"/>
  <c r="E874" i="2"/>
  <c r="E801" i="2"/>
  <c r="F801" i="2"/>
  <c r="H801" i="2" s="1"/>
  <c r="J840" i="2"/>
  <c r="D825" i="2"/>
  <c r="J825" i="2" s="1"/>
  <c r="C942" i="2"/>
  <c r="D862" i="2"/>
  <c r="E862" i="2"/>
  <c r="C848" i="2"/>
  <c r="F848" i="2"/>
  <c r="D814" i="2"/>
  <c r="E814" i="2"/>
  <c r="F814" i="2"/>
  <c r="H814" i="2" s="1"/>
  <c r="N840" i="2"/>
  <c r="E825" i="2"/>
  <c r="F825" i="2"/>
  <c r="H825" i="2" s="1"/>
  <c r="N792" i="2"/>
  <c r="F824" i="2"/>
  <c r="F800" i="2"/>
  <c r="F857" i="2"/>
  <c r="F833" i="2"/>
  <c r="E822" i="2"/>
  <c r="F809" i="2"/>
  <c r="E798" i="2"/>
  <c r="D822" i="2"/>
  <c r="D798" i="2"/>
  <c r="F796" i="2"/>
  <c r="H796" i="2" s="1"/>
  <c r="E820" i="2"/>
  <c r="F807" i="2"/>
  <c r="E796" i="2"/>
  <c r="D796" i="2"/>
  <c r="G796" i="2" s="1"/>
  <c r="F794" i="2"/>
  <c r="H794" i="2" s="1"/>
  <c r="E818" i="2"/>
  <c r="F805" i="2"/>
  <c r="E794" i="2"/>
  <c r="D842" i="2"/>
  <c r="F840" i="2"/>
  <c r="H840" i="2" s="1"/>
  <c r="D818" i="2"/>
  <c r="F816" i="2"/>
  <c r="H816" i="2" s="1"/>
  <c r="D794" i="2"/>
  <c r="J794" i="2" s="1"/>
  <c r="K794" i="2" s="1"/>
  <c r="F792" i="2"/>
  <c r="H792" i="2" s="1"/>
  <c r="E888" i="2"/>
  <c r="E864" i="2"/>
  <c r="E840" i="2"/>
  <c r="E816" i="2"/>
  <c r="E792" i="2"/>
  <c r="D840" i="2"/>
  <c r="D816" i="2"/>
  <c r="J816" i="2" s="1"/>
  <c r="K816" i="2" s="1"/>
  <c r="D792" i="2"/>
  <c r="N775" i="2"/>
  <c r="G787" i="2"/>
  <c r="N773" i="2"/>
  <c r="H773" i="2"/>
  <c r="N786" i="2"/>
  <c r="N762" i="2"/>
  <c r="D789" i="2"/>
  <c r="F787" i="2"/>
  <c r="E776" i="2"/>
  <c r="D765" i="2"/>
  <c r="G765" i="2" s="1"/>
  <c r="F763" i="2"/>
  <c r="C789" i="2"/>
  <c r="E787" i="2"/>
  <c r="D776" i="2"/>
  <c r="C765" i="2"/>
  <c r="E763" i="2"/>
  <c r="D771" i="2"/>
  <c r="G771" i="2" s="1"/>
  <c r="D782" i="2"/>
  <c r="G782" i="2" s="1"/>
  <c r="C787" i="2"/>
  <c r="D772" i="2"/>
  <c r="F770" i="2"/>
  <c r="D785" i="2"/>
  <c r="F768" i="2"/>
  <c r="D781" i="2"/>
  <c r="G781" i="2" s="1"/>
  <c r="E768" i="2"/>
  <c r="C784" i="2"/>
  <c r="E782" i="2"/>
  <c r="F765" i="2"/>
  <c r="C791" i="2"/>
  <c r="E789" i="2"/>
  <c r="C776" i="2"/>
  <c r="C781" i="2"/>
  <c r="F766" i="2"/>
  <c r="C782" i="2"/>
  <c r="D790" i="2"/>
  <c r="E788" i="2"/>
  <c r="D777" i="2"/>
  <c r="F775" i="2"/>
  <c r="H775" i="2" s="1"/>
  <c r="E764" i="2"/>
  <c r="E775" i="2"/>
  <c r="D764" i="2"/>
  <c r="F762" i="2"/>
  <c r="H762" i="2" s="1"/>
  <c r="E786" i="2"/>
  <c r="D775" i="2"/>
  <c r="F773" i="2"/>
  <c r="E762" i="2"/>
  <c r="D786" i="2"/>
  <c r="F784" i="2"/>
  <c r="E773" i="2"/>
  <c r="D762" i="2"/>
  <c r="G762" i="2" s="1"/>
  <c r="C771" i="2"/>
  <c r="E769" i="2"/>
  <c r="D769" i="2"/>
  <c r="F781" i="2"/>
  <c r="F786" i="2"/>
  <c r="H786" i="2" s="1"/>
  <c r="E784" i="2"/>
  <c r="G784" i="2" s="1"/>
  <c r="D773" i="2"/>
  <c r="F771" i="2"/>
  <c r="N760" i="2"/>
  <c r="N758" i="2"/>
  <c r="H756" i="2"/>
  <c r="N756" i="2"/>
  <c r="H754" i="2"/>
  <c r="N754" i="2"/>
  <c r="F757" i="2"/>
  <c r="D757" i="2"/>
  <c r="G757" i="2" s="1"/>
  <c r="F755" i="2"/>
  <c r="C757" i="2"/>
  <c r="E755" i="2"/>
  <c r="E761" i="2"/>
  <c r="D761" i="2"/>
  <c r="F760" i="2"/>
  <c r="H760" i="2" s="1"/>
  <c r="E760" i="2"/>
  <c r="D760" i="2"/>
  <c r="G760" i="2" s="1"/>
  <c r="F758" i="2"/>
  <c r="H758" i="2" s="1"/>
  <c r="E758" i="2"/>
  <c r="D758" i="2"/>
  <c r="F756" i="2"/>
  <c r="E756" i="2"/>
  <c r="C761" i="2"/>
  <c r="D756" i="2"/>
  <c r="G756" i="2" s="1"/>
  <c r="F754" i="2"/>
  <c r="E754" i="2"/>
  <c r="D754" i="2"/>
  <c r="N752" i="2"/>
  <c r="D753" i="2"/>
  <c r="F752" i="2"/>
  <c r="H752" i="2" s="1"/>
  <c r="E752" i="2"/>
  <c r="D752" i="2"/>
  <c r="G752" i="2" s="1"/>
  <c r="M544" i="2"/>
  <c r="M221" i="5"/>
  <c r="M124" i="5"/>
  <c r="M139" i="5"/>
  <c r="L131" i="2"/>
  <c r="L721" i="2"/>
  <c r="M736" i="2"/>
  <c r="M658" i="2"/>
  <c r="M590" i="2"/>
  <c r="M474" i="2"/>
  <c r="M408" i="2"/>
  <c r="M317" i="2"/>
  <c r="M228" i="2"/>
  <c r="M160" i="2"/>
  <c r="M36" i="2"/>
  <c r="M220" i="5"/>
  <c r="M138" i="5"/>
  <c r="L720" i="2"/>
  <c r="M735" i="2"/>
  <c r="M657" i="2"/>
  <c r="M552" i="2"/>
  <c r="M473" i="2"/>
  <c r="M402" i="2"/>
  <c r="M316" i="2"/>
  <c r="M227" i="2"/>
  <c r="M129" i="2"/>
  <c r="M35" i="2"/>
  <c r="M219" i="5"/>
  <c r="M137" i="5"/>
  <c r="L719" i="2"/>
  <c r="M734" i="2"/>
  <c r="M656" i="2"/>
  <c r="M551" i="2"/>
  <c r="M472" i="2"/>
  <c r="M401" i="2"/>
  <c r="M315" i="2"/>
  <c r="M226" i="2"/>
  <c r="M128" i="2"/>
  <c r="M34" i="2"/>
  <c r="M218" i="5"/>
  <c r="M136" i="5"/>
  <c r="L590" i="2"/>
  <c r="M733" i="2"/>
  <c r="M655" i="2"/>
  <c r="M550" i="2"/>
  <c r="M471" i="2"/>
  <c r="M400" i="2"/>
  <c r="M314" i="2"/>
  <c r="M225" i="2"/>
  <c r="M127" i="2"/>
  <c r="M33" i="2"/>
  <c r="M201" i="5"/>
  <c r="M126" i="5"/>
  <c r="L589" i="2"/>
  <c r="M732" i="2"/>
  <c r="M654" i="2"/>
  <c r="M549" i="2"/>
  <c r="M470" i="2"/>
  <c r="M399" i="2"/>
  <c r="M313" i="2"/>
  <c r="M224" i="2"/>
  <c r="M118" i="2"/>
  <c r="M32" i="2"/>
  <c r="M200" i="5"/>
  <c r="M125" i="5"/>
  <c r="L588" i="2"/>
  <c r="M731" i="2"/>
  <c r="M630" i="2"/>
  <c r="M548" i="2"/>
  <c r="M469" i="2"/>
  <c r="M398" i="2"/>
  <c r="M312" i="2"/>
  <c r="M211" i="2"/>
  <c r="M117" i="2"/>
  <c r="M31" i="2"/>
  <c r="M199" i="5"/>
  <c r="L454" i="2"/>
  <c r="M730" i="2"/>
  <c r="M615" i="2"/>
  <c r="M547" i="2"/>
  <c r="M468" i="2"/>
  <c r="M382" i="2"/>
  <c r="M311" i="2"/>
  <c r="M187" i="2"/>
  <c r="M116" i="2"/>
  <c r="M30" i="2"/>
  <c r="M194" i="5"/>
  <c r="M123" i="5"/>
  <c r="M737" i="2"/>
  <c r="M659" i="2"/>
  <c r="M591" i="2"/>
  <c r="M496" i="2"/>
  <c r="M409" i="2"/>
  <c r="M318" i="2"/>
  <c r="M232" i="2"/>
  <c r="M166" i="2"/>
  <c r="M46" i="2"/>
  <c r="L453" i="2"/>
  <c r="M725" i="2"/>
  <c r="M614" i="2"/>
  <c r="M546" i="2"/>
  <c r="M467" i="2"/>
  <c r="M381" i="2"/>
  <c r="M310" i="2"/>
  <c r="M186" i="2"/>
  <c r="M115" i="2"/>
  <c r="M29" i="2"/>
  <c r="M193" i="5"/>
  <c r="M122" i="5"/>
  <c r="M739" i="2"/>
  <c r="M661" i="2"/>
  <c r="M593" i="2"/>
  <c r="M498" i="2"/>
  <c r="M411" i="2"/>
  <c r="M320" i="2"/>
  <c r="M238" i="2"/>
  <c r="M168" i="2"/>
  <c r="M141" i="5"/>
  <c r="L133" i="2"/>
  <c r="M592" i="2"/>
  <c r="M237" i="2"/>
  <c r="M140" i="5"/>
  <c r="L132" i="2"/>
  <c r="L452" i="2"/>
  <c r="M724" i="2"/>
  <c r="M613" i="2"/>
  <c r="M545" i="2"/>
  <c r="M466" i="2"/>
  <c r="M380" i="2"/>
  <c r="M309" i="2"/>
  <c r="M185" i="2"/>
  <c r="M114" i="2"/>
  <c r="M28" i="2"/>
  <c r="M192" i="5"/>
  <c r="M121" i="5"/>
  <c r="M86" i="5"/>
  <c r="M85" i="5"/>
  <c r="M84" i="5"/>
  <c r="M83" i="5"/>
  <c r="M82" i="5"/>
  <c r="M685" i="2"/>
  <c r="M603" i="2"/>
  <c r="M517" i="2"/>
  <c r="M456" i="2"/>
  <c r="M350" i="2"/>
  <c r="M261" i="2"/>
  <c r="M179" i="2"/>
  <c r="M93" i="2"/>
  <c r="M22" i="2"/>
  <c r="M148" i="5"/>
  <c r="M78" i="5"/>
  <c r="M48" i="2"/>
  <c r="M47" i="2"/>
  <c r="L320" i="2"/>
  <c r="M612" i="2"/>
  <c r="M24" i="2"/>
  <c r="M2" i="2"/>
  <c r="M680" i="2"/>
  <c r="M602" i="2"/>
  <c r="M516" i="2"/>
  <c r="M455" i="2"/>
  <c r="M335" i="2"/>
  <c r="M260" i="2"/>
  <c r="M178" i="2"/>
  <c r="M92" i="2"/>
  <c r="M21" i="2"/>
  <c r="M147" i="5"/>
  <c r="M77" i="5"/>
  <c r="M751" i="2"/>
  <c r="M679" i="2"/>
  <c r="M601" i="2"/>
  <c r="M515" i="2"/>
  <c r="M454" i="2"/>
  <c r="M334" i="2"/>
  <c r="M259" i="2"/>
  <c r="M177" i="2"/>
  <c r="M91" i="2"/>
  <c r="M20" i="2"/>
  <c r="M146" i="5"/>
  <c r="M76" i="5"/>
  <c r="M226" i="5"/>
  <c r="M75" i="5"/>
  <c r="M749" i="2"/>
  <c r="M677" i="2"/>
  <c r="M596" i="2"/>
  <c r="M513" i="2"/>
  <c r="M417" i="2"/>
  <c r="M328" i="2"/>
  <c r="M257" i="2"/>
  <c r="M175" i="2"/>
  <c r="M89" i="2"/>
  <c r="M233" i="5"/>
  <c r="M144" i="5"/>
  <c r="M74" i="5"/>
  <c r="M738" i="2"/>
  <c r="M660" i="2"/>
  <c r="M497" i="2"/>
  <c r="M410" i="2"/>
  <c r="M319" i="2"/>
  <c r="M167" i="2"/>
  <c r="M222" i="5"/>
  <c r="M694" i="2"/>
  <c r="M73" i="5"/>
  <c r="M465" i="2"/>
  <c r="M376" i="2"/>
  <c r="M273" i="2"/>
  <c r="M184" i="2"/>
  <c r="M113" i="2"/>
  <c r="M27" i="2"/>
  <c r="M191" i="5"/>
  <c r="L319" i="2"/>
  <c r="M693" i="2"/>
  <c r="M611" i="2"/>
  <c r="M543" i="2"/>
  <c r="M464" i="2"/>
  <c r="M375" i="2"/>
  <c r="M272" i="2"/>
  <c r="M183" i="2"/>
  <c r="M112" i="2"/>
  <c r="M26" i="2"/>
  <c r="M190" i="5"/>
  <c r="L313" i="2"/>
  <c r="M692" i="2"/>
  <c r="M610" i="2"/>
  <c r="M542" i="2"/>
  <c r="M463" i="2"/>
  <c r="M374" i="2"/>
  <c r="M264" i="2"/>
  <c r="M182" i="2"/>
  <c r="M111" i="2"/>
  <c r="M25" i="2"/>
  <c r="M186" i="5"/>
  <c r="L174" i="2"/>
  <c r="M691" i="2"/>
  <c r="M609" i="2"/>
  <c r="M541" i="2"/>
  <c r="M462" i="2"/>
  <c r="M373" i="2"/>
  <c r="M263" i="2"/>
  <c r="M181" i="2"/>
  <c r="M95" i="2"/>
  <c r="M185" i="5"/>
  <c r="L135" i="2"/>
  <c r="M686" i="2"/>
  <c r="M604" i="2"/>
  <c r="M540" i="2"/>
  <c r="M461" i="2"/>
  <c r="M351" i="2"/>
  <c r="M262" i="2"/>
  <c r="M180" i="2"/>
  <c r="M94" i="2"/>
  <c r="M23" i="2"/>
  <c r="M149" i="5"/>
  <c r="L134" i="2"/>
  <c r="M750" i="2"/>
  <c r="M678" i="2"/>
  <c r="M600" i="2"/>
  <c r="M514" i="2"/>
  <c r="M418" i="2"/>
  <c r="M333" i="2"/>
  <c r="M258" i="2"/>
  <c r="M176" i="2"/>
  <c r="M90" i="2"/>
  <c r="M234" i="5"/>
  <c r="M145" i="5"/>
  <c r="M744" i="2"/>
  <c r="M676" i="2"/>
  <c r="M595" i="2"/>
  <c r="M512" i="2"/>
  <c r="M416" i="2"/>
  <c r="M327" i="2"/>
  <c r="M256" i="2"/>
  <c r="M174" i="2"/>
  <c r="M88" i="2"/>
  <c r="M232" i="5"/>
  <c r="M143" i="5"/>
  <c r="M740" i="2"/>
  <c r="M662" i="2"/>
  <c r="M594" i="2"/>
  <c r="M511" i="2"/>
  <c r="M412" i="2"/>
  <c r="M326" i="2"/>
  <c r="M255" i="2"/>
  <c r="M173" i="2"/>
  <c r="M79" i="2"/>
  <c r="M231" i="5"/>
  <c r="M142" i="5"/>
  <c r="M58" i="5"/>
  <c r="M57" i="5"/>
  <c r="M56" i="5"/>
  <c r="M55" i="5"/>
  <c r="M54" i="5"/>
  <c r="M48" i="5"/>
  <c r="M47" i="5"/>
  <c r="M46" i="5"/>
  <c r="L523" i="2"/>
  <c r="L207" i="2"/>
  <c r="L73" i="2"/>
  <c r="L658" i="2"/>
  <c r="L522" i="2"/>
  <c r="L72" i="2"/>
  <c r="L657" i="2"/>
  <c r="L520" i="2"/>
  <c r="L71" i="2"/>
  <c r="L204" i="2"/>
  <c r="L659" i="2"/>
  <c r="L390" i="2"/>
  <c r="L389" i="2"/>
  <c r="L206" i="2"/>
  <c r="L388" i="2"/>
  <c r="L205" i="2"/>
  <c r="L116" i="2"/>
  <c r="L173" i="2"/>
  <c r="L249" i="2"/>
  <c r="L310" i="2"/>
  <c r="L370" i="2"/>
  <c r="L42" i="2"/>
  <c r="L710" i="2"/>
  <c r="L47" i="2"/>
  <c r="L656" i="2"/>
  <c r="L506" i="2"/>
  <c r="L346" i="2"/>
  <c r="L70" i="2"/>
  <c r="L41" i="2"/>
  <c r="L634" i="2"/>
  <c r="L505" i="2"/>
  <c r="L345" i="2"/>
  <c r="L203" i="2"/>
  <c r="L48" i="2"/>
  <c r="L40" i="2"/>
  <c r="L633" i="2"/>
  <c r="L504" i="2"/>
  <c r="L344" i="2"/>
  <c r="L202" i="2"/>
  <c r="L45" i="2"/>
  <c r="L113" i="2"/>
  <c r="L632" i="2"/>
  <c r="L480" i="2"/>
  <c r="L343" i="2"/>
  <c r="L191" i="2"/>
  <c r="L44" i="2"/>
  <c r="L38" i="2"/>
  <c r="L631" i="2"/>
  <c r="L479" i="2"/>
  <c r="L342" i="2"/>
  <c r="L190" i="2"/>
  <c r="L43" i="2"/>
  <c r="L610" i="2"/>
  <c r="L478" i="2"/>
  <c r="L327" i="2"/>
  <c r="L186" i="2"/>
  <c r="L4" i="2"/>
  <c r="L593" i="2"/>
  <c r="L461" i="2"/>
  <c r="L326" i="2"/>
  <c r="L185" i="2"/>
  <c r="L3" i="2"/>
  <c r="L723" i="2"/>
  <c r="L592" i="2"/>
  <c r="L460" i="2"/>
  <c r="L325" i="2"/>
  <c r="L183" i="2"/>
  <c r="L722" i="2"/>
  <c r="L591" i="2"/>
  <c r="L459" i="2"/>
  <c r="L321" i="2"/>
  <c r="L182" i="2"/>
  <c r="L718" i="2"/>
  <c r="L587" i="2"/>
  <c r="L451" i="2"/>
  <c r="L312" i="2"/>
  <c r="L717" i="2"/>
  <c r="L586" i="2"/>
  <c r="L450" i="2"/>
  <c r="L311" i="2"/>
  <c r="L585" i="2"/>
  <c r="L272" i="2"/>
  <c r="L447" i="2"/>
  <c r="L714" i="2"/>
  <c r="L582" i="2"/>
  <c r="L446" i="2"/>
  <c r="L270" i="2"/>
  <c r="L581" i="2"/>
  <c r="L442" i="2"/>
  <c r="L128" i="2"/>
  <c r="L709" i="2"/>
  <c r="L580" i="2"/>
  <c r="L405" i="2"/>
  <c r="L127" i="2"/>
  <c r="L579" i="2"/>
  <c r="L404" i="2"/>
  <c r="L267" i="2"/>
  <c r="L266" i="2"/>
  <c r="L121" i="2"/>
  <c r="L706" i="2"/>
  <c r="L119" i="2"/>
  <c r="L666" i="2"/>
  <c r="L530" i="2"/>
  <c r="L401" i="2"/>
  <c r="L264" i="2"/>
  <c r="L665" i="2"/>
  <c r="L529" i="2"/>
  <c r="L400" i="2"/>
  <c r="L117" i="2"/>
  <c r="L664" i="2"/>
  <c r="L528" i="2"/>
  <c r="L258" i="2"/>
  <c r="L78" i="2"/>
  <c r="L663" i="2"/>
  <c r="L527" i="2"/>
  <c r="L398" i="2"/>
  <c r="L662" i="2"/>
  <c r="L526" i="2"/>
  <c r="L397" i="2"/>
  <c r="L255" i="2"/>
  <c r="L661" i="2"/>
  <c r="L525" i="2"/>
  <c r="L396" i="2"/>
  <c r="L250" i="2"/>
  <c r="L75" i="2"/>
  <c r="L716" i="2"/>
  <c r="L448" i="2"/>
  <c r="L715" i="2"/>
  <c r="L584" i="2"/>
  <c r="L271" i="2"/>
  <c r="L130" i="2"/>
  <c r="L129" i="2"/>
  <c r="L713" i="2"/>
  <c r="L269" i="2"/>
  <c r="L268" i="2"/>
  <c r="L708" i="2"/>
  <c r="L122" i="2"/>
  <c r="L707" i="2"/>
  <c r="L542" i="2"/>
  <c r="L403" i="2"/>
  <c r="L538" i="2"/>
  <c r="L402" i="2"/>
  <c r="L265" i="2"/>
  <c r="L118" i="2"/>
  <c r="L263" i="2"/>
  <c r="L399" i="2"/>
  <c r="L256" i="2"/>
  <c r="L77" i="2"/>
  <c r="L76" i="2"/>
  <c r="L660" i="2"/>
  <c r="L524" i="2"/>
  <c r="L392" i="2"/>
  <c r="L208" i="2"/>
  <c r="L74" i="2"/>
  <c r="L638" i="2"/>
  <c r="L583" i="2"/>
  <c r="L521" i="2"/>
  <c r="L449" i="2"/>
  <c r="L391" i="2"/>
  <c r="L314" i="2"/>
  <c r="L257" i="2"/>
  <c r="L184" i="2"/>
  <c r="L120" i="2"/>
  <c r="L46" i="2"/>
  <c r="L628" i="2"/>
  <c r="L170" i="2"/>
  <c r="L565" i="2"/>
  <c r="L366" i="2"/>
  <c r="L95" i="2"/>
  <c r="M3" i="5"/>
  <c r="M35" i="5"/>
  <c r="M67" i="5"/>
  <c r="M99" i="5"/>
  <c r="M131" i="5"/>
  <c r="M163" i="5"/>
  <c r="M195" i="5"/>
  <c r="M227" i="5"/>
  <c r="M6" i="5"/>
  <c r="M4" i="5"/>
  <c r="M36" i="5"/>
  <c r="M68" i="5"/>
  <c r="M100" i="5"/>
  <c r="M132" i="5"/>
  <c r="M164" i="5"/>
  <c r="M196" i="5"/>
  <c r="M228" i="5"/>
  <c r="M38" i="5"/>
  <c r="M102" i="5"/>
  <c r="M134" i="5"/>
  <c r="M166" i="5"/>
  <c r="M198" i="5"/>
  <c r="M230" i="5"/>
  <c r="M5" i="5"/>
  <c r="M37" i="5"/>
  <c r="M69" i="5"/>
  <c r="M101" i="5"/>
  <c r="M133" i="5"/>
  <c r="M165" i="5"/>
  <c r="M197" i="5"/>
  <c r="M229" i="5"/>
  <c r="M70" i="5"/>
  <c r="M7" i="5"/>
  <c r="M43" i="5"/>
  <c r="M79" i="5"/>
  <c r="M115" i="5"/>
  <c r="M151" i="5"/>
  <c r="M187" i="5"/>
  <c r="M223" i="5"/>
  <c r="M45" i="5"/>
  <c r="M81" i="5"/>
  <c r="M117" i="5"/>
  <c r="M153" i="5"/>
  <c r="M189" i="5"/>
  <c r="M225" i="5"/>
  <c r="M8" i="5"/>
  <c r="M44" i="5"/>
  <c r="M80" i="5"/>
  <c r="M116" i="5"/>
  <c r="M152" i="5"/>
  <c r="M188" i="5"/>
  <c r="M224" i="5"/>
  <c r="M9" i="5"/>
  <c r="M10" i="5"/>
  <c r="M49" i="5"/>
  <c r="M88" i="5"/>
  <c r="M127" i="5"/>
  <c r="M170" i="5"/>
  <c r="M209" i="5"/>
  <c r="M248" i="5"/>
  <c r="M13" i="5"/>
  <c r="M14" i="5"/>
  <c r="M11" i="5"/>
  <c r="M50" i="5"/>
  <c r="M89" i="5"/>
  <c r="M128" i="5"/>
  <c r="M171" i="5"/>
  <c r="M210" i="5"/>
  <c r="M249" i="5"/>
  <c r="M52" i="5"/>
  <c r="M92" i="5"/>
  <c r="M12" i="5"/>
  <c r="M51" i="5"/>
  <c r="M90" i="5"/>
  <c r="M129" i="5"/>
  <c r="M172" i="5"/>
  <c r="M211" i="5"/>
  <c r="M250" i="5"/>
  <c r="M91" i="5"/>
  <c r="M130" i="5"/>
  <c r="M173" i="5"/>
  <c r="M212" i="5"/>
  <c r="M251" i="5"/>
  <c r="M53" i="5"/>
  <c r="M135" i="5"/>
  <c r="M174" i="5"/>
  <c r="M213" i="5"/>
  <c r="M2" i="5"/>
  <c r="M15" i="5"/>
  <c r="M59" i="5"/>
  <c r="M107" i="5"/>
  <c r="M154" i="5"/>
  <c r="M202" i="5"/>
  <c r="M246" i="5"/>
  <c r="M62" i="5"/>
  <c r="M111" i="5"/>
  <c r="M158" i="5"/>
  <c r="M206" i="5"/>
  <c r="M20" i="5"/>
  <c r="M113" i="5"/>
  <c r="M160" i="5"/>
  <c r="M208" i="5"/>
  <c r="M22" i="5"/>
  <c r="M23" i="5"/>
  <c r="M24" i="5"/>
  <c r="M16" i="5"/>
  <c r="M60" i="5"/>
  <c r="M108" i="5"/>
  <c r="M155" i="5"/>
  <c r="M203" i="5"/>
  <c r="M247" i="5"/>
  <c r="M110" i="5"/>
  <c r="M63" i="5"/>
  <c r="M112" i="5"/>
  <c r="M21" i="5"/>
  <c r="M66" i="5"/>
  <c r="M118" i="5"/>
  <c r="M162" i="5"/>
  <c r="M215" i="5"/>
  <c r="M72" i="5"/>
  <c r="M17" i="5"/>
  <c r="M61" i="5"/>
  <c r="M109" i="5"/>
  <c r="M156" i="5"/>
  <c r="M204" i="5"/>
  <c r="M18" i="5"/>
  <c r="M157" i="5"/>
  <c r="M205" i="5"/>
  <c r="M19" i="5"/>
  <c r="M64" i="5"/>
  <c r="M159" i="5"/>
  <c r="M207" i="5"/>
  <c r="M65" i="5"/>
  <c r="M114" i="5"/>
  <c r="M161" i="5"/>
  <c r="M214" i="5"/>
  <c r="M71" i="5"/>
  <c r="M119" i="5"/>
  <c r="M167" i="5"/>
  <c r="M216" i="5"/>
  <c r="M25" i="5"/>
  <c r="M168" i="5"/>
  <c r="M217" i="5"/>
  <c r="L683" i="2"/>
  <c r="L491" i="2"/>
  <c r="L436" i="2"/>
  <c r="L364" i="2"/>
  <c r="L230" i="2"/>
  <c r="L167" i="2"/>
  <c r="L36" i="2"/>
  <c r="M708" i="2"/>
  <c r="M584" i="2"/>
  <c r="M509" i="2"/>
  <c r="M452" i="2"/>
  <c r="M371" i="2"/>
  <c r="M304" i="2"/>
  <c r="M222" i="2"/>
  <c r="M155" i="2"/>
  <c r="M77" i="2"/>
  <c r="M245" i="5"/>
  <c r="M106" i="5"/>
  <c r="L2" i="2"/>
  <c r="L166" i="2"/>
  <c r="M39" i="5"/>
  <c r="L751" i="2"/>
  <c r="L681" i="2"/>
  <c r="L623" i="2"/>
  <c r="L489" i="2"/>
  <c r="L434" i="2"/>
  <c r="L362" i="2"/>
  <c r="L228" i="2"/>
  <c r="L165" i="2"/>
  <c r="L87" i="2"/>
  <c r="L34" i="2"/>
  <c r="M703" i="2"/>
  <c r="M572" i="2"/>
  <c r="M507" i="2"/>
  <c r="M447" i="2"/>
  <c r="M369" i="2"/>
  <c r="M287" i="2"/>
  <c r="M220" i="2"/>
  <c r="M142" i="2"/>
  <c r="M71" i="2"/>
  <c r="M243" i="5"/>
  <c r="M34" i="5"/>
  <c r="L750" i="2"/>
  <c r="L297" i="2"/>
  <c r="M506" i="2"/>
  <c r="M33" i="5"/>
  <c r="L749" i="2"/>
  <c r="L679" i="2"/>
  <c r="L621" i="2"/>
  <c r="L549" i="2"/>
  <c r="L487" i="2"/>
  <c r="L415" i="2"/>
  <c r="L357" i="2"/>
  <c r="L296" i="2"/>
  <c r="L226" i="2"/>
  <c r="L163" i="2"/>
  <c r="L85" i="2"/>
  <c r="L25" i="2"/>
  <c r="M701" i="2"/>
  <c r="M640" i="2"/>
  <c r="M570" i="2"/>
  <c r="M505" i="2"/>
  <c r="M429" i="2"/>
  <c r="M358" i="2"/>
  <c r="M280" i="2"/>
  <c r="M218" i="2"/>
  <c r="M136" i="2"/>
  <c r="M69" i="2"/>
  <c r="M241" i="5"/>
  <c r="M179" i="5"/>
  <c r="M98" i="5"/>
  <c r="L748" i="2"/>
  <c r="L414" i="2"/>
  <c r="M700" i="2"/>
  <c r="M97" i="5"/>
  <c r="M96" i="5"/>
  <c r="M176" i="5"/>
  <c r="L743" i="2"/>
  <c r="L672" i="2"/>
  <c r="L617" i="2"/>
  <c r="L545" i="2"/>
  <c r="L483" i="2"/>
  <c r="L408" i="2"/>
  <c r="L353" i="2"/>
  <c r="L275" i="2"/>
  <c r="L214" i="2"/>
  <c r="L145" i="2"/>
  <c r="L81" i="2"/>
  <c r="L21" i="2"/>
  <c r="M697" i="2"/>
  <c r="M636" i="2"/>
  <c r="M559" i="2"/>
  <c r="M501" i="2"/>
  <c r="M421" i="2"/>
  <c r="M354" i="2"/>
  <c r="M276" i="2"/>
  <c r="M214" i="2"/>
  <c r="M132" i="2"/>
  <c r="M237" i="5"/>
  <c r="M175" i="5"/>
  <c r="M94" i="5"/>
  <c r="M28" i="5"/>
  <c r="L574" i="2"/>
  <c r="L567" i="2"/>
  <c r="L502" i="2"/>
  <c r="L368" i="2"/>
  <c r="L171" i="2"/>
  <c r="L114" i="2"/>
  <c r="L703" i="2"/>
  <c r="L566" i="2"/>
  <c r="L439" i="2"/>
  <c r="L307" i="2"/>
  <c r="L39" i="2"/>
  <c r="L702" i="2"/>
  <c r="L497" i="2"/>
  <c r="L306" i="2"/>
  <c r="L169" i="2"/>
  <c r="M9" i="2"/>
  <c r="M41" i="2"/>
  <c r="M73" i="2"/>
  <c r="M105" i="2"/>
  <c r="M137" i="2"/>
  <c r="M169" i="2"/>
  <c r="M201" i="2"/>
  <c r="M233" i="2"/>
  <c r="M265" i="2"/>
  <c r="M297" i="2"/>
  <c r="M329" i="2"/>
  <c r="M361" i="2"/>
  <c r="M393" i="2"/>
  <c r="M425" i="2"/>
  <c r="M457" i="2"/>
  <c r="M489" i="2"/>
  <c r="M521" i="2"/>
  <c r="M553" i="2"/>
  <c r="M585" i="2"/>
  <c r="M617" i="2"/>
  <c r="M649" i="2"/>
  <c r="M681" i="2"/>
  <c r="M713" i="2"/>
  <c r="M745" i="2"/>
  <c r="L27" i="2"/>
  <c r="L59" i="2"/>
  <c r="L91" i="2"/>
  <c r="L123" i="2"/>
  <c r="L155" i="2"/>
  <c r="L187" i="2"/>
  <c r="L219" i="2"/>
  <c r="L251" i="2"/>
  <c r="L283" i="2"/>
  <c r="L315" i="2"/>
  <c r="L347" i="2"/>
  <c r="L379" i="2"/>
  <c r="L411" i="2"/>
  <c r="L443" i="2"/>
  <c r="L475" i="2"/>
  <c r="L507" i="2"/>
  <c r="L539" i="2"/>
  <c r="L571" i="2"/>
  <c r="L603" i="2"/>
  <c r="L635" i="2"/>
  <c r="L667" i="2"/>
  <c r="L699" i="2"/>
  <c r="L731" i="2"/>
  <c r="M588" i="2"/>
  <c r="L158" i="2"/>
  <c r="L286" i="2"/>
  <c r="M10" i="2"/>
  <c r="M42" i="2"/>
  <c r="M74" i="2"/>
  <c r="M106" i="2"/>
  <c r="M138" i="2"/>
  <c r="M170" i="2"/>
  <c r="M202" i="2"/>
  <c r="M234" i="2"/>
  <c r="M266" i="2"/>
  <c r="M298" i="2"/>
  <c r="M330" i="2"/>
  <c r="M362" i="2"/>
  <c r="M394" i="2"/>
  <c r="M426" i="2"/>
  <c r="M458" i="2"/>
  <c r="M490" i="2"/>
  <c r="M522" i="2"/>
  <c r="M554" i="2"/>
  <c r="M586" i="2"/>
  <c r="M618" i="2"/>
  <c r="M650" i="2"/>
  <c r="M682" i="2"/>
  <c r="M714" i="2"/>
  <c r="M746" i="2"/>
  <c r="L28" i="2"/>
  <c r="L60" i="2"/>
  <c r="L92" i="2"/>
  <c r="L124" i="2"/>
  <c r="L156" i="2"/>
  <c r="L188" i="2"/>
  <c r="L220" i="2"/>
  <c r="L252" i="2"/>
  <c r="L284" i="2"/>
  <c r="L316" i="2"/>
  <c r="L348" i="2"/>
  <c r="L380" i="2"/>
  <c r="L412" i="2"/>
  <c r="L444" i="2"/>
  <c r="L476" i="2"/>
  <c r="L508" i="2"/>
  <c r="L540" i="2"/>
  <c r="L572" i="2"/>
  <c r="L604" i="2"/>
  <c r="L636" i="2"/>
  <c r="L668" i="2"/>
  <c r="L700" i="2"/>
  <c r="L732" i="2"/>
  <c r="M12" i="2"/>
  <c r="M44" i="2"/>
  <c r="M76" i="2"/>
  <c r="M108" i="2"/>
  <c r="M140" i="2"/>
  <c r="M172" i="2"/>
  <c r="M204" i="2"/>
  <c r="M236" i="2"/>
  <c r="M268" i="2"/>
  <c r="M300" i="2"/>
  <c r="M332" i="2"/>
  <c r="M364" i="2"/>
  <c r="M396" i="2"/>
  <c r="M428" i="2"/>
  <c r="M492" i="2"/>
  <c r="M524" i="2"/>
  <c r="M556" i="2"/>
  <c r="M620" i="2"/>
  <c r="M652" i="2"/>
  <c r="M716" i="2"/>
  <c r="M748" i="2"/>
  <c r="L30" i="2"/>
  <c r="L62" i="2"/>
  <c r="L126" i="2"/>
  <c r="M11" i="2"/>
  <c r="M43" i="2"/>
  <c r="M75" i="2"/>
  <c r="M107" i="2"/>
  <c r="M139" i="2"/>
  <c r="M171" i="2"/>
  <c r="M203" i="2"/>
  <c r="M235" i="2"/>
  <c r="M267" i="2"/>
  <c r="M299" i="2"/>
  <c r="M331" i="2"/>
  <c r="M363" i="2"/>
  <c r="M395" i="2"/>
  <c r="M427" i="2"/>
  <c r="M459" i="2"/>
  <c r="M491" i="2"/>
  <c r="M523" i="2"/>
  <c r="M555" i="2"/>
  <c r="M587" i="2"/>
  <c r="M619" i="2"/>
  <c r="M651" i="2"/>
  <c r="M683" i="2"/>
  <c r="M715" i="2"/>
  <c r="M747" i="2"/>
  <c r="L29" i="2"/>
  <c r="L61" i="2"/>
  <c r="L93" i="2"/>
  <c r="L125" i="2"/>
  <c r="L157" i="2"/>
  <c r="L189" i="2"/>
  <c r="L221" i="2"/>
  <c r="L253" i="2"/>
  <c r="L285" i="2"/>
  <c r="L317" i="2"/>
  <c r="L349" i="2"/>
  <c r="L381" i="2"/>
  <c r="L413" i="2"/>
  <c r="L445" i="2"/>
  <c r="L477" i="2"/>
  <c r="L509" i="2"/>
  <c r="L541" i="2"/>
  <c r="L573" i="2"/>
  <c r="L605" i="2"/>
  <c r="L637" i="2"/>
  <c r="L669" i="2"/>
  <c r="L701" i="2"/>
  <c r="L733" i="2"/>
  <c r="M460" i="2"/>
  <c r="M684" i="2"/>
  <c r="L94" i="2"/>
  <c r="L222" i="2"/>
  <c r="L254" i="2"/>
  <c r="L318" i="2"/>
  <c r="L350" i="2"/>
  <c r="M13" i="2"/>
  <c r="M49" i="2"/>
  <c r="M85" i="2"/>
  <c r="M121" i="2"/>
  <c r="M157" i="2"/>
  <c r="M193" i="2"/>
  <c r="M229" i="2"/>
  <c r="M269" i="2"/>
  <c r="M305" i="2"/>
  <c r="M341" i="2"/>
  <c r="M377" i="2"/>
  <c r="M413" i="2"/>
  <c r="M449" i="2"/>
  <c r="M485" i="2"/>
  <c r="M525" i="2"/>
  <c r="M561" i="2"/>
  <c r="M597" i="2"/>
  <c r="M633" i="2"/>
  <c r="M669" i="2"/>
  <c r="M705" i="2"/>
  <c r="M741" i="2"/>
  <c r="L31" i="2"/>
  <c r="L67" i="2"/>
  <c r="L103" i="2"/>
  <c r="L139" i="2"/>
  <c r="L175" i="2"/>
  <c r="L210" i="2"/>
  <c r="L246" i="2"/>
  <c r="L282" i="2"/>
  <c r="L322" i="2"/>
  <c r="L358" i="2"/>
  <c r="L393" i="2"/>
  <c r="L428" i="2"/>
  <c r="L463" i="2"/>
  <c r="L498" i="2"/>
  <c r="L533" i="2"/>
  <c r="L568" i="2"/>
  <c r="L606" i="2"/>
  <c r="L641" i="2"/>
  <c r="L676" i="2"/>
  <c r="L711" i="2"/>
  <c r="L746" i="2"/>
  <c r="M15" i="2"/>
  <c r="M51" i="2"/>
  <c r="M87" i="2"/>
  <c r="M123" i="2"/>
  <c r="M159" i="2"/>
  <c r="M195" i="2"/>
  <c r="M231" i="2"/>
  <c r="M271" i="2"/>
  <c r="M343" i="2"/>
  <c r="M379" i="2"/>
  <c r="M415" i="2"/>
  <c r="M451" i="2"/>
  <c r="M487" i="2"/>
  <c r="M563" i="2"/>
  <c r="M599" i="2"/>
  <c r="M635" i="2"/>
  <c r="M707" i="2"/>
  <c r="M743" i="2"/>
  <c r="L33" i="2"/>
  <c r="L105" i="2"/>
  <c r="L141" i="2"/>
  <c r="L212" i="2"/>
  <c r="L248" i="2"/>
  <c r="L324" i="2"/>
  <c r="L360" i="2"/>
  <c r="L430" i="2"/>
  <c r="L500" i="2"/>
  <c r="L535" i="2"/>
  <c r="L608" i="2"/>
  <c r="L643" i="2"/>
  <c r="M14" i="2"/>
  <c r="M50" i="2"/>
  <c r="M86" i="2"/>
  <c r="M122" i="2"/>
  <c r="M158" i="2"/>
  <c r="M194" i="2"/>
  <c r="M230" i="2"/>
  <c r="M270" i="2"/>
  <c r="M306" i="2"/>
  <c r="M342" i="2"/>
  <c r="M378" i="2"/>
  <c r="M414" i="2"/>
  <c r="M450" i="2"/>
  <c r="M486" i="2"/>
  <c r="M526" i="2"/>
  <c r="M562" i="2"/>
  <c r="M598" i="2"/>
  <c r="M634" i="2"/>
  <c r="M670" i="2"/>
  <c r="M706" i="2"/>
  <c r="M742" i="2"/>
  <c r="L32" i="2"/>
  <c r="L68" i="2"/>
  <c r="L104" i="2"/>
  <c r="L140" i="2"/>
  <c r="L176" i="2"/>
  <c r="L211" i="2"/>
  <c r="L247" i="2"/>
  <c r="L287" i="2"/>
  <c r="L323" i="2"/>
  <c r="L359" i="2"/>
  <c r="L394" i="2"/>
  <c r="L429" i="2"/>
  <c r="L464" i="2"/>
  <c r="L499" i="2"/>
  <c r="L534" i="2"/>
  <c r="L569" i="2"/>
  <c r="L607" i="2"/>
  <c r="L642" i="2"/>
  <c r="L677" i="2"/>
  <c r="L712" i="2"/>
  <c r="L747" i="2"/>
  <c r="M307" i="2"/>
  <c r="M527" i="2"/>
  <c r="M671" i="2"/>
  <c r="L69" i="2"/>
  <c r="L177" i="2"/>
  <c r="L288" i="2"/>
  <c r="L395" i="2"/>
  <c r="L465" i="2"/>
  <c r="L570" i="2"/>
  <c r="L678" i="2"/>
  <c r="M37" i="2"/>
  <c r="M80" i="2"/>
  <c r="M119" i="2"/>
  <c r="M161" i="2"/>
  <c r="M200" i="2"/>
  <c r="M243" i="2"/>
  <c r="M282" i="2"/>
  <c r="M321" i="2"/>
  <c r="M360" i="2"/>
  <c r="M403" i="2"/>
  <c r="M442" i="2"/>
  <c r="M481" i="2"/>
  <c r="M520" i="2"/>
  <c r="M566" i="2"/>
  <c r="M605" i="2"/>
  <c r="M644" i="2"/>
  <c r="M687" i="2"/>
  <c r="M726" i="2"/>
  <c r="L15" i="2"/>
  <c r="L54" i="2"/>
  <c r="L97" i="2"/>
  <c r="L136" i="2"/>
  <c r="L178" i="2"/>
  <c r="L216" i="2"/>
  <c r="L259" i="2"/>
  <c r="L298" i="2"/>
  <c r="L337" i="2"/>
  <c r="L376" i="2"/>
  <c r="L417" i="2"/>
  <c r="L455" i="2"/>
  <c r="L493" i="2"/>
  <c r="L531" i="2"/>
  <c r="L575" i="2"/>
  <c r="L613" i="2"/>
  <c r="L651" i="2"/>
  <c r="L689" i="2"/>
  <c r="L726" i="2"/>
  <c r="M285" i="2"/>
  <c r="M608" i="2"/>
  <c r="L142" i="2"/>
  <c r="L340" i="2"/>
  <c r="L496" i="2"/>
  <c r="L654" i="2"/>
  <c r="M38" i="2"/>
  <c r="M81" i="2"/>
  <c r="M120" i="2"/>
  <c r="M162" i="2"/>
  <c r="M205" i="2"/>
  <c r="M244" i="2"/>
  <c r="M283" i="2"/>
  <c r="M322" i="2"/>
  <c r="M365" i="2"/>
  <c r="M404" i="2"/>
  <c r="M443" i="2"/>
  <c r="M482" i="2"/>
  <c r="M528" i="2"/>
  <c r="M567" i="2"/>
  <c r="M606" i="2"/>
  <c r="M645" i="2"/>
  <c r="M688" i="2"/>
  <c r="M727" i="2"/>
  <c r="L16" i="2"/>
  <c r="L55" i="2"/>
  <c r="L98" i="2"/>
  <c r="L137" i="2"/>
  <c r="L179" i="2"/>
  <c r="L217" i="2"/>
  <c r="L260" i="2"/>
  <c r="L299" i="2"/>
  <c r="L338" i="2"/>
  <c r="L377" i="2"/>
  <c r="L418" i="2"/>
  <c r="L456" i="2"/>
  <c r="L494" i="2"/>
  <c r="L532" i="2"/>
  <c r="L576" i="2"/>
  <c r="L614" i="2"/>
  <c r="L652" i="2"/>
  <c r="L690" i="2"/>
  <c r="L727" i="2"/>
  <c r="M164" i="2"/>
  <c r="M406" i="2"/>
  <c r="M530" i="2"/>
  <c r="M690" i="2"/>
  <c r="L57" i="2"/>
  <c r="L181" i="2"/>
  <c r="L301" i="2"/>
  <c r="L420" i="2"/>
  <c r="L537" i="2"/>
  <c r="L616" i="2"/>
  <c r="L729" i="2"/>
  <c r="M325" i="2"/>
  <c r="M39" i="2"/>
  <c r="M82" i="2"/>
  <c r="M124" i="2"/>
  <c r="M163" i="2"/>
  <c r="M206" i="2"/>
  <c r="M245" i="2"/>
  <c r="M284" i="2"/>
  <c r="M323" i="2"/>
  <c r="M366" i="2"/>
  <c r="M405" i="2"/>
  <c r="M444" i="2"/>
  <c r="M483" i="2"/>
  <c r="M529" i="2"/>
  <c r="M568" i="2"/>
  <c r="M607" i="2"/>
  <c r="M646" i="2"/>
  <c r="M689" i="2"/>
  <c r="M728" i="2"/>
  <c r="L17" i="2"/>
  <c r="L56" i="2"/>
  <c r="L99" i="2"/>
  <c r="L138" i="2"/>
  <c r="L180" i="2"/>
  <c r="L218" i="2"/>
  <c r="L261" i="2"/>
  <c r="L300" i="2"/>
  <c r="L339" i="2"/>
  <c r="L378" i="2"/>
  <c r="L419" i="2"/>
  <c r="L457" i="2"/>
  <c r="L495" i="2"/>
  <c r="L536" i="2"/>
  <c r="L577" i="2"/>
  <c r="L615" i="2"/>
  <c r="L653" i="2"/>
  <c r="L691" i="2"/>
  <c r="L728" i="2"/>
  <c r="M40" i="2"/>
  <c r="M83" i="2"/>
  <c r="M125" i="2"/>
  <c r="M207" i="2"/>
  <c r="M246" i="2"/>
  <c r="M324" i="2"/>
  <c r="M367" i="2"/>
  <c r="M445" i="2"/>
  <c r="M484" i="2"/>
  <c r="M569" i="2"/>
  <c r="M647" i="2"/>
  <c r="M729" i="2"/>
  <c r="L18" i="2"/>
  <c r="L100" i="2"/>
  <c r="L223" i="2"/>
  <c r="L262" i="2"/>
  <c r="L382" i="2"/>
  <c r="L458" i="2"/>
  <c r="L578" i="2"/>
  <c r="L692" i="2"/>
  <c r="M45" i="2"/>
  <c r="M84" i="2"/>
  <c r="M126" i="2"/>
  <c r="M165" i="2"/>
  <c r="M208" i="2"/>
  <c r="M247" i="2"/>
  <c r="M286" i="2"/>
  <c r="M368" i="2"/>
  <c r="M407" i="2"/>
  <c r="M446" i="2"/>
  <c r="M531" i="2"/>
  <c r="M52" i="2"/>
  <c r="M96" i="2"/>
  <c r="M144" i="2"/>
  <c r="M188" i="2"/>
  <c r="M239" i="2"/>
  <c r="M288" i="2"/>
  <c r="M336" i="2"/>
  <c r="M383" i="2"/>
  <c r="M431" i="2"/>
  <c r="M475" i="2"/>
  <c r="M518" i="2"/>
  <c r="M573" i="2"/>
  <c r="M616" i="2"/>
  <c r="M663" i="2"/>
  <c r="M709" i="2"/>
  <c r="L6" i="2"/>
  <c r="L49" i="2"/>
  <c r="L96" i="2"/>
  <c r="L146" i="2"/>
  <c r="L192" i="2"/>
  <c r="L235" i="2"/>
  <c r="L278" i="2"/>
  <c r="L328" i="2"/>
  <c r="L371" i="2"/>
  <c r="L416" i="2"/>
  <c r="L462" i="2"/>
  <c r="L510" i="2"/>
  <c r="L552" i="2"/>
  <c r="L594" i="2"/>
  <c r="L639" i="2"/>
  <c r="L684" i="2"/>
  <c r="L725" i="2"/>
  <c r="M5" i="2"/>
  <c r="M56" i="2"/>
  <c r="M100" i="2"/>
  <c r="M148" i="2"/>
  <c r="M192" i="2"/>
  <c r="M248" i="2"/>
  <c r="M292" i="2"/>
  <c r="M340" i="2"/>
  <c r="M387" i="2"/>
  <c r="M435" i="2"/>
  <c r="M479" i="2"/>
  <c r="M534" i="2"/>
  <c r="M577" i="2"/>
  <c r="M624" i="2"/>
  <c r="M717" i="2"/>
  <c r="L10" i="2"/>
  <c r="L53" i="2"/>
  <c r="L107" i="2"/>
  <c r="L150" i="2"/>
  <c r="L239" i="2"/>
  <c r="L332" i="2"/>
  <c r="L375" i="2"/>
  <c r="L424" i="2"/>
  <c r="L469" i="2"/>
  <c r="L556" i="2"/>
  <c r="L598" i="2"/>
  <c r="L646" i="2"/>
  <c r="L736" i="2"/>
  <c r="M101" i="2"/>
  <c r="M436" i="2"/>
  <c r="M625" i="2"/>
  <c r="L58" i="2"/>
  <c r="L240" i="2"/>
  <c r="L425" i="2"/>
  <c r="L557" i="2"/>
  <c r="L693" i="2"/>
  <c r="M7" i="2"/>
  <c r="M58" i="2"/>
  <c r="M102" i="2"/>
  <c r="M150" i="2"/>
  <c r="M197" i="2"/>
  <c r="M250" i="2"/>
  <c r="M294" i="2"/>
  <c r="M345" i="2"/>
  <c r="M389" i="2"/>
  <c r="M437" i="2"/>
  <c r="M488" i="2"/>
  <c r="M536" i="2"/>
  <c r="M579" i="2"/>
  <c r="M626" i="2"/>
  <c r="M672" i="2"/>
  <c r="M719" i="2"/>
  <c r="L12" i="2"/>
  <c r="L63" i="2"/>
  <c r="L109" i="2"/>
  <c r="L152" i="2"/>
  <c r="L291" i="2"/>
  <c r="L334" i="2"/>
  <c r="L384" i="2"/>
  <c r="L426" i="2"/>
  <c r="L471" i="2"/>
  <c r="L516" i="2"/>
  <c r="L558" i="2"/>
  <c r="L600" i="2"/>
  <c r="L694" i="2"/>
  <c r="L738" i="2"/>
  <c r="L64" i="2"/>
  <c r="L559" i="2"/>
  <c r="L518" i="2"/>
  <c r="M301" i="2"/>
  <c r="M629" i="2"/>
  <c r="L112" i="2"/>
  <c r="L341" i="2"/>
  <c r="L519" i="2"/>
  <c r="L697" i="2"/>
  <c r="M53" i="2"/>
  <c r="M97" i="2"/>
  <c r="M145" i="2"/>
  <c r="M189" i="2"/>
  <c r="M240" i="2"/>
  <c r="M289" i="2"/>
  <c r="M337" i="2"/>
  <c r="M384" i="2"/>
  <c r="M432" i="2"/>
  <c r="M476" i="2"/>
  <c r="M519" i="2"/>
  <c r="M574" i="2"/>
  <c r="M621" i="2"/>
  <c r="M664" i="2"/>
  <c r="M710" i="2"/>
  <c r="L7" i="2"/>
  <c r="L50" i="2"/>
  <c r="L101" i="2"/>
  <c r="L147" i="2"/>
  <c r="L193" i="2"/>
  <c r="L236" i="2"/>
  <c r="L279" i="2"/>
  <c r="L329" i="2"/>
  <c r="L372" i="2"/>
  <c r="L421" i="2"/>
  <c r="L466" i="2"/>
  <c r="L511" i="2"/>
  <c r="L553" i="2"/>
  <c r="L595" i="2"/>
  <c r="L640" i="2"/>
  <c r="L685" i="2"/>
  <c r="L730" i="2"/>
  <c r="M667" i="2"/>
  <c r="L289" i="2"/>
  <c r="L514" i="2"/>
  <c r="L688" i="2"/>
  <c r="M293" i="2"/>
  <c r="M668" i="2"/>
  <c r="L151" i="2"/>
  <c r="L333" i="2"/>
  <c r="L515" i="2"/>
  <c r="L241" i="2"/>
  <c r="M390" i="2"/>
  <c r="M720" i="2"/>
  <c r="L242" i="2"/>
  <c r="L385" i="2"/>
  <c r="L517" i="2"/>
  <c r="L649" i="2"/>
  <c r="M16" i="2"/>
  <c r="M60" i="2"/>
  <c r="M104" i="2"/>
  <c r="M152" i="2"/>
  <c r="M199" i="2"/>
  <c r="M252" i="2"/>
  <c r="M296" i="2"/>
  <c r="M347" i="2"/>
  <c r="M391" i="2"/>
  <c r="M439" i="2"/>
  <c r="M494" i="2"/>
  <c r="M538" i="2"/>
  <c r="M581" i="2"/>
  <c r="M628" i="2"/>
  <c r="M674" i="2"/>
  <c r="M721" i="2"/>
  <c r="L14" i="2"/>
  <c r="L65" i="2"/>
  <c r="L111" i="2"/>
  <c r="L154" i="2"/>
  <c r="L200" i="2"/>
  <c r="L243" i="2"/>
  <c r="L293" i="2"/>
  <c r="L336" i="2"/>
  <c r="L386" i="2"/>
  <c r="L431" i="2"/>
  <c r="L473" i="2"/>
  <c r="L602" i="2"/>
  <c r="L650" i="2"/>
  <c r="L696" i="2"/>
  <c r="L740" i="2"/>
  <c r="M392" i="2"/>
  <c r="M722" i="2"/>
  <c r="L201" i="2"/>
  <c r="L432" i="2"/>
  <c r="L655" i="2"/>
  <c r="M3" i="2"/>
  <c r="M54" i="2"/>
  <c r="M98" i="2"/>
  <c r="M146" i="2"/>
  <c r="M190" i="2"/>
  <c r="M241" i="2"/>
  <c r="M290" i="2"/>
  <c r="M338" i="2"/>
  <c r="M385" i="2"/>
  <c r="M433" i="2"/>
  <c r="M477" i="2"/>
  <c r="M532" i="2"/>
  <c r="M575" i="2"/>
  <c r="M622" i="2"/>
  <c r="M665" i="2"/>
  <c r="M711" i="2"/>
  <c r="L8" i="2"/>
  <c r="L51" i="2"/>
  <c r="L102" i="2"/>
  <c r="L148" i="2"/>
  <c r="L194" i="2"/>
  <c r="L237" i="2"/>
  <c r="L280" i="2"/>
  <c r="L330" i="2"/>
  <c r="L373" i="2"/>
  <c r="L422" i="2"/>
  <c r="L467" i="2"/>
  <c r="L512" i="2"/>
  <c r="L554" i="2"/>
  <c r="L596" i="2"/>
  <c r="L644" i="2"/>
  <c r="L686" i="2"/>
  <c r="L734" i="2"/>
  <c r="M4" i="2"/>
  <c r="M55" i="2"/>
  <c r="M99" i="2"/>
  <c r="M147" i="2"/>
  <c r="M191" i="2"/>
  <c r="M242" i="2"/>
  <c r="M291" i="2"/>
  <c r="M339" i="2"/>
  <c r="M386" i="2"/>
  <c r="M434" i="2"/>
  <c r="M478" i="2"/>
  <c r="M533" i="2"/>
  <c r="M576" i="2"/>
  <c r="M623" i="2"/>
  <c r="M666" i="2"/>
  <c r="M712" i="2"/>
  <c r="L9" i="2"/>
  <c r="L52" i="2"/>
  <c r="L106" i="2"/>
  <c r="L149" i="2"/>
  <c r="L195" i="2"/>
  <c r="L238" i="2"/>
  <c r="L281" i="2"/>
  <c r="L331" i="2"/>
  <c r="L374" i="2"/>
  <c r="L423" i="2"/>
  <c r="L468" i="2"/>
  <c r="L513" i="2"/>
  <c r="L555" i="2"/>
  <c r="L597" i="2"/>
  <c r="L645" i="2"/>
  <c r="L687" i="2"/>
  <c r="L735" i="2"/>
  <c r="L196" i="2"/>
  <c r="M6" i="2"/>
  <c r="M57" i="2"/>
  <c r="M149" i="2"/>
  <c r="M196" i="2"/>
  <c r="M249" i="2"/>
  <c r="M344" i="2"/>
  <c r="M388" i="2"/>
  <c r="M480" i="2"/>
  <c r="M535" i="2"/>
  <c r="M578" i="2"/>
  <c r="M718" i="2"/>
  <c r="L11" i="2"/>
  <c r="L108" i="2"/>
  <c r="L197" i="2"/>
  <c r="L290" i="2"/>
  <c r="L383" i="2"/>
  <c r="L470" i="2"/>
  <c r="L599" i="2"/>
  <c r="L647" i="2"/>
  <c r="L737" i="2"/>
  <c r="L198" i="2"/>
  <c r="L648" i="2"/>
  <c r="M8" i="2"/>
  <c r="M59" i="2"/>
  <c r="M103" i="2"/>
  <c r="M151" i="2"/>
  <c r="M198" i="2"/>
  <c r="M251" i="2"/>
  <c r="M295" i="2"/>
  <c r="M346" i="2"/>
  <c r="M438" i="2"/>
  <c r="M493" i="2"/>
  <c r="M537" i="2"/>
  <c r="M580" i="2"/>
  <c r="M627" i="2"/>
  <c r="M673" i="2"/>
  <c r="L13" i="2"/>
  <c r="L110" i="2"/>
  <c r="L153" i="2"/>
  <c r="L199" i="2"/>
  <c r="L292" i="2"/>
  <c r="L335" i="2"/>
  <c r="L427" i="2"/>
  <c r="L472" i="2"/>
  <c r="L601" i="2"/>
  <c r="L695" i="2"/>
  <c r="L739" i="2"/>
  <c r="L560" i="2"/>
  <c r="M17" i="2"/>
  <c r="M61" i="2"/>
  <c r="M109" i="2"/>
  <c r="M153" i="2"/>
  <c r="M209" i="2"/>
  <c r="M253" i="2"/>
  <c r="M348" i="2"/>
  <c r="M440" i="2"/>
  <c r="M495" i="2"/>
  <c r="M539" i="2"/>
  <c r="M582" i="2"/>
  <c r="M675" i="2"/>
  <c r="L19" i="2"/>
  <c r="L66" i="2"/>
  <c r="L159" i="2"/>
  <c r="L244" i="2"/>
  <c r="L294" i="2"/>
  <c r="L387" i="2"/>
  <c r="L474" i="2"/>
  <c r="L561" i="2"/>
  <c r="L609" i="2"/>
  <c r="L741" i="2"/>
  <c r="M18" i="2"/>
  <c r="M62" i="2"/>
  <c r="M110" i="2"/>
  <c r="M154" i="2"/>
  <c r="M210" i="2"/>
  <c r="M254" i="2"/>
  <c r="M302" i="2"/>
  <c r="M349" i="2"/>
  <c r="M397" i="2"/>
  <c r="M441" i="2"/>
  <c r="L698" i="2"/>
  <c r="L626" i="2"/>
  <c r="L564" i="2"/>
  <c r="L492" i="2"/>
  <c r="L437" i="2"/>
  <c r="L305" i="2"/>
  <c r="L231" i="2"/>
  <c r="L168" i="2"/>
  <c r="L90" i="2"/>
  <c r="L37" i="2"/>
  <c r="M723" i="2"/>
  <c r="M653" i="2"/>
  <c r="M589" i="2"/>
  <c r="M510" i="2"/>
  <c r="M453" i="2"/>
  <c r="M372" i="2"/>
  <c r="M308" i="2"/>
  <c r="M223" i="2"/>
  <c r="M156" i="2"/>
  <c r="M78" i="2"/>
  <c r="M19" i="2"/>
  <c r="M184" i="5"/>
  <c r="M120" i="5"/>
  <c r="L625" i="2"/>
  <c r="L304" i="2"/>
  <c r="M648" i="2"/>
  <c r="M183" i="5"/>
  <c r="L624" i="2"/>
  <c r="L303" i="2"/>
  <c r="M448" i="2"/>
  <c r="M182" i="5"/>
  <c r="L551" i="2"/>
  <c r="L302" i="2"/>
  <c r="M642" i="2"/>
  <c r="M104" i="5"/>
  <c r="L622" i="2"/>
  <c r="L550" i="2"/>
  <c r="L488" i="2"/>
  <c r="L433" i="2"/>
  <c r="L361" i="2"/>
  <c r="L227" i="2"/>
  <c r="L164" i="2"/>
  <c r="L86" i="2"/>
  <c r="L26" i="2"/>
  <c r="M702" i="2"/>
  <c r="M641" i="2"/>
  <c r="M571" i="2"/>
  <c r="M430" i="2"/>
  <c r="M359" i="2"/>
  <c r="M281" i="2"/>
  <c r="M219" i="2"/>
  <c r="M141" i="2"/>
  <c r="M70" i="2"/>
  <c r="M242" i="5"/>
  <c r="M180" i="5"/>
  <c r="M103" i="5"/>
  <c r="M32" i="5"/>
  <c r="L675" i="2"/>
  <c r="L620" i="2"/>
  <c r="L548" i="2"/>
  <c r="L486" i="2"/>
  <c r="L356" i="2"/>
  <c r="L295" i="2"/>
  <c r="L225" i="2"/>
  <c r="L162" i="2"/>
  <c r="L84" i="2"/>
  <c r="L24" i="2"/>
  <c r="M639" i="2"/>
  <c r="M565" i="2"/>
  <c r="M504" i="2"/>
  <c r="M424" i="2"/>
  <c r="M357" i="2"/>
  <c r="M279" i="2"/>
  <c r="M217" i="2"/>
  <c r="M135" i="2"/>
  <c r="M68" i="2"/>
  <c r="M240" i="5"/>
  <c r="M178" i="5"/>
  <c r="M31" i="5"/>
  <c r="L745" i="2"/>
  <c r="L674" i="2"/>
  <c r="L619" i="2"/>
  <c r="L547" i="2"/>
  <c r="L485" i="2"/>
  <c r="L410" i="2"/>
  <c r="L355" i="2"/>
  <c r="L277" i="2"/>
  <c r="L224" i="2"/>
  <c r="L161" i="2"/>
  <c r="L83" i="2"/>
  <c r="L23" i="2"/>
  <c r="M699" i="2"/>
  <c r="M638" i="2"/>
  <c r="M564" i="2"/>
  <c r="M503" i="2"/>
  <c r="M423" i="2"/>
  <c r="M356" i="2"/>
  <c r="M278" i="2"/>
  <c r="M216" i="2"/>
  <c r="M134" i="2"/>
  <c r="M67" i="2"/>
  <c r="M239" i="5"/>
  <c r="M177" i="5"/>
  <c r="M30" i="5"/>
  <c r="L744" i="2"/>
  <c r="L673" i="2"/>
  <c r="L618" i="2"/>
  <c r="L546" i="2"/>
  <c r="L484" i="2"/>
  <c r="L409" i="2"/>
  <c r="L354" i="2"/>
  <c r="L276" i="2"/>
  <c r="L215" i="2"/>
  <c r="L160" i="2"/>
  <c r="L82" i="2"/>
  <c r="L22" i="2"/>
  <c r="M698" i="2"/>
  <c r="M637" i="2"/>
  <c r="M560" i="2"/>
  <c r="M502" i="2"/>
  <c r="M422" i="2"/>
  <c r="M355" i="2"/>
  <c r="M277" i="2"/>
  <c r="M215" i="2"/>
  <c r="M133" i="2"/>
  <c r="M66" i="2"/>
  <c r="M238" i="5"/>
  <c r="M29" i="5"/>
  <c r="L742" i="2"/>
  <c r="L671" i="2"/>
  <c r="L612" i="2"/>
  <c r="L544" i="2"/>
  <c r="L482" i="2"/>
  <c r="L407" i="2"/>
  <c r="L352" i="2"/>
  <c r="L274" i="2"/>
  <c r="L213" i="2"/>
  <c r="L144" i="2"/>
  <c r="L80" i="2"/>
  <c r="L20" i="2"/>
  <c r="M696" i="2"/>
  <c r="M632" i="2"/>
  <c r="M558" i="2"/>
  <c r="M500" i="2"/>
  <c r="M420" i="2"/>
  <c r="M353" i="2"/>
  <c r="M275" i="2"/>
  <c r="M213" i="2"/>
  <c r="M131" i="2"/>
  <c r="M64" i="2"/>
  <c r="M236" i="5"/>
  <c r="M169" i="5"/>
  <c r="M93" i="5"/>
  <c r="M27" i="5"/>
  <c r="L705" i="2"/>
  <c r="L630" i="2"/>
  <c r="L503" i="2"/>
  <c r="L441" i="2"/>
  <c r="L369" i="2"/>
  <c r="L309" i="2"/>
  <c r="L245" i="2"/>
  <c r="L172" i="2"/>
  <c r="L115" i="2"/>
  <c r="L704" i="2"/>
  <c r="L629" i="2"/>
  <c r="L440" i="2"/>
  <c r="L308" i="2"/>
  <c r="L234" i="2"/>
  <c r="L501" i="2"/>
  <c r="L367" i="2"/>
  <c r="L233" i="2"/>
  <c r="L627" i="2"/>
  <c r="L438" i="2"/>
  <c r="L232" i="2"/>
  <c r="L365" i="2"/>
  <c r="M41" i="5"/>
  <c r="L563" i="2"/>
  <c r="L89" i="2"/>
  <c r="M40" i="5"/>
  <c r="L682" i="2"/>
  <c r="L562" i="2"/>
  <c r="L490" i="2"/>
  <c r="L435" i="2"/>
  <c r="L363" i="2"/>
  <c r="L229" i="2"/>
  <c r="L88" i="2"/>
  <c r="L35" i="2"/>
  <c r="M704" i="2"/>
  <c r="M643" i="2"/>
  <c r="M583" i="2"/>
  <c r="M508" i="2"/>
  <c r="M370" i="2"/>
  <c r="M303" i="2"/>
  <c r="M221" i="2"/>
  <c r="M143" i="2"/>
  <c r="M72" i="2"/>
  <c r="M244" i="5"/>
  <c r="M105" i="5"/>
  <c r="M181" i="5"/>
  <c r="L680" i="2"/>
  <c r="M95" i="5"/>
  <c r="L724" i="2"/>
  <c r="L670" i="2"/>
  <c r="L611" i="2"/>
  <c r="L543" i="2"/>
  <c r="L481" i="2"/>
  <c r="L406" i="2"/>
  <c r="L351" i="2"/>
  <c r="L273" i="2"/>
  <c r="L209" i="2"/>
  <c r="L143" i="2"/>
  <c r="L79" i="2"/>
  <c r="L5" i="2"/>
  <c r="M695" i="2"/>
  <c r="M631" i="2"/>
  <c r="M557" i="2"/>
  <c r="M499" i="2"/>
  <c r="M419" i="2"/>
  <c r="M352" i="2"/>
  <c r="M274" i="2"/>
  <c r="M212" i="2"/>
  <c r="M130" i="2"/>
  <c r="M63" i="2"/>
  <c r="M235" i="5"/>
  <c r="M150" i="5"/>
  <c r="M87" i="5"/>
  <c r="M26" i="5"/>
  <c r="B744" i="2"/>
  <c r="D744" i="2" s="1"/>
  <c r="B750" i="2"/>
  <c r="F750" i="2" s="1"/>
  <c r="B705" i="2"/>
  <c r="F705" i="2" s="1"/>
  <c r="B205" i="5"/>
  <c r="F205" i="5" s="1"/>
  <c r="B674" i="2"/>
  <c r="D674" i="2" s="1"/>
  <c r="B689" i="2"/>
  <c r="F689" i="2" s="1"/>
  <c r="B727" i="2"/>
  <c r="C727" i="2" s="1"/>
  <c r="B620" i="2"/>
  <c r="E620" i="2" s="1"/>
  <c r="B696" i="2"/>
  <c r="E696" i="2" s="1"/>
  <c r="B668" i="2"/>
  <c r="F668" i="2" s="1"/>
  <c r="B661" i="2"/>
  <c r="D661" i="2" s="1"/>
  <c r="B625" i="2"/>
  <c r="E625" i="2" s="1"/>
  <c r="B542" i="2"/>
  <c r="F542" i="2" s="1"/>
  <c r="B735" i="2"/>
  <c r="C735" i="2" s="1"/>
  <c r="B598" i="2"/>
  <c r="F598" i="2" s="1"/>
  <c r="B247" i="5"/>
  <c r="B148" i="5"/>
  <c r="D148" i="5" s="1"/>
  <c r="B739" i="2"/>
  <c r="D739" i="2" s="1"/>
  <c r="B224" i="5"/>
  <c r="D224" i="5" s="1"/>
  <c r="B665" i="2"/>
  <c r="C665" i="2" s="1"/>
  <c r="B433" i="2"/>
  <c r="D433" i="2" s="1"/>
  <c r="B250" i="5"/>
  <c r="C250" i="5" s="1"/>
  <c r="B245" i="5"/>
  <c r="E245" i="5" s="1"/>
  <c r="B239" i="5"/>
  <c r="B217" i="5"/>
  <c r="F217" i="5" s="1"/>
  <c r="B135" i="5"/>
  <c r="D135" i="5" s="1"/>
  <c r="B168" i="5"/>
  <c r="E168" i="5" s="1"/>
  <c r="B162" i="5"/>
  <c r="C162" i="5" s="1"/>
  <c r="B184" i="5"/>
  <c r="B202" i="5"/>
  <c r="B188" i="5"/>
  <c r="D188" i="5" s="1"/>
  <c r="B248" i="5"/>
  <c r="B232" i="5"/>
  <c r="C232" i="5" s="1"/>
  <c r="B226" i="5"/>
  <c r="F226" i="5" s="1"/>
  <c r="B749" i="2"/>
  <c r="B747" i="2"/>
  <c r="E747" i="2" s="1"/>
  <c r="B743" i="2"/>
  <c r="C743" i="2" s="1"/>
  <c r="B738" i="2"/>
  <c r="F738" i="2" s="1"/>
  <c r="B726" i="2"/>
  <c r="D726" i="2" s="1"/>
  <c r="B695" i="2"/>
  <c r="C695" i="2" s="1"/>
  <c r="B688" i="2"/>
  <c r="C688" i="2" s="1"/>
  <c r="B673" i="2"/>
  <c r="C673" i="2" s="1"/>
  <c r="B670" i="2"/>
  <c r="C670" i="2" s="1"/>
  <c r="B656" i="2"/>
  <c r="B648" i="2"/>
  <c r="B638" i="2"/>
  <c r="C638" i="2" s="1"/>
  <c r="B624" i="2"/>
  <c r="D624" i="2" s="1"/>
  <c r="B535" i="2"/>
  <c r="D535" i="2" s="1"/>
  <c r="B509" i="2"/>
  <c r="C509" i="2" s="1"/>
  <c r="B244" i="5"/>
  <c r="C244" i="5" s="1"/>
  <c r="B234" i="5"/>
  <c r="B215" i="5"/>
  <c r="B197" i="5"/>
  <c r="C197" i="5" s="1"/>
  <c r="B192" i="5"/>
  <c r="B183" i="5"/>
  <c r="E183" i="5" s="1"/>
  <c r="B178" i="5"/>
  <c r="C178" i="5" s="1"/>
  <c r="B166" i="5"/>
  <c r="B158" i="5"/>
  <c r="B147" i="5"/>
  <c r="F147" i="5" s="1"/>
  <c r="B145" i="5"/>
  <c r="B139" i="5"/>
  <c r="F139" i="5" s="1"/>
  <c r="B732" i="2"/>
  <c r="E732" i="2" s="1"/>
  <c r="B729" i="2"/>
  <c r="B719" i="2"/>
  <c r="F719" i="2" s="1"/>
  <c r="B710" i="2"/>
  <c r="B707" i="2"/>
  <c r="B701" i="2"/>
  <c r="B691" i="2"/>
  <c r="B681" i="2"/>
  <c r="C681" i="2" s="1"/>
  <c r="B678" i="2"/>
  <c r="E678" i="2" s="1"/>
  <c r="B667" i="2"/>
  <c r="F667" i="2" s="1"/>
  <c r="B663" i="2"/>
  <c r="C663" i="2" s="1"/>
  <c r="B659" i="2"/>
  <c r="F659" i="2" s="1"/>
  <c r="B635" i="2"/>
  <c r="C635" i="2" s="1"/>
  <c r="B582" i="2"/>
  <c r="C582" i="2" s="1"/>
  <c r="B577" i="2"/>
  <c r="F577" i="2" s="1"/>
  <c r="B502" i="2"/>
  <c r="F502" i="2" s="1"/>
  <c r="B249" i="5"/>
  <c r="D249" i="5" s="1"/>
  <c r="B241" i="5"/>
  <c r="F241" i="5" s="1"/>
  <c r="B236" i="5"/>
  <c r="B223" i="5"/>
  <c r="D223" i="5" s="1"/>
  <c r="B220" i="5"/>
  <c r="F220" i="5" s="1"/>
  <c r="B212" i="5"/>
  <c r="B194" i="5"/>
  <c r="F194" i="5" s="1"/>
  <c r="B187" i="5"/>
  <c r="D187" i="5" s="1"/>
  <c r="B185" i="5"/>
  <c r="B180" i="5"/>
  <c r="D180" i="5" s="1"/>
  <c r="B176" i="5"/>
  <c r="F176" i="5" s="1"/>
  <c r="B174" i="5"/>
  <c r="B155" i="5"/>
  <c r="F155" i="5" s="1"/>
  <c r="B153" i="5"/>
  <c r="B151" i="5"/>
  <c r="E151" i="5" s="1"/>
  <c r="B143" i="5"/>
  <c r="D143" i="5" s="1"/>
  <c r="B141" i="5"/>
  <c r="E141" i="5" s="1"/>
  <c r="B746" i="2"/>
  <c r="B742" i="2"/>
  <c r="D742" i="2" s="1"/>
  <c r="B737" i="2"/>
  <c r="B734" i="2"/>
  <c r="B725" i="2"/>
  <c r="B722" i="2"/>
  <c r="E722" i="2" s="1"/>
  <c r="B715" i="2"/>
  <c r="E715" i="2" s="1"/>
  <c r="B713" i="2"/>
  <c r="C713" i="2" s="1"/>
  <c r="B698" i="2"/>
  <c r="F698" i="2" s="1"/>
  <c r="B684" i="2"/>
  <c r="D684" i="2" s="1"/>
  <c r="B647" i="2"/>
  <c r="D647" i="2" s="1"/>
  <c r="B642" i="2"/>
  <c r="F642" i="2" s="1"/>
  <c r="B545" i="2"/>
  <c r="C545" i="2" s="1"/>
  <c r="B539" i="2"/>
  <c r="F539" i="2" s="1"/>
  <c r="B518" i="2"/>
  <c r="F518" i="2" s="1"/>
  <c r="B653" i="2"/>
  <c r="D653" i="2" s="1"/>
  <c r="B478" i="2"/>
  <c r="C478" i="2" s="1"/>
  <c r="B491" i="2"/>
  <c r="E491" i="2" s="1"/>
  <c r="B613" i="2"/>
  <c r="E613" i="2" s="1"/>
  <c r="B606" i="2"/>
  <c r="D606" i="2" s="1"/>
  <c r="B475" i="2"/>
  <c r="D475" i="2" s="1"/>
  <c r="B416" i="2"/>
  <c r="C416" i="2" s="1"/>
  <c r="B514" i="2"/>
  <c r="F514" i="2" s="1"/>
  <c r="B371" i="2"/>
  <c r="C371" i="2" s="1"/>
  <c r="B355" i="2"/>
  <c r="D355" i="2" s="1"/>
  <c r="B447" i="2"/>
  <c r="D447" i="2" s="1"/>
  <c r="B231" i="5"/>
  <c r="D231" i="5" s="1"/>
  <c r="B227" i="5"/>
  <c r="B225" i="5"/>
  <c r="F225" i="5" s="1"/>
  <c r="B214" i="5"/>
  <c r="F214" i="5" s="1"/>
  <c r="B208" i="5"/>
  <c r="F208" i="5" s="1"/>
  <c r="B191" i="5"/>
  <c r="E191" i="5" s="1"/>
  <c r="B190" i="5"/>
  <c r="B167" i="5"/>
  <c r="E167" i="5" s="1"/>
  <c r="B165" i="5"/>
  <c r="C165" i="5" s="1"/>
  <c r="B159" i="5"/>
  <c r="E159" i="5" s="1"/>
  <c r="B149" i="5"/>
  <c r="C149" i="5" s="1"/>
  <c r="B146" i="5"/>
  <c r="E146" i="5" s="1"/>
  <c r="B138" i="5"/>
  <c r="C138" i="5" s="1"/>
  <c r="B718" i="2"/>
  <c r="E718" i="2" s="1"/>
  <c r="B706" i="2"/>
  <c r="C706" i="2" s="1"/>
  <c r="B704" i="2"/>
  <c r="B694" i="2"/>
  <c r="C694" i="2" s="1"/>
  <c r="B690" i="2"/>
  <c r="F690" i="2" s="1"/>
  <c r="B686" i="2"/>
  <c r="C686" i="2" s="1"/>
  <c r="B677" i="2"/>
  <c r="E677" i="2" s="1"/>
  <c r="B666" i="2"/>
  <c r="D666" i="2" s="1"/>
  <c r="B654" i="2"/>
  <c r="C654" i="2" s="1"/>
  <c r="B649" i="2"/>
  <c r="D649" i="2" s="1"/>
  <c r="B627" i="2"/>
  <c r="C627" i="2" s="1"/>
  <c r="B622" i="2"/>
  <c r="C622" i="2" s="1"/>
  <c r="B594" i="2"/>
  <c r="C594" i="2" s="1"/>
  <c r="B587" i="2"/>
  <c r="F587" i="2" s="1"/>
  <c r="B569" i="2"/>
  <c r="E569" i="2" s="1"/>
  <c r="B563" i="2"/>
  <c r="B556" i="2"/>
  <c r="C556" i="2" s="1"/>
  <c r="B549" i="2"/>
  <c r="D549" i="2" s="1"/>
  <c r="B439" i="2"/>
  <c r="F439" i="2" s="1"/>
  <c r="B409" i="2"/>
  <c r="D409" i="2" s="1"/>
  <c r="B394" i="2"/>
  <c r="C394" i="2" s="1"/>
  <c r="B379" i="2"/>
  <c r="C379" i="2" s="1"/>
  <c r="B246" i="5"/>
  <c r="B243" i="5"/>
  <c r="F243" i="5" s="1"/>
  <c r="B238" i="5"/>
  <c r="B235" i="5"/>
  <c r="D235" i="5" s="1"/>
  <c r="B229" i="5"/>
  <c r="B219" i="5"/>
  <c r="F219" i="5" s="1"/>
  <c r="B218" i="5"/>
  <c r="B216" i="5"/>
  <c r="B211" i="5"/>
  <c r="C211" i="5" s="1"/>
  <c r="B210" i="5"/>
  <c r="B206" i="5"/>
  <c r="B199" i="5"/>
  <c r="F199" i="5" s="1"/>
  <c r="B193" i="5"/>
  <c r="D193" i="5" s="1"/>
  <c r="B186" i="5"/>
  <c r="D186" i="5" s="1"/>
  <c r="B175" i="5"/>
  <c r="C175" i="5" s="1"/>
  <c r="B173" i="5"/>
  <c r="D173" i="5" s="1"/>
  <c r="B171" i="5"/>
  <c r="E171" i="5" s="1"/>
  <c r="B169" i="5"/>
  <c r="B161" i="5"/>
  <c r="B157" i="5"/>
  <c r="C157" i="5" s="1"/>
  <c r="B154" i="5"/>
  <c r="C154" i="5" s="1"/>
  <c r="B5" i="2"/>
  <c r="D5" i="2" s="1"/>
  <c r="B751" i="2"/>
  <c r="C751" i="2" s="1"/>
  <c r="N751" i="2" s="1"/>
  <c r="B745" i="2"/>
  <c r="C745" i="2" s="1"/>
  <c r="B740" i="2"/>
  <c r="B736" i="2"/>
  <c r="E736" i="2" s="1"/>
  <c r="B728" i="2"/>
  <c r="D728" i="2" s="1"/>
  <c r="B721" i="2"/>
  <c r="C721" i="2" s="1"/>
  <c r="B672" i="2"/>
  <c r="E672" i="2" s="1"/>
  <c r="B669" i="2"/>
  <c r="F669" i="2" s="1"/>
  <c r="B662" i="2"/>
  <c r="C662" i="2" s="1"/>
  <c r="B657" i="2"/>
  <c r="D657" i="2" s="1"/>
  <c r="B641" i="2"/>
  <c r="C641" i="2" s="1"/>
  <c r="B637" i="2"/>
  <c r="C637" i="2" s="1"/>
  <c r="B615" i="2"/>
  <c r="E615" i="2" s="1"/>
  <c r="B580" i="2"/>
  <c r="B525" i="2"/>
  <c r="B512" i="2"/>
  <c r="B506" i="2"/>
  <c r="B492" i="2"/>
  <c r="B251" i="5"/>
  <c r="B237" i="5"/>
  <c r="B233" i="5"/>
  <c r="D233" i="5" s="1"/>
  <c r="B230" i="5"/>
  <c r="E230" i="5" s="1"/>
  <c r="B222" i="5"/>
  <c r="C222" i="5" s="1"/>
  <c r="B213" i="5"/>
  <c r="D213" i="5" s="1"/>
  <c r="B204" i="5"/>
  <c r="B189" i="5"/>
  <c r="E189" i="5" s="1"/>
  <c r="B181" i="5"/>
  <c r="B163" i="5"/>
  <c r="B136" i="5"/>
  <c r="B113" i="2"/>
  <c r="D113" i="2" s="1"/>
  <c r="B3" i="2"/>
  <c r="C3" i="2" s="1"/>
  <c r="B281" i="2"/>
  <c r="D281" i="2" s="1"/>
  <c r="B748" i="2"/>
  <c r="B733" i="2"/>
  <c r="D733" i="2" s="1"/>
  <c r="B731" i="2"/>
  <c r="B724" i="2"/>
  <c r="B717" i="2"/>
  <c r="C717" i="2" s="1"/>
  <c r="B712" i="2"/>
  <c r="E712" i="2" s="1"/>
  <c r="B709" i="2"/>
  <c r="E709" i="2" s="1"/>
  <c r="B703" i="2"/>
  <c r="F703" i="2" s="1"/>
  <c r="B700" i="2"/>
  <c r="C700" i="2" s="1"/>
  <c r="B693" i="2"/>
  <c r="D693" i="2" s="1"/>
  <c r="B683" i="2"/>
  <c r="B680" i="2"/>
  <c r="D680" i="2" s="1"/>
  <c r="B574" i="2"/>
  <c r="D574" i="2" s="1"/>
  <c r="B548" i="2"/>
  <c r="B537" i="2"/>
  <c r="B517" i="2"/>
  <c r="B468" i="2"/>
  <c r="E468" i="2" s="1"/>
  <c r="B346" i="2"/>
  <c r="B240" i="5"/>
  <c r="D240" i="5" s="1"/>
  <c r="B228" i="5"/>
  <c r="C228" i="5" s="1"/>
  <c r="B207" i="5"/>
  <c r="C207" i="5" s="1"/>
  <c r="B201" i="5"/>
  <c r="B198" i="5"/>
  <c r="E198" i="5" s="1"/>
  <c r="B196" i="5"/>
  <c r="B179" i="5"/>
  <c r="F179" i="5" s="1"/>
  <c r="B170" i="5"/>
  <c r="C170" i="5" s="1"/>
  <c r="B152" i="5"/>
  <c r="B144" i="5"/>
  <c r="F144" i="5" s="1"/>
  <c r="B140" i="5"/>
  <c r="D140" i="5" s="1"/>
  <c r="B741" i="2"/>
  <c r="B730" i="2"/>
  <c r="D730" i="2" s="1"/>
  <c r="B723" i="2"/>
  <c r="F723" i="2" s="1"/>
  <c r="B720" i="2"/>
  <c r="E720" i="2" s="1"/>
  <c r="B716" i="2"/>
  <c r="F716" i="2" s="1"/>
  <c r="B714" i="2"/>
  <c r="B711" i="2"/>
  <c r="F711" i="2" s="1"/>
  <c r="B708" i="2"/>
  <c r="F708" i="2" s="1"/>
  <c r="B702" i="2"/>
  <c r="F702" i="2" s="1"/>
  <c r="B692" i="2"/>
  <c r="C692" i="2" s="1"/>
  <c r="B685" i="2"/>
  <c r="C685" i="2" s="1"/>
  <c r="B682" i="2"/>
  <c r="F682" i="2" s="1"/>
  <c r="B679" i="2"/>
  <c r="D679" i="2" s="1"/>
  <c r="B676" i="2"/>
  <c r="C676" i="2" s="1"/>
  <c r="B664" i="2"/>
  <c r="C664" i="2" s="1"/>
  <c r="B651" i="2"/>
  <c r="C651" i="2" s="1"/>
  <c r="B643" i="2"/>
  <c r="F643" i="2" s="1"/>
  <c r="B636" i="2"/>
  <c r="C636" i="2" s="1"/>
  <c r="B630" i="2"/>
  <c r="B547" i="2"/>
  <c r="B529" i="2"/>
  <c r="B242" i="5"/>
  <c r="B221" i="5"/>
  <c r="E221" i="5" s="1"/>
  <c r="B209" i="5"/>
  <c r="D209" i="5" s="1"/>
  <c r="B203" i="5"/>
  <c r="C203" i="5" s="1"/>
  <c r="B200" i="5"/>
  <c r="D200" i="5" s="1"/>
  <c r="B195" i="5"/>
  <c r="C195" i="5" s="1"/>
  <c r="B182" i="5"/>
  <c r="B177" i="5"/>
  <c r="B172" i="5"/>
  <c r="D172" i="5" s="1"/>
  <c r="B164" i="5"/>
  <c r="D164" i="5" s="1"/>
  <c r="B160" i="5"/>
  <c r="E160" i="5" s="1"/>
  <c r="B156" i="5"/>
  <c r="D156" i="5" s="1"/>
  <c r="B150" i="5"/>
  <c r="B142" i="5"/>
  <c r="B137" i="5"/>
  <c r="B39" i="5"/>
  <c r="B311" i="2"/>
  <c r="D311" i="2" s="1"/>
  <c r="B313" i="2"/>
  <c r="B317" i="2"/>
  <c r="C317" i="2" s="1"/>
  <c r="B319" i="2"/>
  <c r="D319" i="2" s="1"/>
  <c r="B323" i="2"/>
  <c r="E323" i="2" s="1"/>
  <c r="B339" i="2"/>
  <c r="E339" i="2" s="1"/>
  <c r="B353" i="2"/>
  <c r="D353" i="2" s="1"/>
  <c r="B357" i="2"/>
  <c r="E357" i="2" s="1"/>
  <c r="B359" i="2"/>
  <c r="B361" i="2"/>
  <c r="D361" i="2" s="1"/>
  <c r="B374" i="2"/>
  <c r="B395" i="2"/>
  <c r="B399" i="2"/>
  <c r="C399" i="2" s="1"/>
  <c r="B405" i="2"/>
  <c r="B406" i="2"/>
  <c r="B412" i="2"/>
  <c r="B413" i="2"/>
  <c r="B420" i="2"/>
  <c r="E420" i="2" s="1"/>
  <c r="B426" i="2"/>
  <c r="B432" i="2"/>
  <c r="B434" i="2"/>
  <c r="E434" i="2" s="1"/>
  <c r="B321" i="2"/>
  <c r="B326" i="2"/>
  <c r="B333" i="2"/>
  <c r="F333" i="2" s="1"/>
  <c r="B337" i="2"/>
  <c r="F337" i="2" s="1"/>
  <c r="B366" i="2"/>
  <c r="B367" i="2"/>
  <c r="D367" i="2" s="1"/>
  <c r="B380" i="2"/>
  <c r="F380" i="2" s="1"/>
  <c r="B383" i="2"/>
  <c r="C383" i="2" s="1"/>
  <c r="B386" i="2"/>
  <c r="B393" i="2"/>
  <c r="C393" i="2" s="1"/>
  <c r="B402" i="2"/>
  <c r="D402" i="2" s="1"/>
  <c r="B408" i="2"/>
  <c r="B431" i="2"/>
  <c r="B442" i="2"/>
  <c r="B458" i="2"/>
  <c r="B460" i="2"/>
  <c r="B466" i="2"/>
  <c r="E466" i="2" s="1"/>
  <c r="B470" i="2"/>
  <c r="B471" i="2"/>
  <c r="B473" i="2"/>
  <c r="B483" i="2"/>
  <c r="B490" i="2"/>
  <c r="C490" i="2" s="1"/>
  <c r="B316" i="2"/>
  <c r="B318" i="2"/>
  <c r="B324" i="2"/>
  <c r="B341" i="2"/>
  <c r="F341" i="2" s="1"/>
  <c r="B345" i="2"/>
  <c r="B347" i="2"/>
  <c r="E347" i="2" s="1"/>
  <c r="B349" i="2"/>
  <c r="B358" i="2"/>
  <c r="B360" i="2"/>
  <c r="B362" i="2"/>
  <c r="B388" i="2"/>
  <c r="D388" i="2" s="1"/>
  <c r="B397" i="2"/>
  <c r="B398" i="2"/>
  <c r="B410" i="2"/>
  <c r="C410" i="2" s="1"/>
  <c r="B418" i="2"/>
  <c r="C418" i="2" s="1"/>
  <c r="B422" i="2"/>
  <c r="B423" i="2"/>
  <c r="F423" i="2" s="1"/>
  <c r="B428" i="2"/>
  <c r="C428" i="2" s="1"/>
  <c r="B430" i="2"/>
  <c r="B438" i="2"/>
  <c r="B440" i="2"/>
  <c r="B448" i="2"/>
  <c r="C448" i="2" s="1"/>
  <c r="B480" i="2"/>
  <c r="E480" i="2" s="1"/>
  <c r="B486" i="2"/>
  <c r="E486" i="2" s="1"/>
  <c r="B312" i="2"/>
  <c r="B328" i="2"/>
  <c r="E328" i="2" s="1"/>
  <c r="B330" i="2"/>
  <c r="D330" i="2" s="1"/>
  <c r="B332" i="2"/>
  <c r="B335" i="2"/>
  <c r="D335" i="2" s="1"/>
  <c r="B340" i="2"/>
  <c r="B343" i="2"/>
  <c r="C343" i="2" s="1"/>
  <c r="B354" i="2"/>
  <c r="F354" i="2" s="1"/>
  <c r="B356" i="2"/>
  <c r="B365" i="2"/>
  <c r="B372" i="2"/>
  <c r="C372" i="2" s="1"/>
  <c r="B377" i="2"/>
  <c r="D377" i="2" s="1"/>
  <c r="B381" i="2"/>
  <c r="D381" i="2" s="1"/>
  <c r="B385" i="2"/>
  <c r="B391" i="2"/>
  <c r="B400" i="2"/>
  <c r="B320" i="2"/>
  <c r="F320" i="2" s="1"/>
  <c r="B338" i="2"/>
  <c r="B342" i="2"/>
  <c r="B348" i="2"/>
  <c r="B350" i="2"/>
  <c r="B351" i="2"/>
  <c r="F351" i="2" s="1"/>
  <c r="B363" i="2"/>
  <c r="F363" i="2" s="1"/>
  <c r="B368" i="2"/>
  <c r="C368" i="2" s="1"/>
  <c r="B375" i="2"/>
  <c r="E375" i="2" s="1"/>
  <c r="B389" i="2"/>
  <c r="E389" i="2" s="1"/>
  <c r="B404" i="2"/>
  <c r="F404" i="2" s="1"/>
  <c r="B419" i="2"/>
  <c r="C419" i="2" s="1"/>
  <c r="B425" i="2"/>
  <c r="F425" i="2" s="1"/>
  <c r="B429" i="2"/>
  <c r="B435" i="2"/>
  <c r="B444" i="2"/>
  <c r="B445" i="2"/>
  <c r="F445" i="2" s="1"/>
  <c r="B449" i="2"/>
  <c r="C449" i="2" s="1"/>
  <c r="B462" i="2"/>
  <c r="B474" i="2"/>
  <c r="D474" i="2" s="1"/>
  <c r="B482" i="2"/>
  <c r="F482" i="2" s="1"/>
  <c r="B495" i="2"/>
  <c r="B314" i="2"/>
  <c r="E314" i="2" s="1"/>
  <c r="B329" i="2"/>
  <c r="B331" i="2"/>
  <c r="B334" i="2"/>
  <c r="B336" i="2"/>
  <c r="E336" i="2" s="1"/>
  <c r="B370" i="2"/>
  <c r="F370" i="2" s="1"/>
  <c r="B373" i="2"/>
  <c r="E373" i="2" s="1"/>
  <c r="B382" i="2"/>
  <c r="D382" i="2" s="1"/>
  <c r="B384" i="2"/>
  <c r="B396" i="2"/>
  <c r="B401" i="2"/>
  <c r="B415" i="2"/>
  <c r="B421" i="2"/>
  <c r="B451" i="2"/>
  <c r="B454" i="2"/>
  <c r="B456" i="2"/>
  <c r="C456" i="2" s="1"/>
  <c r="B465" i="2"/>
  <c r="C465" i="2" s="1"/>
  <c r="B481" i="2"/>
  <c r="B487" i="2"/>
  <c r="B499" i="2"/>
  <c r="B503" i="2"/>
  <c r="B327" i="2"/>
  <c r="D327" i="2" s="1"/>
  <c r="B403" i="2"/>
  <c r="B427" i="2"/>
  <c r="D427" i="2" s="1"/>
  <c r="B443" i="2"/>
  <c r="F443" i="2" s="1"/>
  <c r="B457" i="2"/>
  <c r="C457" i="2" s="1"/>
  <c r="B463" i="2"/>
  <c r="B469" i="2"/>
  <c r="B484" i="2"/>
  <c r="B504" i="2"/>
  <c r="D504" i="2" s="1"/>
  <c r="B510" i="2"/>
  <c r="D510" i="2" s="1"/>
  <c r="B519" i="2"/>
  <c r="B526" i="2"/>
  <c r="E526" i="2" s="1"/>
  <c r="B530" i="2"/>
  <c r="E530" i="2" s="1"/>
  <c r="B532" i="2"/>
  <c r="B551" i="2"/>
  <c r="D551" i="2" s="1"/>
  <c r="B553" i="2"/>
  <c r="B555" i="2"/>
  <c r="B558" i="2"/>
  <c r="F558" i="2" s="1"/>
  <c r="B568" i="2"/>
  <c r="B571" i="2"/>
  <c r="B584" i="2"/>
  <c r="B589" i="2"/>
  <c r="C589" i="2" s="1"/>
  <c r="B600" i="2"/>
  <c r="C600" i="2" s="1"/>
  <c r="B605" i="2"/>
  <c r="E605" i="2" s="1"/>
  <c r="B322" i="2"/>
  <c r="B344" i="2"/>
  <c r="B364" i="2"/>
  <c r="E364" i="2" s="1"/>
  <c r="B414" i="2"/>
  <c r="B417" i="2"/>
  <c r="D417" i="2" s="1"/>
  <c r="B424" i="2"/>
  <c r="B437" i="2"/>
  <c r="F437" i="2" s="1"/>
  <c r="B496" i="2"/>
  <c r="F496" i="2" s="1"/>
  <c r="B498" i="2"/>
  <c r="F498" i="2" s="1"/>
  <c r="B507" i="2"/>
  <c r="B515" i="2"/>
  <c r="E515" i="2" s="1"/>
  <c r="B534" i="2"/>
  <c r="E534" i="2" s="1"/>
  <c r="B538" i="2"/>
  <c r="D538" i="2" s="1"/>
  <c r="B544" i="2"/>
  <c r="B562" i="2"/>
  <c r="D562" i="2" s="1"/>
  <c r="B565" i="2"/>
  <c r="C565" i="2" s="1"/>
  <c r="B591" i="2"/>
  <c r="B596" i="2"/>
  <c r="B599" i="2"/>
  <c r="E599" i="2" s="1"/>
  <c r="B607" i="2"/>
  <c r="C607" i="2" s="1"/>
  <c r="B626" i="2"/>
  <c r="B631" i="2"/>
  <c r="B378" i="2"/>
  <c r="B392" i="2"/>
  <c r="C392" i="2" s="1"/>
  <c r="B407" i="2"/>
  <c r="C407" i="2" s="1"/>
  <c r="B411" i="2"/>
  <c r="F411" i="2" s="1"/>
  <c r="B450" i="2"/>
  <c r="B452" i="2"/>
  <c r="B461" i="2"/>
  <c r="B464" i="2"/>
  <c r="B472" i="2"/>
  <c r="E472" i="2" s="1"/>
  <c r="B479" i="2"/>
  <c r="E479" i="2" s="1"/>
  <c r="B494" i="2"/>
  <c r="B501" i="2"/>
  <c r="B511" i="2"/>
  <c r="F511" i="2" s="1"/>
  <c r="B520" i="2"/>
  <c r="E520" i="2" s="1"/>
  <c r="B523" i="2"/>
  <c r="B527" i="2"/>
  <c r="D527" i="2" s="1"/>
  <c r="B540" i="2"/>
  <c r="B541" i="2"/>
  <c r="D541" i="2" s="1"/>
  <c r="B559" i="2"/>
  <c r="D559" i="2" s="1"/>
  <c r="B564" i="2"/>
  <c r="B575" i="2"/>
  <c r="D575" i="2" s="1"/>
  <c r="B578" i="2"/>
  <c r="C578" i="2" s="1"/>
  <c r="B588" i="2"/>
  <c r="B590" i="2"/>
  <c r="B604" i="2"/>
  <c r="B315" i="2"/>
  <c r="F315" i="2" s="1"/>
  <c r="B325" i="2"/>
  <c r="D325" i="2" s="1"/>
  <c r="B455" i="2"/>
  <c r="B477" i="2"/>
  <c r="B485" i="2"/>
  <c r="F485" i="2" s="1"/>
  <c r="B488" i="2"/>
  <c r="B493" i="2"/>
  <c r="B508" i="2"/>
  <c r="B516" i="2"/>
  <c r="B528" i="2"/>
  <c r="B554" i="2"/>
  <c r="E554" i="2" s="1"/>
  <c r="B560" i="2"/>
  <c r="B567" i="2"/>
  <c r="B570" i="2"/>
  <c r="B572" i="2"/>
  <c r="B576" i="2"/>
  <c r="B583" i="2"/>
  <c r="B585" i="2"/>
  <c r="F585" i="2" s="1"/>
  <c r="B603" i="2"/>
  <c r="B608" i="2"/>
  <c r="D608" i="2" s="1"/>
  <c r="B610" i="2"/>
  <c r="C610" i="2" s="1"/>
  <c r="B612" i="2"/>
  <c r="B352" i="2"/>
  <c r="F352" i="2" s="1"/>
  <c r="B369" i="2"/>
  <c r="B453" i="2"/>
  <c r="B522" i="2"/>
  <c r="B524" i="2"/>
  <c r="B533" i="2"/>
  <c r="E533" i="2" s="1"/>
  <c r="B543" i="2"/>
  <c r="D543" i="2" s="1"/>
  <c r="B552" i="2"/>
  <c r="B557" i="2"/>
  <c r="C557" i="2" s="1"/>
  <c r="B561" i="2"/>
  <c r="B566" i="2"/>
  <c r="C566" i="2" s="1"/>
  <c r="B581" i="2"/>
  <c r="B593" i="2"/>
  <c r="E593" i="2" s="1"/>
  <c r="B601" i="2"/>
  <c r="B621" i="2"/>
  <c r="B623" i="2"/>
  <c r="B628" i="2"/>
  <c r="B644" i="2"/>
  <c r="B376" i="2"/>
  <c r="E376" i="2" s="1"/>
  <c r="B387" i="2"/>
  <c r="C387" i="2" s="1"/>
  <c r="B436" i="2"/>
  <c r="C436" i="2" s="1"/>
  <c r="B441" i="2"/>
  <c r="C441" i="2" s="1"/>
  <c r="B467" i="2"/>
  <c r="B476" i="2"/>
  <c r="B489" i="2"/>
  <c r="B513" i="2"/>
  <c r="D513" i="2" s="1"/>
  <c r="B531" i="2"/>
  <c r="B546" i="2"/>
  <c r="B579" i="2"/>
  <c r="B609" i="2"/>
  <c r="D609" i="2" s="1"/>
  <c r="B617" i="2"/>
  <c r="F617" i="2" s="1"/>
  <c r="B650" i="2"/>
  <c r="B655" i="2"/>
  <c r="B658" i="2"/>
  <c r="B660" i="2"/>
  <c r="B446" i="2"/>
  <c r="B459" i="2"/>
  <c r="D459" i="2" s="1"/>
  <c r="B497" i="2"/>
  <c r="B573" i="2"/>
  <c r="E573" i="2" s="1"/>
  <c r="B586" i="2"/>
  <c r="B602" i="2"/>
  <c r="B619" i="2"/>
  <c r="B632" i="2"/>
  <c r="B633" i="2"/>
  <c r="F633" i="2" s="1"/>
  <c r="B640" i="2"/>
  <c r="B652" i="2"/>
  <c r="B671" i="2"/>
  <c r="B675" i="2"/>
  <c r="B687" i="2"/>
  <c r="B697" i="2"/>
  <c r="E697" i="2" s="1"/>
  <c r="B699" i="2"/>
  <c r="C699" i="2" s="1"/>
  <c r="B390" i="2"/>
  <c r="D390" i="2" s="1"/>
  <c r="B500" i="2"/>
  <c r="B521" i="2"/>
  <c r="B536" i="2"/>
  <c r="B550" i="2"/>
  <c r="B592" i="2"/>
  <c r="B595" i="2"/>
  <c r="B597" i="2"/>
  <c r="D597" i="2" s="1"/>
  <c r="B611" i="2"/>
  <c r="B614" i="2"/>
  <c r="B616" i="2"/>
  <c r="E616" i="2" s="1"/>
  <c r="B618" i="2"/>
  <c r="B629" i="2"/>
  <c r="B634" i="2"/>
  <c r="B639" i="2"/>
  <c r="B645" i="2"/>
  <c r="B646" i="2"/>
  <c r="C646" i="2" s="1"/>
  <c r="B505" i="2"/>
  <c r="B283" i="2"/>
  <c r="B219" i="2"/>
  <c r="B109" i="2"/>
  <c r="B49" i="2"/>
  <c r="B265" i="2"/>
  <c r="B217" i="2"/>
  <c r="B155" i="2"/>
  <c r="B93" i="2"/>
  <c r="B45" i="2"/>
  <c r="B221" i="2"/>
  <c r="B157" i="2"/>
  <c r="B307" i="2"/>
  <c r="B261" i="2"/>
  <c r="B201" i="2"/>
  <c r="B153" i="2"/>
  <c r="B91" i="2"/>
  <c r="B29" i="2"/>
  <c r="B305" i="2"/>
  <c r="B259" i="2"/>
  <c r="B197" i="2"/>
  <c r="B137" i="2"/>
  <c r="B89" i="2"/>
  <c r="B27" i="2"/>
  <c r="B2" i="5"/>
  <c r="B51" i="2"/>
  <c r="B23" i="5"/>
  <c r="B301" i="2"/>
  <c r="B243" i="2"/>
  <c r="B195" i="2"/>
  <c r="B133" i="2"/>
  <c r="B73" i="2"/>
  <c r="B25" i="2"/>
  <c r="B103" i="5"/>
  <c r="B293" i="2"/>
  <c r="B241" i="2"/>
  <c r="B179" i="2"/>
  <c r="B131" i="2"/>
  <c r="B69" i="2"/>
  <c r="B9" i="2"/>
  <c r="B71" i="5"/>
  <c r="B173" i="2"/>
  <c r="B285" i="2"/>
  <c r="B237" i="2"/>
  <c r="B177" i="2"/>
  <c r="B115" i="2"/>
  <c r="B67" i="2"/>
  <c r="B95" i="5"/>
  <c r="B63" i="5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2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299" i="2"/>
  <c r="B277" i="2"/>
  <c r="B257" i="2"/>
  <c r="B235" i="2"/>
  <c r="B213" i="2"/>
  <c r="B193" i="2"/>
  <c r="B171" i="2"/>
  <c r="B149" i="2"/>
  <c r="B129" i="2"/>
  <c r="B107" i="2"/>
  <c r="B85" i="2"/>
  <c r="B65" i="2"/>
  <c r="B43" i="2"/>
  <c r="B21" i="2"/>
  <c r="B123" i="5"/>
  <c r="B91" i="5"/>
  <c r="B59" i="5"/>
  <c r="B27" i="5"/>
  <c r="B131" i="5"/>
  <c r="B99" i="5"/>
  <c r="B67" i="5"/>
  <c r="B35" i="5"/>
  <c r="B127" i="5"/>
  <c r="B31" i="5"/>
  <c r="B10" i="5"/>
  <c r="B297" i="2"/>
  <c r="B275" i="2"/>
  <c r="B253" i="2"/>
  <c r="B233" i="2"/>
  <c r="B211" i="2"/>
  <c r="B189" i="2"/>
  <c r="B169" i="2"/>
  <c r="B147" i="2"/>
  <c r="B125" i="2"/>
  <c r="B105" i="2"/>
  <c r="B83" i="2"/>
  <c r="B61" i="2"/>
  <c r="B41" i="2"/>
  <c r="B19" i="2"/>
  <c r="B119" i="5"/>
  <c r="B87" i="5"/>
  <c r="B55" i="5"/>
  <c r="B3" i="5"/>
  <c r="B7" i="5"/>
  <c r="B17" i="5"/>
  <c r="B25" i="5"/>
  <c r="B33" i="5"/>
  <c r="B41" i="5"/>
  <c r="B49" i="5"/>
  <c r="B57" i="5"/>
  <c r="B65" i="5"/>
  <c r="B73" i="5"/>
  <c r="B81" i="5"/>
  <c r="B89" i="5"/>
  <c r="B97" i="5"/>
  <c r="B105" i="5"/>
  <c r="B113" i="5"/>
  <c r="B121" i="5"/>
  <c r="B129" i="5"/>
  <c r="B9" i="5"/>
  <c r="B273" i="2"/>
  <c r="B251" i="2"/>
  <c r="B229" i="2"/>
  <c r="B209" i="2"/>
  <c r="B187" i="2"/>
  <c r="B165" i="2"/>
  <c r="B145" i="2"/>
  <c r="B123" i="2"/>
  <c r="B101" i="2"/>
  <c r="B81" i="2"/>
  <c r="B59" i="2"/>
  <c r="B37" i="2"/>
  <c r="B17" i="2"/>
  <c r="B115" i="5"/>
  <c r="B83" i="5"/>
  <c r="B51" i="5"/>
  <c r="B19" i="5"/>
  <c r="B291" i="2"/>
  <c r="B269" i="2"/>
  <c r="B249" i="2"/>
  <c r="B227" i="2"/>
  <c r="B205" i="2"/>
  <c r="B185" i="2"/>
  <c r="B163" i="2"/>
  <c r="B141" i="2"/>
  <c r="B121" i="2"/>
  <c r="B99" i="2"/>
  <c r="B77" i="2"/>
  <c r="B57" i="2"/>
  <c r="B35" i="2"/>
  <c r="B13" i="2"/>
  <c r="B111" i="5"/>
  <c r="B79" i="5"/>
  <c r="B47" i="5"/>
  <c r="B15" i="5"/>
  <c r="B309" i="2"/>
  <c r="B289" i="2"/>
  <c r="B267" i="2"/>
  <c r="B245" i="2"/>
  <c r="B225" i="2"/>
  <c r="B203" i="2"/>
  <c r="B181" i="2"/>
  <c r="B161" i="2"/>
  <c r="B139" i="2"/>
  <c r="B117" i="2"/>
  <c r="B97" i="2"/>
  <c r="B75" i="2"/>
  <c r="B53" i="2"/>
  <c r="B33" i="2"/>
  <c r="B11" i="2"/>
  <c r="B107" i="5"/>
  <c r="B75" i="5"/>
  <c r="B43" i="5"/>
  <c r="B11" i="5"/>
  <c r="B128" i="5"/>
  <c r="B120" i="5"/>
  <c r="B112" i="5"/>
  <c r="B104" i="5"/>
  <c r="B96" i="5"/>
  <c r="B88" i="5"/>
  <c r="B80" i="5"/>
  <c r="B72" i="5"/>
  <c r="B64" i="5"/>
  <c r="B56" i="5"/>
  <c r="B48" i="5"/>
  <c r="B40" i="5"/>
  <c r="B32" i="5"/>
  <c r="B24" i="5"/>
  <c r="B16" i="5"/>
  <c r="B8" i="5"/>
  <c r="B134" i="5"/>
  <c r="B126" i="5"/>
  <c r="B118" i="5"/>
  <c r="B110" i="5"/>
  <c r="B102" i="5"/>
  <c r="B94" i="5"/>
  <c r="B86" i="5"/>
  <c r="B78" i="5"/>
  <c r="B70" i="5"/>
  <c r="B62" i="5"/>
  <c r="B54" i="5"/>
  <c r="B46" i="5"/>
  <c r="B38" i="5"/>
  <c r="B30" i="5"/>
  <c r="B22" i="5"/>
  <c r="B14" i="5"/>
  <c r="B6" i="5"/>
  <c r="B133" i="5"/>
  <c r="B125" i="5"/>
  <c r="B117" i="5"/>
  <c r="B109" i="5"/>
  <c r="B101" i="5"/>
  <c r="B93" i="5"/>
  <c r="B85" i="5"/>
  <c r="B77" i="5"/>
  <c r="B69" i="5"/>
  <c r="B61" i="5"/>
  <c r="B53" i="5"/>
  <c r="B45" i="5"/>
  <c r="B37" i="5"/>
  <c r="B29" i="5"/>
  <c r="B21" i="5"/>
  <c r="B13" i="5"/>
  <c r="B5" i="5"/>
  <c r="B132" i="5"/>
  <c r="B124" i="5"/>
  <c r="B116" i="5"/>
  <c r="B108" i="5"/>
  <c r="B100" i="5"/>
  <c r="B92" i="5"/>
  <c r="B84" i="5"/>
  <c r="B76" i="5"/>
  <c r="B68" i="5"/>
  <c r="B60" i="5"/>
  <c r="B52" i="5"/>
  <c r="B44" i="5"/>
  <c r="B36" i="5"/>
  <c r="B28" i="5"/>
  <c r="B20" i="5"/>
  <c r="B12" i="5"/>
  <c r="B4" i="5"/>
  <c r="B130" i="5"/>
  <c r="B122" i="5"/>
  <c r="B114" i="5"/>
  <c r="B106" i="5"/>
  <c r="B98" i="5"/>
  <c r="B90" i="5"/>
  <c r="B82" i="5"/>
  <c r="B74" i="5"/>
  <c r="B66" i="5"/>
  <c r="B58" i="5"/>
  <c r="B50" i="5"/>
  <c r="B42" i="5"/>
  <c r="B34" i="5"/>
  <c r="B26" i="5"/>
  <c r="B18" i="5"/>
  <c r="G775" i="2" l="1"/>
  <c r="G776" i="2"/>
  <c r="K840" i="2"/>
  <c r="G754" i="2"/>
  <c r="G758" i="2"/>
  <c r="G764" i="2"/>
  <c r="K797" i="2"/>
  <c r="G912" i="2"/>
  <c r="G801" i="2"/>
  <c r="G918" i="2"/>
  <c r="J754" i="2"/>
  <c r="K754" i="2" s="1"/>
  <c r="G789" i="2"/>
  <c r="J801" i="2"/>
  <c r="K801" i="2" s="1"/>
  <c r="G953" i="2"/>
  <c r="G1120" i="2"/>
  <c r="G1177" i="2"/>
  <c r="G453" i="5"/>
  <c r="K364" i="5"/>
  <c r="J437" i="5"/>
  <c r="K437" i="5" s="1"/>
  <c r="K950" i="2"/>
  <c r="G274" i="5"/>
  <c r="G1131" i="2"/>
  <c r="G1032" i="2"/>
  <c r="G260" i="5"/>
  <c r="G368" i="5"/>
  <c r="G455" i="5"/>
  <c r="G1208" i="2"/>
  <c r="G564" i="5"/>
  <c r="G1067" i="2"/>
  <c r="G1104" i="2"/>
  <c r="G966" i="2"/>
  <c r="G1055" i="2"/>
  <c r="G1166" i="2"/>
  <c r="G1199" i="2"/>
  <c r="G408" i="5"/>
  <c r="G405" i="5"/>
  <c r="G301" i="5"/>
  <c r="G491" i="5"/>
  <c r="D1255" i="2"/>
  <c r="G1255" i="2" s="1"/>
  <c r="C1255" i="2"/>
  <c r="E1255" i="2"/>
  <c r="F1255" i="2"/>
  <c r="E942" i="2"/>
  <c r="F942" i="2"/>
  <c r="D942" i="2"/>
  <c r="E1117" i="2"/>
  <c r="C1117" i="2"/>
  <c r="D1117" i="2"/>
  <c r="G1117" i="2" s="1"/>
  <c r="F1117" i="2"/>
  <c r="F1249" i="2"/>
  <c r="H1249" i="2" s="1"/>
  <c r="E1249" i="2"/>
  <c r="C1249" i="2"/>
  <c r="D1249" i="2"/>
  <c r="F878" i="2"/>
  <c r="C878" i="2"/>
  <c r="D878" i="2"/>
  <c r="G878" i="2" s="1"/>
  <c r="E1102" i="2"/>
  <c r="F1102" i="2"/>
  <c r="D1102" i="2"/>
  <c r="C1102" i="2"/>
  <c r="E1231" i="2"/>
  <c r="G1231" i="2" s="1"/>
  <c r="F1231" i="2"/>
  <c r="C991" i="2"/>
  <c r="E991" i="2"/>
  <c r="D991" i="2"/>
  <c r="C1145" i="2"/>
  <c r="D1145" i="2"/>
  <c r="E1145" i="2"/>
  <c r="F1145" i="2"/>
  <c r="D1012" i="2"/>
  <c r="E1012" i="2"/>
  <c r="G1012" i="2" s="1"/>
  <c r="F1012" i="2"/>
  <c r="C1012" i="2"/>
  <c r="F774" i="2"/>
  <c r="H774" i="2" s="1"/>
  <c r="D774" i="2"/>
  <c r="E774" i="2"/>
  <c r="C774" i="2"/>
  <c r="C997" i="2"/>
  <c r="F997" i="2"/>
  <c r="F1194" i="2"/>
  <c r="C1194" i="2"/>
  <c r="F515" i="5"/>
  <c r="E515" i="5"/>
  <c r="G515" i="5" s="1"/>
  <c r="C423" i="5"/>
  <c r="D423" i="5"/>
  <c r="G423" i="5" s="1"/>
  <c r="C458" i="5"/>
  <c r="E458" i="5"/>
  <c r="E485" i="5"/>
  <c r="D485" i="5"/>
  <c r="G485" i="5" s="1"/>
  <c r="F485" i="5"/>
  <c r="C485" i="5"/>
  <c r="E553" i="5"/>
  <c r="D553" i="5"/>
  <c r="G553" i="5" s="1"/>
  <c r="E588" i="5"/>
  <c r="F588" i="5"/>
  <c r="D588" i="5"/>
  <c r="C588" i="5"/>
  <c r="C607" i="5"/>
  <c r="D607" i="5"/>
  <c r="E607" i="5"/>
  <c r="F607" i="5"/>
  <c r="F415" i="5"/>
  <c r="H415" i="5" s="1"/>
  <c r="D415" i="5"/>
  <c r="E415" i="5"/>
  <c r="C415" i="5"/>
  <c r="D312" i="5"/>
  <c r="E312" i="5"/>
  <c r="F312" i="5"/>
  <c r="C312" i="5"/>
  <c r="D628" i="5"/>
  <c r="G628" i="5" s="1"/>
  <c r="C628" i="5"/>
  <c r="F393" i="5"/>
  <c r="E393" i="5"/>
  <c r="D393" i="5"/>
  <c r="G393" i="5" s="1"/>
  <c r="C393" i="5"/>
  <c r="C611" i="5"/>
  <c r="D611" i="5"/>
  <c r="G611" i="5" s="1"/>
  <c r="C620" i="5"/>
  <c r="D620" i="5"/>
  <c r="G620" i="5" s="1"/>
  <c r="F620" i="5"/>
  <c r="E620" i="5"/>
  <c r="D555" i="5"/>
  <c r="G555" i="5" s="1"/>
  <c r="E555" i="5"/>
  <c r="D499" i="5"/>
  <c r="G499" i="5" s="1"/>
  <c r="C499" i="5"/>
  <c r="F271" i="5"/>
  <c r="D271" i="5"/>
  <c r="E271" i="5"/>
  <c r="C446" i="5"/>
  <c r="F446" i="5"/>
  <c r="C371" i="5"/>
  <c r="E371" i="5"/>
  <c r="G371" i="5" s="1"/>
  <c r="F371" i="5"/>
  <c r="C460" i="5"/>
  <c r="E460" i="5"/>
  <c r="F460" i="5"/>
  <c r="C534" i="5"/>
  <c r="E534" i="5"/>
  <c r="G534" i="5" s="1"/>
  <c r="F534" i="5"/>
  <c r="C467" i="5"/>
  <c r="D467" i="5"/>
  <c r="F467" i="5"/>
  <c r="E467" i="5"/>
  <c r="C401" i="5"/>
  <c r="D401" i="5"/>
  <c r="G401" i="5" s="1"/>
  <c r="F253" i="5"/>
  <c r="C253" i="5"/>
  <c r="D253" i="5"/>
  <c r="E253" i="5"/>
  <c r="D265" i="5"/>
  <c r="G265" i="5" s="1"/>
  <c r="E265" i="5"/>
  <c r="C265" i="5"/>
  <c r="F265" i="5"/>
  <c r="C328" i="5"/>
  <c r="D328" i="5"/>
  <c r="E328" i="5"/>
  <c r="F328" i="5"/>
  <c r="C411" i="5"/>
  <c r="D411" i="5"/>
  <c r="F411" i="5"/>
  <c r="E411" i="5"/>
  <c r="C329" i="5"/>
  <c r="D329" i="5"/>
  <c r="F329" i="5"/>
  <c r="E329" i="5"/>
  <c r="C252" i="5"/>
  <c r="D252" i="5"/>
  <c r="G252" i="5" s="1"/>
  <c r="F252" i="5"/>
  <c r="E252" i="5"/>
  <c r="C342" i="5"/>
  <c r="D342" i="5"/>
  <c r="F342" i="5"/>
  <c r="E342" i="5"/>
  <c r="C282" i="5"/>
  <c r="E282" i="5"/>
  <c r="F282" i="5"/>
  <c r="D282" i="5"/>
  <c r="C1251" i="2"/>
  <c r="D1251" i="2"/>
  <c r="E1251" i="2"/>
  <c r="F1251" i="2"/>
  <c r="D1141" i="2"/>
  <c r="G1141" i="2" s="1"/>
  <c r="C1141" i="2"/>
  <c r="E1141" i="2"/>
  <c r="C1119" i="2"/>
  <c r="D1119" i="2"/>
  <c r="G1119" i="2" s="1"/>
  <c r="E1119" i="2"/>
  <c r="F1119" i="2"/>
  <c r="F861" i="2"/>
  <c r="E861" i="2"/>
  <c r="C861" i="2"/>
  <c r="D861" i="2"/>
  <c r="C1156" i="2"/>
  <c r="D1156" i="2"/>
  <c r="G1156" i="2" s="1"/>
  <c r="E1156" i="2"/>
  <c r="F1156" i="2"/>
  <c r="E1121" i="2"/>
  <c r="C1121" i="2"/>
  <c r="D1121" i="2"/>
  <c r="G1121" i="2" s="1"/>
  <c r="F1121" i="2"/>
  <c r="D1023" i="2"/>
  <c r="G1023" i="2" s="1"/>
  <c r="F1023" i="2"/>
  <c r="E1210" i="2"/>
  <c r="C1210" i="2"/>
  <c r="D1210" i="2"/>
  <c r="G1210" i="2" s="1"/>
  <c r="E1118" i="2"/>
  <c r="C1118" i="2"/>
  <c r="D1118" i="2"/>
  <c r="E1016" i="2"/>
  <c r="G1016" i="2" s="1"/>
  <c r="F1016" i="2"/>
  <c r="C1016" i="2"/>
  <c r="D1016" i="2"/>
  <c r="C1123" i="2"/>
  <c r="F1123" i="2"/>
  <c r="D1123" i="2"/>
  <c r="E1123" i="2"/>
  <c r="F1030" i="2"/>
  <c r="E1030" i="2"/>
  <c r="C1030" i="2"/>
  <c r="D1030" i="2"/>
  <c r="D925" i="2"/>
  <c r="F925" i="2"/>
  <c r="E925" i="2"/>
  <c r="C925" i="2"/>
  <c r="C998" i="2"/>
  <c r="D998" i="2"/>
  <c r="G998" i="2" s="1"/>
  <c r="E998" i="2"/>
  <c r="F998" i="2"/>
  <c r="C927" i="2"/>
  <c r="D927" i="2"/>
  <c r="E927" i="2"/>
  <c r="F927" i="2"/>
  <c r="D806" i="2"/>
  <c r="G806" i="2" s="1"/>
  <c r="C806" i="2"/>
  <c r="H806" i="2" s="1"/>
  <c r="C1044" i="2"/>
  <c r="H1044" i="2" s="1"/>
  <c r="D1044" i="2"/>
  <c r="G1044" i="2" s="1"/>
  <c r="E855" i="2"/>
  <c r="F855" i="2"/>
  <c r="C855" i="2"/>
  <c r="D855" i="2"/>
  <c r="D1004" i="2"/>
  <c r="C1004" i="2"/>
  <c r="F1004" i="2"/>
  <c r="E1004" i="2"/>
  <c r="D889" i="2"/>
  <c r="G889" i="2" s="1"/>
  <c r="C889" i="2"/>
  <c r="F1095" i="2"/>
  <c r="D1095" i="2"/>
  <c r="G1095" i="2" s="1"/>
  <c r="E1095" i="2"/>
  <c r="D955" i="2"/>
  <c r="E955" i="2"/>
  <c r="F955" i="2"/>
  <c r="C902" i="2"/>
  <c r="D902" i="2"/>
  <c r="G902" i="2" s="1"/>
  <c r="F902" i="2"/>
  <c r="C847" i="2"/>
  <c r="D847" i="2"/>
  <c r="E847" i="2"/>
  <c r="F847" i="2"/>
  <c r="D809" i="2"/>
  <c r="C809" i="2"/>
  <c r="E809" i="2"/>
  <c r="F884" i="2"/>
  <c r="C884" i="2"/>
  <c r="D884" i="2"/>
  <c r="G884" i="2" s="1"/>
  <c r="C924" i="2"/>
  <c r="H924" i="2" s="1"/>
  <c r="E924" i="2"/>
  <c r="D924" i="2"/>
  <c r="G924" i="2" s="1"/>
  <c r="D1248" i="2"/>
  <c r="F1248" i="2"/>
  <c r="E1248" i="2"/>
  <c r="C770" i="2"/>
  <c r="E770" i="2"/>
  <c r="D770" i="2"/>
  <c r="G770" i="2" s="1"/>
  <c r="G484" i="5"/>
  <c r="G458" i="5"/>
  <c r="F993" i="2"/>
  <c r="E993" i="2"/>
  <c r="D993" i="2"/>
  <c r="C993" i="2"/>
  <c r="E1188" i="2"/>
  <c r="C1188" i="2"/>
  <c r="N1188" i="2" s="1"/>
  <c r="C766" i="2"/>
  <c r="E766" i="2"/>
  <c r="D766" i="2"/>
  <c r="G766" i="2" s="1"/>
  <c r="F1253" i="2"/>
  <c r="D1253" i="2"/>
  <c r="G1253" i="2" s="1"/>
  <c r="E1253" i="2"/>
  <c r="C1253" i="2"/>
  <c r="E971" i="2"/>
  <c r="C971" i="2"/>
  <c r="N971" i="2" s="1"/>
  <c r="F1153" i="2"/>
  <c r="E1153" i="2"/>
  <c r="D1153" i="2"/>
  <c r="C1153" i="2"/>
  <c r="C1235" i="2"/>
  <c r="F1235" i="2"/>
  <c r="E994" i="2"/>
  <c r="D994" i="2"/>
  <c r="G994" i="2" s="1"/>
  <c r="C1164" i="2"/>
  <c r="F1164" i="2"/>
  <c r="D1164" i="2"/>
  <c r="E1164" i="2"/>
  <c r="F1185" i="2"/>
  <c r="C1185" i="2"/>
  <c r="D1185" i="2"/>
  <c r="E1185" i="2"/>
  <c r="C777" i="2"/>
  <c r="E777" i="2"/>
  <c r="G777" i="2" s="1"/>
  <c r="F777" i="2"/>
  <c r="D1000" i="2"/>
  <c r="G1000" i="2" s="1"/>
  <c r="E1000" i="2"/>
  <c r="D550" i="5"/>
  <c r="E550" i="5"/>
  <c r="G550" i="5" s="1"/>
  <c r="F550" i="5"/>
  <c r="C550" i="5"/>
  <c r="D599" i="5"/>
  <c r="G599" i="5" s="1"/>
  <c r="E599" i="5"/>
  <c r="F369" i="5"/>
  <c r="C369" i="5"/>
  <c r="D369" i="5"/>
  <c r="E369" i="5"/>
  <c r="F479" i="5"/>
  <c r="E479" i="5"/>
  <c r="C479" i="5"/>
  <c r="D479" i="5"/>
  <c r="F556" i="5"/>
  <c r="E556" i="5"/>
  <c r="D556" i="5"/>
  <c r="G556" i="5" s="1"/>
  <c r="C556" i="5"/>
  <c r="F547" i="5"/>
  <c r="E547" i="5"/>
  <c r="C547" i="5"/>
  <c r="D547" i="5"/>
  <c r="F559" i="5"/>
  <c r="C559" i="5"/>
  <c r="D559" i="5"/>
  <c r="E559" i="5"/>
  <c r="C512" i="5"/>
  <c r="F512" i="5"/>
  <c r="F300" i="5"/>
  <c r="E300" i="5"/>
  <c r="C300" i="5"/>
  <c r="D300" i="5"/>
  <c r="D623" i="5"/>
  <c r="G623" i="5" s="1"/>
  <c r="C623" i="5"/>
  <c r="C543" i="5"/>
  <c r="D543" i="5"/>
  <c r="E543" i="5"/>
  <c r="F543" i="5"/>
  <c r="F384" i="5"/>
  <c r="C384" i="5"/>
  <c r="F606" i="5"/>
  <c r="D606" i="5"/>
  <c r="E606" i="5"/>
  <c r="D535" i="5"/>
  <c r="G535" i="5" s="1"/>
  <c r="F535" i="5"/>
  <c r="C545" i="5"/>
  <c r="D545" i="5"/>
  <c r="E545" i="5"/>
  <c r="F545" i="5"/>
  <c r="C488" i="5"/>
  <c r="J488" i="5" s="1"/>
  <c r="F488" i="5"/>
  <c r="C439" i="5"/>
  <c r="D439" i="5"/>
  <c r="G439" i="5" s="1"/>
  <c r="E439" i="5"/>
  <c r="F439" i="5"/>
  <c r="C352" i="5"/>
  <c r="E352" i="5"/>
  <c r="G352" i="5" s="1"/>
  <c r="F352" i="5"/>
  <c r="F434" i="5"/>
  <c r="H434" i="5" s="1"/>
  <c r="C434" i="5"/>
  <c r="D434" i="5"/>
  <c r="G434" i="5" s="1"/>
  <c r="E434" i="5"/>
  <c r="F356" i="5"/>
  <c r="E356" i="5"/>
  <c r="G356" i="5" s="1"/>
  <c r="C346" i="5"/>
  <c r="F346" i="5"/>
  <c r="C532" i="5"/>
  <c r="E532" i="5"/>
  <c r="F532" i="5"/>
  <c r="D532" i="5"/>
  <c r="D464" i="5"/>
  <c r="E464" i="5"/>
  <c r="E395" i="5"/>
  <c r="F395" i="5"/>
  <c r="C395" i="5"/>
  <c r="D395" i="5"/>
  <c r="G395" i="5" s="1"/>
  <c r="C430" i="5"/>
  <c r="D430" i="5"/>
  <c r="E430" i="5"/>
  <c r="F430" i="5"/>
  <c r="E324" i="5"/>
  <c r="F324" i="5"/>
  <c r="C324" i="5"/>
  <c r="H324" i="5" s="1"/>
  <c r="D324" i="5"/>
  <c r="C370" i="5"/>
  <c r="F370" i="5"/>
  <c r="F351" i="5"/>
  <c r="C351" i="5"/>
  <c r="D351" i="5"/>
  <c r="E351" i="5"/>
  <c r="C367" i="5"/>
  <c r="F367" i="5"/>
  <c r="E367" i="5"/>
  <c r="D367" i="5"/>
  <c r="D334" i="5"/>
  <c r="G334" i="5" s="1"/>
  <c r="F334" i="5"/>
  <c r="C276" i="5"/>
  <c r="D276" i="5"/>
  <c r="F276" i="5"/>
  <c r="E276" i="5"/>
  <c r="E1240" i="2"/>
  <c r="G1240" i="2" s="1"/>
  <c r="F1240" i="2"/>
  <c r="E1193" i="2"/>
  <c r="C1193" i="2"/>
  <c r="D1193" i="2"/>
  <c r="G1193" i="2" s="1"/>
  <c r="D1140" i="2"/>
  <c r="C1140" i="2"/>
  <c r="E1140" i="2"/>
  <c r="F1140" i="2"/>
  <c r="E1108" i="2"/>
  <c r="C1108" i="2"/>
  <c r="D1108" i="2"/>
  <c r="G1108" i="2" s="1"/>
  <c r="F1108" i="2"/>
  <c r="D989" i="2"/>
  <c r="E989" i="2"/>
  <c r="F989" i="2"/>
  <c r="C989" i="2"/>
  <c r="F854" i="2"/>
  <c r="C854" i="2"/>
  <c r="D854" i="2"/>
  <c r="E854" i="2"/>
  <c r="G854" i="2" s="1"/>
  <c r="D999" i="2"/>
  <c r="G999" i="2" s="1"/>
  <c r="F999" i="2"/>
  <c r="C999" i="2"/>
  <c r="E894" i="2"/>
  <c r="F894" i="2"/>
  <c r="D894" i="2"/>
  <c r="C894" i="2"/>
  <c r="F779" i="2"/>
  <c r="C779" i="2"/>
  <c r="E779" i="2"/>
  <c r="D779" i="2"/>
  <c r="C1205" i="2"/>
  <c r="N1205" i="2" s="1"/>
  <c r="E1205" i="2"/>
  <c r="F1007" i="2"/>
  <c r="C1007" i="2"/>
  <c r="D1007" i="2"/>
  <c r="E1007" i="2"/>
  <c r="C753" i="2"/>
  <c r="E753" i="2"/>
  <c r="G753" i="2" s="1"/>
  <c r="F753" i="2"/>
  <c r="C1228" i="2"/>
  <c r="H1228" i="2" s="1"/>
  <c r="D1228" i="2"/>
  <c r="E1228" i="2"/>
  <c r="D1178" i="2"/>
  <c r="C1178" i="2"/>
  <c r="E1178" i="2"/>
  <c r="F1178" i="2"/>
  <c r="E1122" i="2"/>
  <c r="G1122" i="2" s="1"/>
  <c r="C1122" i="2"/>
  <c r="D1122" i="2"/>
  <c r="F1122" i="2"/>
  <c r="D1019" i="2"/>
  <c r="F1019" i="2"/>
  <c r="C1019" i="2"/>
  <c r="E1019" i="2"/>
  <c r="C920" i="2"/>
  <c r="F920" i="2"/>
  <c r="D920" i="2"/>
  <c r="G920" i="2" s="1"/>
  <c r="F983" i="2"/>
  <c r="C983" i="2"/>
  <c r="D983" i="2"/>
  <c r="G983" i="2" s="1"/>
  <c r="D915" i="2"/>
  <c r="G915" i="2" s="1"/>
  <c r="C915" i="2"/>
  <c r="E915" i="2"/>
  <c r="F915" i="2"/>
  <c r="D1038" i="2"/>
  <c r="C1038" i="2"/>
  <c r="E1038" i="2"/>
  <c r="F1038" i="2"/>
  <c r="C913" i="2"/>
  <c r="D913" i="2"/>
  <c r="E913" i="2"/>
  <c r="F913" i="2"/>
  <c r="D850" i="2"/>
  <c r="G850" i="2" s="1"/>
  <c r="C850" i="2"/>
  <c r="E1080" i="2"/>
  <c r="F1080" i="2"/>
  <c r="D1080" i="2"/>
  <c r="G1080" i="2" s="1"/>
  <c r="C1080" i="2"/>
  <c r="C887" i="2"/>
  <c r="F887" i="2"/>
  <c r="F1065" i="2"/>
  <c r="C1065" i="2"/>
  <c r="E1065" i="2"/>
  <c r="G1065" i="2" s="1"/>
  <c r="C995" i="2"/>
  <c r="D995" i="2"/>
  <c r="G995" i="2" s="1"/>
  <c r="F995" i="2"/>
  <c r="E995" i="2"/>
  <c r="E952" i="2"/>
  <c r="C952" i="2"/>
  <c r="D952" i="2"/>
  <c r="G952" i="2" s="1"/>
  <c r="F952" i="2"/>
  <c r="E893" i="2"/>
  <c r="D893" i="2"/>
  <c r="G893" i="2" s="1"/>
  <c r="C893" i="2"/>
  <c r="H893" i="2" s="1"/>
  <c r="F834" i="2"/>
  <c r="E834" i="2"/>
  <c r="C834" i="2"/>
  <c r="D834" i="2"/>
  <c r="G834" i="2" s="1"/>
  <c r="C817" i="2"/>
  <c r="H817" i="2" s="1"/>
  <c r="D817" i="2"/>
  <c r="G817" i="2" s="1"/>
  <c r="D883" i="2"/>
  <c r="G883" i="2" s="1"/>
  <c r="C883" i="2"/>
  <c r="F883" i="2"/>
  <c r="E883" i="2"/>
  <c r="C842" i="2"/>
  <c r="E842" i="2"/>
  <c r="F842" i="2"/>
  <c r="D877" i="2"/>
  <c r="C877" i="2"/>
  <c r="F877" i="2"/>
  <c r="E877" i="2"/>
  <c r="E941" i="2"/>
  <c r="F941" i="2"/>
  <c r="D941" i="2"/>
  <c r="G941" i="2" s="1"/>
  <c r="C941" i="2"/>
  <c r="C1018" i="2"/>
  <c r="F1018" i="2"/>
  <c r="H1018" i="2" s="1"/>
  <c r="E1018" i="2"/>
  <c r="D1018" i="2"/>
  <c r="F1212" i="2"/>
  <c r="C1212" i="2"/>
  <c r="K581" i="5"/>
  <c r="D1073" i="2"/>
  <c r="E1073" i="2"/>
  <c r="D1197" i="2"/>
  <c r="E1197" i="2"/>
  <c r="F1197" i="2"/>
  <c r="C1197" i="2"/>
  <c r="D791" i="2"/>
  <c r="E791" i="2"/>
  <c r="F791" i="2"/>
  <c r="E954" i="2"/>
  <c r="C954" i="2"/>
  <c r="D954" i="2"/>
  <c r="F1258" i="2"/>
  <c r="E1258" i="2"/>
  <c r="G1258" i="2" s="1"/>
  <c r="F1027" i="2"/>
  <c r="E1027" i="2"/>
  <c r="D1027" i="2"/>
  <c r="G1027" i="2" s="1"/>
  <c r="C1027" i="2"/>
  <c r="C1157" i="2"/>
  <c r="N1157" i="2" s="1"/>
  <c r="D1157" i="2"/>
  <c r="J1157" i="2" s="1"/>
  <c r="E1157" i="2"/>
  <c r="F830" i="2"/>
  <c r="E830" i="2"/>
  <c r="G830" i="2" s="1"/>
  <c r="F1017" i="2"/>
  <c r="E1017" i="2"/>
  <c r="D1017" i="2"/>
  <c r="C1017" i="2"/>
  <c r="D1213" i="2"/>
  <c r="G1213" i="2" s="1"/>
  <c r="E1213" i="2"/>
  <c r="D1191" i="2"/>
  <c r="G1191" i="2" s="1"/>
  <c r="C1191" i="2"/>
  <c r="C785" i="2"/>
  <c r="E785" i="2"/>
  <c r="G785" i="2" s="1"/>
  <c r="F785" i="2"/>
  <c r="D1252" i="2"/>
  <c r="E1252" i="2"/>
  <c r="F1252" i="2"/>
  <c r="C1252" i="2"/>
  <c r="E625" i="5"/>
  <c r="D625" i="5"/>
  <c r="G625" i="5" s="1"/>
  <c r="F625" i="5"/>
  <c r="C625" i="5"/>
  <c r="C554" i="5"/>
  <c r="H554" i="5" s="1"/>
  <c r="D554" i="5"/>
  <c r="C590" i="5"/>
  <c r="D590" i="5"/>
  <c r="G590" i="5" s="1"/>
  <c r="E590" i="5"/>
  <c r="F590" i="5"/>
  <c r="F400" i="5"/>
  <c r="E400" i="5"/>
  <c r="F433" i="5"/>
  <c r="D433" i="5"/>
  <c r="G433" i="5" s="1"/>
  <c r="E433" i="5"/>
  <c r="C433" i="5"/>
  <c r="D500" i="5"/>
  <c r="E500" i="5"/>
  <c r="C500" i="5"/>
  <c r="C541" i="5"/>
  <c r="D541" i="5"/>
  <c r="G541" i="5" s="1"/>
  <c r="E541" i="5"/>
  <c r="F494" i="5"/>
  <c r="C494" i="5"/>
  <c r="D494" i="5"/>
  <c r="E494" i="5"/>
  <c r="C585" i="5"/>
  <c r="E585" i="5"/>
  <c r="G585" i="5" s="1"/>
  <c r="F585" i="5"/>
  <c r="C558" i="5"/>
  <c r="D558" i="5"/>
  <c r="E558" i="5"/>
  <c r="F558" i="5"/>
  <c r="C509" i="5"/>
  <c r="D509" i="5"/>
  <c r="E509" i="5"/>
  <c r="F509" i="5"/>
  <c r="C389" i="5"/>
  <c r="D389" i="5"/>
  <c r="E389" i="5"/>
  <c r="F389" i="5"/>
  <c r="D292" i="5"/>
  <c r="E292" i="5"/>
  <c r="F292" i="5"/>
  <c r="C292" i="5"/>
  <c r="C619" i="5"/>
  <c r="E619" i="5"/>
  <c r="F619" i="5"/>
  <c r="D521" i="5"/>
  <c r="G521" i="5" s="1"/>
  <c r="C521" i="5"/>
  <c r="H521" i="5" s="1"/>
  <c r="E359" i="5"/>
  <c r="G359" i="5" s="1"/>
  <c r="F359" i="5"/>
  <c r="E526" i="5"/>
  <c r="C526" i="5"/>
  <c r="D526" i="5"/>
  <c r="F526" i="5"/>
  <c r="F451" i="5"/>
  <c r="E451" i="5"/>
  <c r="C451" i="5"/>
  <c r="D451" i="5"/>
  <c r="G451" i="5" s="1"/>
  <c r="F598" i="5"/>
  <c r="D598" i="5"/>
  <c r="G598" i="5" s="1"/>
  <c r="E598" i="5"/>
  <c r="D486" i="5"/>
  <c r="G486" i="5" s="1"/>
  <c r="C486" i="5"/>
  <c r="E293" i="5"/>
  <c r="F293" i="5"/>
  <c r="C293" i="5"/>
  <c r="D293" i="5"/>
  <c r="G293" i="5" s="1"/>
  <c r="F310" i="5"/>
  <c r="E310" i="5"/>
  <c r="G310" i="5" s="1"/>
  <c r="C482" i="5"/>
  <c r="D482" i="5"/>
  <c r="E482" i="5"/>
  <c r="F482" i="5"/>
  <c r="C449" i="5"/>
  <c r="E449" i="5"/>
  <c r="F449" i="5"/>
  <c r="D449" i="5"/>
  <c r="D330" i="5"/>
  <c r="E330" i="5"/>
  <c r="F330" i="5"/>
  <c r="C330" i="5"/>
  <c r="C531" i="5"/>
  <c r="J531" i="5" s="1"/>
  <c r="D531" i="5"/>
  <c r="G531" i="5" s="1"/>
  <c r="E531" i="5"/>
  <c r="F531" i="5"/>
  <c r="E462" i="5"/>
  <c r="D462" i="5"/>
  <c r="F462" i="5"/>
  <c r="F339" i="5"/>
  <c r="C339" i="5"/>
  <c r="D339" i="5"/>
  <c r="G339" i="5" s="1"/>
  <c r="E339" i="5"/>
  <c r="C424" i="5"/>
  <c r="F424" i="5"/>
  <c r="F296" i="5"/>
  <c r="C296" i="5"/>
  <c r="D296" i="5"/>
  <c r="G296" i="5" s="1"/>
  <c r="E296" i="5"/>
  <c r="F399" i="5"/>
  <c r="C399" i="5"/>
  <c r="D399" i="5"/>
  <c r="G399" i="5" s="1"/>
  <c r="E399" i="5"/>
  <c r="C322" i="5"/>
  <c r="F322" i="5"/>
  <c r="H322" i="5" s="1"/>
  <c r="F332" i="5"/>
  <c r="D332" i="5"/>
  <c r="E332" i="5"/>
  <c r="F1229" i="2"/>
  <c r="C1229" i="2"/>
  <c r="D1229" i="2"/>
  <c r="E1229" i="2"/>
  <c r="C1187" i="2"/>
  <c r="D1187" i="2"/>
  <c r="G1187" i="2" s="1"/>
  <c r="E1187" i="2"/>
  <c r="F1187" i="2"/>
  <c r="C1137" i="2"/>
  <c r="D1137" i="2"/>
  <c r="G1137" i="2" s="1"/>
  <c r="E1137" i="2"/>
  <c r="F1137" i="2"/>
  <c r="F1100" i="2"/>
  <c r="E1100" i="2"/>
  <c r="G1100" i="2" s="1"/>
  <c r="D982" i="2"/>
  <c r="G982" i="2" s="1"/>
  <c r="C982" i="2"/>
  <c r="H982" i="2" s="1"/>
  <c r="E1200" i="2"/>
  <c r="G1200" i="2" s="1"/>
  <c r="F1200" i="2"/>
  <c r="C1149" i="2"/>
  <c r="D1149" i="2"/>
  <c r="E1149" i="2"/>
  <c r="F1149" i="2"/>
  <c r="E1096" i="2"/>
  <c r="G1096" i="2" s="1"/>
  <c r="F1096" i="2"/>
  <c r="E990" i="2"/>
  <c r="D990" i="2"/>
  <c r="G990" i="2" s="1"/>
  <c r="C990" i="2"/>
  <c r="H990" i="2" s="1"/>
  <c r="C890" i="2"/>
  <c r="D890" i="2"/>
  <c r="G890" i="2" s="1"/>
  <c r="C769" i="2"/>
  <c r="F769" i="2"/>
  <c r="D1190" i="2"/>
  <c r="G1190" i="2" s="1"/>
  <c r="F1190" i="2"/>
  <c r="E1094" i="2"/>
  <c r="C1094" i="2"/>
  <c r="D1094" i="2"/>
  <c r="F1003" i="2"/>
  <c r="C1003" i="2"/>
  <c r="D1003" i="2"/>
  <c r="G1003" i="2" s="1"/>
  <c r="C759" i="2"/>
  <c r="D759" i="2"/>
  <c r="E759" i="2"/>
  <c r="F759" i="2"/>
  <c r="C1227" i="2"/>
  <c r="D1227" i="2"/>
  <c r="E1227" i="2"/>
  <c r="G1227" i="2" s="1"/>
  <c r="F1227" i="2"/>
  <c r="C1106" i="2"/>
  <c r="F1106" i="2"/>
  <c r="C966" i="2"/>
  <c r="F966" i="2"/>
  <c r="C793" i="2"/>
  <c r="E793" i="2"/>
  <c r="F793" i="2"/>
  <c r="D793" i="2"/>
  <c r="D976" i="2"/>
  <c r="G976" i="2" s="1"/>
  <c r="E976" i="2"/>
  <c r="F976" i="2"/>
  <c r="C976" i="2"/>
  <c r="D909" i="2"/>
  <c r="F909" i="2"/>
  <c r="C909" i="2"/>
  <c r="E909" i="2"/>
  <c r="D833" i="2"/>
  <c r="G833" i="2" s="1"/>
  <c r="E833" i="2"/>
  <c r="C833" i="2"/>
  <c r="E1075" i="2"/>
  <c r="C1075" i="2"/>
  <c r="D1075" i="2"/>
  <c r="G1075" i="2" s="1"/>
  <c r="F977" i="2"/>
  <c r="C977" i="2"/>
  <c r="E977" i="2"/>
  <c r="G977" i="2" s="1"/>
  <c r="F1053" i="2"/>
  <c r="E1053" i="2"/>
  <c r="G1053" i="2" s="1"/>
  <c r="D986" i="2"/>
  <c r="C986" i="2"/>
  <c r="H986" i="2" s="1"/>
  <c r="E986" i="2"/>
  <c r="C951" i="2"/>
  <c r="D951" i="2"/>
  <c r="G951" i="2" s="1"/>
  <c r="E951" i="2"/>
  <c r="F951" i="2"/>
  <c r="E892" i="2"/>
  <c r="C892" i="2"/>
  <c r="D892" i="2"/>
  <c r="F892" i="2"/>
  <c r="E813" i="2"/>
  <c r="F813" i="2"/>
  <c r="D813" i="2"/>
  <c r="C813" i="2"/>
  <c r="D807" i="2"/>
  <c r="G807" i="2" s="1"/>
  <c r="C807" i="2"/>
  <c r="E807" i="2"/>
  <c r="C876" i="2"/>
  <c r="D876" i="2"/>
  <c r="E876" i="2"/>
  <c r="F876" i="2"/>
  <c r="D841" i="2"/>
  <c r="G841" i="2" s="1"/>
  <c r="C841" i="2"/>
  <c r="E841" i="2"/>
  <c r="F841" i="2"/>
  <c r="F870" i="2"/>
  <c r="D870" i="2"/>
  <c r="G870" i="2" s="1"/>
  <c r="D1154" i="2"/>
  <c r="G1154" i="2" s="1"/>
  <c r="C1154" i="2"/>
  <c r="C1256" i="2"/>
  <c r="F1256" i="2"/>
  <c r="E1256" i="2"/>
  <c r="G1256" i="2" s="1"/>
  <c r="E1049" i="2"/>
  <c r="G1049" i="2" s="1"/>
  <c r="F1049" i="2"/>
  <c r="F1217" i="2"/>
  <c r="C1217" i="2"/>
  <c r="C755" i="2"/>
  <c r="H755" i="2" s="1"/>
  <c r="D755" i="2"/>
  <c r="G755" i="2" s="1"/>
  <c r="J560" i="5"/>
  <c r="K560" i="5" s="1"/>
  <c r="E848" i="2"/>
  <c r="D848" i="2"/>
  <c r="G848" i="2" s="1"/>
  <c r="F1082" i="2"/>
  <c r="D1082" i="2"/>
  <c r="G1082" i="2" s="1"/>
  <c r="E1082" i="2"/>
  <c r="C1082" i="2"/>
  <c r="C1204" i="2"/>
  <c r="D1204" i="2"/>
  <c r="E1204" i="2"/>
  <c r="C1006" i="2"/>
  <c r="D1006" i="2"/>
  <c r="G1006" i="2" s="1"/>
  <c r="F1148" i="2"/>
  <c r="E1148" i="2"/>
  <c r="G1148" i="2" s="1"/>
  <c r="D768" i="2"/>
  <c r="G768" i="2" s="1"/>
  <c r="C768" i="2"/>
  <c r="E1170" i="2"/>
  <c r="F1170" i="2"/>
  <c r="D1170" i="2"/>
  <c r="G1170" i="2" s="1"/>
  <c r="C1170" i="2"/>
  <c r="F882" i="2"/>
  <c r="E882" i="2"/>
  <c r="D882" i="2"/>
  <c r="G882" i="2" s="1"/>
  <c r="C882" i="2"/>
  <c r="D1033" i="2"/>
  <c r="E1033" i="2"/>
  <c r="F1033" i="2"/>
  <c r="C1033" i="2"/>
  <c r="D853" i="2"/>
  <c r="G853" i="2" s="1"/>
  <c r="F853" i="2"/>
  <c r="E853" i="2"/>
  <c r="C853" i="2"/>
  <c r="C1097" i="2"/>
  <c r="E1097" i="2"/>
  <c r="F1097" i="2"/>
  <c r="H1097" i="2" s="1"/>
  <c r="D1097" i="2"/>
  <c r="G1097" i="2" s="1"/>
  <c r="C1196" i="2"/>
  <c r="E1196" i="2"/>
  <c r="D1196" i="2"/>
  <c r="G1196" i="2" s="1"/>
  <c r="C790" i="2"/>
  <c r="F790" i="2"/>
  <c r="E790" i="2"/>
  <c r="G790" i="2" s="1"/>
  <c r="C1015" i="2"/>
  <c r="E1015" i="2"/>
  <c r="G1015" i="2" s="1"/>
  <c r="F1015" i="2"/>
  <c r="D1015" i="2"/>
  <c r="F591" i="5"/>
  <c r="E591" i="5"/>
  <c r="C591" i="5"/>
  <c r="D591" i="5"/>
  <c r="G591" i="5" s="1"/>
  <c r="F586" i="5"/>
  <c r="H586" i="5" s="1"/>
  <c r="E586" i="5"/>
  <c r="G586" i="5" s="1"/>
  <c r="C586" i="5"/>
  <c r="D586" i="5"/>
  <c r="F331" i="5"/>
  <c r="E331" i="5"/>
  <c r="G331" i="5" s="1"/>
  <c r="F366" i="5"/>
  <c r="D366" i="5"/>
  <c r="G366" i="5" s="1"/>
  <c r="E366" i="5"/>
  <c r="C525" i="5"/>
  <c r="H525" i="5" s="1"/>
  <c r="E525" i="5"/>
  <c r="G525" i="5" s="1"/>
  <c r="C551" i="5"/>
  <c r="D551" i="5"/>
  <c r="E551" i="5"/>
  <c r="F551" i="5"/>
  <c r="F506" i="5"/>
  <c r="E506" i="5"/>
  <c r="C506" i="5"/>
  <c r="D506" i="5"/>
  <c r="C374" i="5"/>
  <c r="D374" i="5"/>
  <c r="G374" i="5" s="1"/>
  <c r="D614" i="5"/>
  <c r="C614" i="5"/>
  <c r="E614" i="5"/>
  <c r="F614" i="5"/>
  <c r="C348" i="5"/>
  <c r="D348" i="5"/>
  <c r="G348" i="5" s="1"/>
  <c r="F348" i="5"/>
  <c r="E348" i="5"/>
  <c r="D573" i="5"/>
  <c r="C573" i="5"/>
  <c r="E573" i="5"/>
  <c r="F573" i="5"/>
  <c r="C518" i="5"/>
  <c r="F518" i="5"/>
  <c r="D518" i="5"/>
  <c r="G518" i="5" s="1"/>
  <c r="E518" i="5"/>
  <c r="F443" i="5"/>
  <c r="E443" i="5"/>
  <c r="G443" i="5" s="1"/>
  <c r="C593" i="5"/>
  <c r="D593" i="5"/>
  <c r="G593" i="5" s="1"/>
  <c r="C533" i="5"/>
  <c r="F533" i="5"/>
  <c r="C431" i="5"/>
  <c r="H431" i="5" s="1"/>
  <c r="D431" i="5"/>
  <c r="F431" i="5"/>
  <c r="E431" i="5"/>
  <c r="C477" i="5"/>
  <c r="D477" i="5"/>
  <c r="E477" i="5"/>
  <c r="F477" i="5"/>
  <c r="C291" i="5"/>
  <c r="D291" i="5"/>
  <c r="E291" i="5"/>
  <c r="F291" i="5"/>
  <c r="E418" i="5"/>
  <c r="G418" i="5" s="1"/>
  <c r="C418" i="5"/>
  <c r="D288" i="5"/>
  <c r="G288" i="5" s="1"/>
  <c r="E288" i="5"/>
  <c r="F288" i="5"/>
  <c r="C288" i="5"/>
  <c r="C480" i="5"/>
  <c r="D480" i="5"/>
  <c r="E480" i="5"/>
  <c r="F480" i="5"/>
  <c r="C445" i="5"/>
  <c r="F445" i="5"/>
  <c r="C529" i="5"/>
  <c r="D529" i="5"/>
  <c r="F529" i="5"/>
  <c r="E529" i="5"/>
  <c r="D459" i="5"/>
  <c r="G459" i="5" s="1"/>
  <c r="C459" i="5"/>
  <c r="E459" i="5"/>
  <c r="F459" i="5"/>
  <c r="E335" i="5"/>
  <c r="G335" i="5" s="1"/>
  <c r="F335" i="5"/>
  <c r="D414" i="5"/>
  <c r="E414" i="5"/>
  <c r="F414" i="5"/>
  <c r="C414" i="5"/>
  <c r="C420" i="5"/>
  <c r="D420" i="5"/>
  <c r="E420" i="5"/>
  <c r="F420" i="5"/>
  <c r="C358" i="5"/>
  <c r="D358" i="5"/>
  <c r="F358" i="5"/>
  <c r="E358" i="5"/>
  <c r="C275" i="5"/>
  <c r="D275" i="5"/>
  <c r="E275" i="5"/>
  <c r="F275" i="5"/>
  <c r="C397" i="5"/>
  <c r="F397" i="5"/>
  <c r="C336" i="5"/>
  <c r="D336" i="5"/>
  <c r="G336" i="5" s="1"/>
  <c r="E336" i="5"/>
  <c r="F336" i="5"/>
  <c r="F318" i="5"/>
  <c r="C318" i="5"/>
  <c r="D318" i="5"/>
  <c r="E318" i="5"/>
  <c r="D1224" i="2"/>
  <c r="G1224" i="2" s="1"/>
  <c r="C1224" i="2"/>
  <c r="D1092" i="2"/>
  <c r="G1092" i="2" s="1"/>
  <c r="E1092" i="2"/>
  <c r="C1092" i="2"/>
  <c r="F1092" i="2"/>
  <c r="D973" i="2"/>
  <c r="C973" i="2"/>
  <c r="E973" i="2"/>
  <c r="F973" i="2"/>
  <c r="E1195" i="2"/>
  <c r="D1195" i="2"/>
  <c r="F981" i="2"/>
  <c r="E981" i="2"/>
  <c r="C981" i="2"/>
  <c r="D981" i="2"/>
  <c r="G981" i="2" s="1"/>
  <c r="D885" i="2"/>
  <c r="F885" i="2"/>
  <c r="E885" i="2"/>
  <c r="C885" i="2"/>
  <c r="C1257" i="2"/>
  <c r="D1257" i="2"/>
  <c r="E1257" i="2"/>
  <c r="F1257" i="2"/>
  <c r="E970" i="2"/>
  <c r="F970" i="2"/>
  <c r="H970" i="2" s="1"/>
  <c r="D970" i="2"/>
  <c r="C970" i="2"/>
  <c r="E1221" i="2"/>
  <c r="C1221" i="2"/>
  <c r="D1221" i="2"/>
  <c r="F1221" i="2"/>
  <c r="C1162" i="2"/>
  <c r="D1162" i="2"/>
  <c r="G1162" i="2" s="1"/>
  <c r="E987" i="2"/>
  <c r="D987" i="2"/>
  <c r="C987" i="2"/>
  <c r="E866" i="2"/>
  <c r="G866" i="2" s="1"/>
  <c r="F866" i="2"/>
  <c r="F953" i="2"/>
  <c r="C953" i="2"/>
  <c r="F1031" i="2"/>
  <c r="E1031" i="2"/>
  <c r="C1031" i="2"/>
  <c r="D1031" i="2"/>
  <c r="G1031" i="2" s="1"/>
  <c r="C962" i="2"/>
  <c r="H962" i="2" s="1"/>
  <c r="E962" i="2"/>
  <c r="G962" i="2" s="1"/>
  <c r="D901" i="2"/>
  <c r="C901" i="2"/>
  <c r="E901" i="2"/>
  <c r="F901" i="2"/>
  <c r="F821" i="2"/>
  <c r="E821" i="2"/>
  <c r="D821" i="2"/>
  <c r="C821" i="2"/>
  <c r="C1074" i="2"/>
  <c r="D1074" i="2"/>
  <c r="G1074" i="2" s="1"/>
  <c r="E1074" i="2"/>
  <c r="F1074" i="2"/>
  <c r="F1046" i="2"/>
  <c r="C1046" i="2"/>
  <c r="D1046" i="2"/>
  <c r="E1046" i="2"/>
  <c r="C985" i="2"/>
  <c r="D985" i="2"/>
  <c r="G985" i="2" s="1"/>
  <c r="E985" i="2"/>
  <c r="F985" i="2"/>
  <c r="C940" i="2"/>
  <c r="H940" i="2" s="1"/>
  <c r="D940" i="2"/>
  <c r="G940" i="2" s="1"/>
  <c r="E940" i="2"/>
  <c r="D811" i="2"/>
  <c r="C811" i="2"/>
  <c r="E811" i="2"/>
  <c r="F811" i="2"/>
  <c r="H811" i="2" s="1"/>
  <c r="D874" i="2"/>
  <c r="G874" i="2" s="1"/>
  <c r="C874" i="2"/>
  <c r="H874" i="2" s="1"/>
  <c r="C828" i="2"/>
  <c r="D828" i="2"/>
  <c r="E828" i="2"/>
  <c r="F828" i="2"/>
  <c r="C967" i="2"/>
  <c r="F967" i="2"/>
  <c r="D1161" i="2"/>
  <c r="G1161" i="2" s="1"/>
  <c r="E1161" i="2"/>
  <c r="F1161" i="2"/>
  <c r="C1161" i="2"/>
  <c r="C772" i="2"/>
  <c r="F772" i="2"/>
  <c r="E772" i="2"/>
  <c r="G772" i="2" s="1"/>
  <c r="D857" i="2"/>
  <c r="C857" i="2"/>
  <c r="E857" i="2"/>
  <c r="F1087" i="2"/>
  <c r="C1087" i="2"/>
  <c r="D1087" i="2"/>
  <c r="E1087" i="2"/>
  <c r="D1206" i="2"/>
  <c r="E1206" i="2"/>
  <c r="F1206" i="2"/>
  <c r="C1206" i="2"/>
  <c r="D1021" i="2"/>
  <c r="E1021" i="2"/>
  <c r="G1021" i="2" s="1"/>
  <c r="C1182" i="2"/>
  <c r="N1182" i="2" s="1"/>
  <c r="E1182" i="2"/>
  <c r="G1182" i="2" s="1"/>
  <c r="C1175" i="2"/>
  <c r="H1175" i="2" s="1"/>
  <c r="D1175" i="2"/>
  <c r="G1175" i="2" s="1"/>
  <c r="D1083" i="2"/>
  <c r="G1083" i="2" s="1"/>
  <c r="C1083" i="2"/>
  <c r="F1083" i="2"/>
  <c r="D1105" i="2"/>
  <c r="E1105" i="2"/>
  <c r="E1216" i="2"/>
  <c r="D1216" i="2"/>
  <c r="C1216" i="2"/>
  <c r="D1110" i="2"/>
  <c r="G1110" i="2" s="1"/>
  <c r="F1110" i="2"/>
  <c r="C1110" i="2"/>
  <c r="E1110" i="2"/>
  <c r="F613" i="5"/>
  <c r="D613" i="5"/>
  <c r="E613" i="5"/>
  <c r="C613" i="5"/>
  <c r="D570" i="5"/>
  <c r="E570" i="5"/>
  <c r="C589" i="5"/>
  <c r="F589" i="5"/>
  <c r="E589" i="5"/>
  <c r="D589" i="5"/>
  <c r="G589" i="5" s="1"/>
  <c r="C441" i="5"/>
  <c r="F441" i="5"/>
  <c r="E361" i="5"/>
  <c r="F361" i="5"/>
  <c r="D361" i="5"/>
  <c r="C361" i="5"/>
  <c r="E616" i="5"/>
  <c r="D616" i="5"/>
  <c r="G616" i="5" s="1"/>
  <c r="C616" i="5"/>
  <c r="F622" i="5"/>
  <c r="C622" i="5"/>
  <c r="D622" i="5"/>
  <c r="G622" i="5" s="1"/>
  <c r="E622" i="5"/>
  <c r="E475" i="5"/>
  <c r="G475" i="5" s="1"/>
  <c r="F475" i="5"/>
  <c r="C432" i="5"/>
  <c r="F432" i="5"/>
  <c r="E432" i="5"/>
  <c r="D432" i="5"/>
  <c r="D576" i="5"/>
  <c r="G576" i="5" s="1"/>
  <c r="C576" i="5"/>
  <c r="E576" i="5"/>
  <c r="F576" i="5"/>
  <c r="D549" i="5"/>
  <c r="G549" i="5" s="1"/>
  <c r="C549" i="5"/>
  <c r="E549" i="5"/>
  <c r="F549" i="5"/>
  <c r="C490" i="5"/>
  <c r="D490" i="5"/>
  <c r="E490" i="5"/>
  <c r="C302" i="5"/>
  <c r="D302" i="5"/>
  <c r="G302" i="5" s="1"/>
  <c r="C609" i="5"/>
  <c r="D609" i="5"/>
  <c r="G609" i="5" s="1"/>
  <c r="E609" i="5"/>
  <c r="F609" i="5"/>
  <c r="C436" i="5"/>
  <c r="F436" i="5"/>
  <c r="E436" i="5"/>
  <c r="D436" i="5"/>
  <c r="G436" i="5" s="1"/>
  <c r="C327" i="5"/>
  <c r="F327" i="5"/>
  <c r="F571" i="5"/>
  <c r="D571" i="5"/>
  <c r="G571" i="5" s="1"/>
  <c r="E571" i="5"/>
  <c r="C409" i="5"/>
  <c r="D409" i="5"/>
  <c r="G409" i="5" s="1"/>
  <c r="E409" i="5"/>
  <c r="F409" i="5"/>
  <c r="C530" i="5"/>
  <c r="D530" i="5"/>
  <c r="G530" i="5" s="1"/>
  <c r="E530" i="5"/>
  <c r="F530" i="5"/>
  <c r="E429" i="5"/>
  <c r="D429" i="5"/>
  <c r="G429" i="5" s="1"/>
  <c r="F429" i="5"/>
  <c r="C470" i="5"/>
  <c r="D470" i="5"/>
  <c r="E470" i="5"/>
  <c r="F470" i="5"/>
  <c r="C258" i="5"/>
  <c r="D258" i="5"/>
  <c r="G258" i="5" s="1"/>
  <c r="D394" i="5"/>
  <c r="G394" i="5" s="1"/>
  <c r="F394" i="5"/>
  <c r="E394" i="5"/>
  <c r="C394" i="5"/>
  <c r="D285" i="5"/>
  <c r="G285" i="5" s="1"/>
  <c r="C285" i="5"/>
  <c r="H285" i="5" s="1"/>
  <c r="C478" i="5"/>
  <c r="E478" i="5"/>
  <c r="F478" i="5"/>
  <c r="D478" i="5"/>
  <c r="C444" i="5"/>
  <c r="D444" i="5"/>
  <c r="E444" i="5"/>
  <c r="F444" i="5"/>
  <c r="C299" i="5"/>
  <c r="E299" i="5"/>
  <c r="F299" i="5"/>
  <c r="H299" i="5" s="1"/>
  <c r="D299" i="5"/>
  <c r="E511" i="5"/>
  <c r="D511" i="5"/>
  <c r="F511" i="5"/>
  <c r="C413" i="5"/>
  <c r="D413" i="5"/>
  <c r="E413" i="5"/>
  <c r="F413" i="5"/>
  <c r="C313" i="5"/>
  <c r="D313" i="5"/>
  <c r="E313" i="5"/>
  <c r="F313" i="5"/>
  <c r="C419" i="5"/>
  <c r="E419" i="5"/>
  <c r="F419" i="5"/>
  <c r="D419" i="5"/>
  <c r="G419" i="5" s="1"/>
  <c r="E353" i="5"/>
  <c r="F353" i="5"/>
  <c r="C353" i="5"/>
  <c r="D353" i="5"/>
  <c r="G353" i="5" s="1"/>
  <c r="E270" i="5"/>
  <c r="G270" i="5" s="1"/>
  <c r="F270" i="5"/>
  <c r="D255" i="5"/>
  <c r="G255" i="5" s="1"/>
  <c r="C255" i="5"/>
  <c r="E255" i="5"/>
  <c r="F255" i="5"/>
  <c r="E326" i="5"/>
  <c r="F326" i="5"/>
  <c r="D326" i="5"/>
  <c r="C326" i="5"/>
  <c r="D309" i="5"/>
  <c r="G309" i="5" s="1"/>
  <c r="C309" i="5"/>
  <c r="C1222" i="2"/>
  <c r="H1222" i="2" s="1"/>
  <c r="D1222" i="2"/>
  <c r="G1222" i="2" s="1"/>
  <c r="C1172" i="2"/>
  <c r="D1172" i="2"/>
  <c r="G1172" i="2" s="1"/>
  <c r="E1172" i="2"/>
  <c r="F1172" i="2"/>
  <c r="C1133" i="2"/>
  <c r="D1133" i="2"/>
  <c r="G1133" i="2" s="1"/>
  <c r="E1133" i="2"/>
  <c r="F946" i="2"/>
  <c r="D946" i="2"/>
  <c r="G946" i="2" s="1"/>
  <c r="D805" i="2"/>
  <c r="G805" i="2" s="1"/>
  <c r="E805" i="2"/>
  <c r="C805" i="2"/>
  <c r="D1189" i="2"/>
  <c r="G1189" i="2" s="1"/>
  <c r="C1189" i="2"/>
  <c r="E1189" i="2"/>
  <c r="F1189" i="2"/>
  <c r="C1054" i="2"/>
  <c r="D1054" i="2"/>
  <c r="G1054" i="2" s="1"/>
  <c r="E1054" i="2"/>
  <c r="C972" i="2"/>
  <c r="F972" i="2"/>
  <c r="D972" i="2"/>
  <c r="G972" i="2" s="1"/>
  <c r="E972" i="2"/>
  <c r="E1244" i="2"/>
  <c r="G1244" i="2" s="1"/>
  <c r="F1244" i="2"/>
  <c r="E1070" i="2"/>
  <c r="F1070" i="2"/>
  <c r="C1070" i="2"/>
  <c r="D1070" i="2"/>
  <c r="G1070" i="2" s="1"/>
  <c r="E1218" i="2"/>
  <c r="C1218" i="2"/>
  <c r="D1218" i="2"/>
  <c r="F1218" i="2"/>
  <c r="C1150" i="2"/>
  <c r="D1150" i="2"/>
  <c r="E1150" i="2"/>
  <c r="F1150" i="2"/>
  <c r="D978" i="2"/>
  <c r="G978" i="2" s="1"/>
  <c r="C978" i="2"/>
  <c r="H978" i="2" s="1"/>
  <c r="F948" i="2"/>
  <c r="D948" i="2"/>
  <c r="E948" i="2"/>
  <c r="D1059" i="2"/>
  <c r="G1059" i="2" s="1"/>
  <c r="C1059" i="2"/>
  <c r="F1059" i="2"/>
  <c r="D1020" i="2"/>
  <c r="G1020" i="2" s="1"/>
  <c r="C1020" i="2"/>
  <c r="F1020" i="2"/>
  <c r="C947" i="2"/>
  <c r="N947" i="2" s="1"/>
  <c r="E947" i="2"/>
  <c r="C1068" i="2"/>
  <c r="D1068" i="2"/>
  <c r="E1068" i="2"/>
  <c r="G1068" i="2" s="1"/>
  <c r="F1068" i="2"/>
  <c r="C961" i="2"/>
  <c r="D961" i="2"/>
  <c r="E961" i="2"/>
  <c r="F961" i="2"/>
  <c r="C839" i="2"/>
  <c r="F839" i="2"/>
  <c r="H839" i="2" s="1"/>
  <c r="E839" i="2"/>
  <c r="D839" i="2"/>
  <c r="G839" i="2" s="1"/>
  <c r="C1045" i="2"/>
  <c r="D1045" i="2"/>
  <c r="G1045" i="2" s="1"/>
  <c r="E1045" i="2"/>
  <c r="F1045" i="2"/>
  <c r="C975" i="2"/>
  <c r="D975" i="2"/>
  <c r="E975" i="2"/>
  <c r="F975" i="2"/>
  <c r="C939" i="2"/>
  <c r="D939" i="2"/>
  <c r="F939" i="2"/>
  <c r="E939" i="2"/>
  <c r="C867" i="2"/>
  <c r="F867" i="2"/>
  <c r="D802" i="2"/>
  <c r="G802" i="2" s="1"/>
  <c r="F802" i="2"/>
  <c r="E872" i="2"/>
  <c r="D872" i="2"/>
  <c r="G872" i="2" s="1"/>
  <c r="C831" i="2"/>
  <c r="D831" i="2"/>
  <c r="E831" i="2"/>
  <c r="F831" i="2"/>
  <c r="F1037" i="2"/>
  <c r="D1037" i="2"/>
  <c r="G1037" i="2" s="1"/>
  <c r="E1167" i="2"/>
  <c r="D1167" i="2"/>
  <c r="G1167" i="2" s="1"/>
  <c r="F1167" i="2"/>
  <c r="C1167" i="2"/>
  <c r="F1169" i="2"/>
  <c r="D1169" i="2"/>
  <c r="E1169" i="2"/>
  <c r="C1169" i="2"/>
  <c r="D1230" i="2"/>
  <c r="E1230" i="2"/>
  <c r="F1230" i="2"/>
  <c r="C1230" i="2"/>
  <c r="G380" i="5"/>
  <c r="G280" i="5"/>
  <c r="G522" i="5"/>
  <c r="G303" i="5"/>
  <c r="G596" i="5"/>
  <c r="G259" i="5"/>
  <c r="C568" i="5"/>
  <c r="F871" i="2"/>
  <c r="E871" i="2"/>
  <c r="G871" i="2" s="1"/>
  <c r="C871" i="2"/>
  <c r="F1113" i="2"/>
  <c r="E1113" i="2"/>
  <c r="C1113" i="2"/>
  <c r="D1113" i="2"/>
  <c r="G1113" i="2" s="1"/>
  <c r="F1225" i="2"/>
  <c r="C1225" i="2"/>
  <c r="D1225" i="2"/>
  <c r="E1225" i="2"/>
  <c r="E868" i="2"/>
  <c r="D868" i="2"/>
  <c r="F868" i="2"/>
  <c r="H868" i="2" s="1"/>
  <c r="C868" i="2"/>
  <c r="C1180" i="2"/>
  <c r="D1180" i="2"/>
  <c r="G1180" i="2" s="1"/>
  <c r="F1180" i="2"/>
  <c r="C926" i="2"/>
  <c r="N926" i="2" s="1"/>
  <c r="E926" i="2"/>
  <c r="F767" i="2"/>
  <c r="C767" i="2"/>
  <c r="D767" i="2"/>
  <c r="E767" i="2"/>
  <c r="F1112" i="2"/>
  <c r="E1112" i="2"/>
  <c r="D1112" i="2"/>
  <c r="G1112" i="2" s="1"/>
  <c r="C1112" i="2"/>
  <c r="F1238" i="2"/>
  <c r="E1238" i="2"/>
  <c r="D1238" i="2"/>
  <c r="D873" i="2"/>
  <c r="G873" i="2" s="1"/>
  <c r="C873" i="2"/>
  <c r="C1114" i="2"/>
  <c r="H1114" i="2" s="1"/>
  <c r="E1114" i="2"/>
  <c r="G1114" i="2" s="1"/>
  <c r="D552" i="5"/>
  <c r="G552" i="5" s="1"/>
  <c r="E552" i="5"/>
  <c r="F552" i="5"/>
  <c r="C552" i="5"/>
  <c r="F507" i="5"/>
  <c r="E507" i="5"/>
  <c r="C507" i="5"/>
  <c r="D507" i="5"/>
  <c r="G507" i="5" s="1"/>
  <c r="F621" i="5"/>
  <c r="E621" i="5"/>
  <c r="C621" i="5"/>
  <c r="D621" i="5"/>
  <c r="G621" i="5" s="1"/>
  <c r="C604" i="5"/>
  <c r="F604" i="5"/>
  <c r="E604" i="5"/>
  <c r="G604" i="5" s="1"/>
  <c r="E448" i="5"/>
  <c r="G448" i="5" s="1"/>
  <c r="F448" i="5"/>
  <c r="F594" i="5"/>
  <c r="E594" i="5"/>
  <c r="E626" i="5"/>
  <c r="F626" i="5"/>
  <c r="D626" i="5"/>
  <c r="C626" i="5"/>
  <c r="C575" i="5"/>
  <c r="D575" i="5"/>
  <c r="E575" i="5"/>
  <c r="F575" i="5"/>
  <c r="C323" i="5"/>
  <c r="F323" i="5"/>
  <c r="D323" i="5"/>
  <c r="E323" i="5"/>
  <c r="F298" i="5"/>
  <c r="C298" i="5"/>
  <c r="J298" i="5" s="1"/>
  <c r="D608" i="5"/>
  <c r="C608" i="5"/>
  <c r="E608" i="5"/>
  <c r="F608" i="5"/>
  <c r="F416" i="5"/>
  <c r="D416" i="5"/>
  <c r="E416" i="5"/>
  <c r="C321" i="5"/>
  <c r="F321" i="5"/>
  <c r="C508" i="5"/>
  <c r="D508" i="5"/>
  <c r="G508" i="5" s="1"/>
  <c r="E508" i="5"/>
  <c r="F508" i="5"/>
  <c r="D340" i="5"/>
  <c r="E340" i="5"/>
  <c r="F340" i="5"/>
  <c r="C340" i="5"/>
  <c r="C579" i="5"/>
  <c r="H579" i="5" s="1"/>
  <c r="D579" i="5"/>
  <c r="G579" i="5" s="1"/>
  <c r="C519" i="5"/>
  <c r="D519" i="5"/>
  <c r="D461" i="5"/>
  <c r="G461" i="5" s="1"/>
  <c r="C461" i="5"/>
  <c r="E461" i="5"/>
  <c r="F461" i="5"/>
  <c r="C396" i="5"/>
  <c r="D396" i="5"/>
  <c r="E396" i="5"/>
  <c r="F396" i="5"/>
  <c r="C261" i="5"/>
  <c r="D261" i="5"/>
  <c r="G261" i="5" s="1"/>
  <c r="F392" i="5"/>
  <c r="E392" i="5"/>
  <c r="G392" i="5" s="1"/>
  <c r="C264" i="5"/>
  <c r="D264" i="5"/>
  <c r="G264" i="5" s="1"/>
  <c r="F264" i="5"/>
  <c r="E264" i="5"/>
  <c r="D476" i="5"/>
  <c r="E476" i="5"/>
  <c r="F476" i="5"/>
  <c r="C442" i="5"/>
  <c r="E442" i="5"/>
  <c r="G442" i="5" s="1"/>
  <c r="F546" i="5"/>
  <c r="E546" i="5"/>
  <c r="D546" i="5"/>
  <c r="C481" i="5"/>
  <c r="D481" i="5"/>
  <c r="G481" i="5" s="1"/>
  <c r="F481" i="5"/>
  <c r="E481" i="5"/>
  <c r="F440" i="5"/>
  <c r="D440" i="5"/>
  <c r="G440" i="5" s="1"/>
  <c r="E440" i="5"/>
  <c r="D269" i="5"/>
  <c r="E269" i="5"/>
  <c r="C269" i="5"/>
  <c r="F269" i="5"/>
  <c r="C390" i="5"/>
  <c r="E390" i="5"/>
  <c r="G390" i="5" s="1"/>
  <c r="F390" i="5"/>
  <c r="F281" i="5"/>
  <c r="E281" i="5"/>
  <c r="D281" i="5"/>
  <c r="G281" i="5" s="1"/>
  <c r="C281" i="5"/>
  <c r="E427" i="5"/>
  <c r="G427" i="5" s="1"/>
  <c r="F427" i="5"/>
  <c r="F373" i="5"/>
  <c r="E373" i="5"/>
  <c r="D373" i="5"/>
  <c r="F287" i="5"/>
  <c r="E287" i="5"/>
  <c r="G287" i="5" s="1"/>
  <c r="C355" i="5"/>
  <c r="F355" i="5"/>
  <c r="D305" i="5"/>
  <c r="G305" i="5" s="1"/>
  <c r="C305" i="5"/>
  <c r="F305" i="5"/>
  <c r="E305" i="5"/>
  <c r="C254" i="5"/>
  <c r="D254" i="5"/>
  <c r="G254" i="5" s="1"/>
  <c r="E254" i="5"/>
  <c r="F254" i="5"/>
  <c r="C1214" i="2"/>
  <c r="F1214" i="2"/>
  <c r="C1089" i="2"/>
  <c r="D1089" i="2"/>
  <c r="E1089" i="2"/>
  <c r="F1089" i="2"/>
  <c r="C904" i="2"/>
  <c r="F904" i="2"/>
  <c r="E904" i="2"/>
  <c r="D904" i="2"/>
  <c r="C798" i="2"/>
  <c r="F798" i="2"/>
  <c r="F1136" i="2"/>
  <c r="D1136" i="2"/>
  <c r="G1136" i="2" s="1"/>
  <c r="E1136" i="2"/>
  <c r="F1040" i="2"/>
  <c r="D1040" i="2"/>
  <c r="G1040" i="2" s="1"/>
  <c r="F956" i="2"/>
  <c r="E956" i="2"/>
  <c r="G956" i="2" s="1"/>
  <c r="F836" i="2"/>
  <c r="C836" i="2"/>
  <c r="E836" i="2"/>
  <c r="G836" i="2" s="1"/>
  <c r="F1243" i="2"/>
  <c r="C1243" i="2"/>
  <c r="D1243" i="2"/>
  <c r="E1243" i="2"/>
  <c r="D1159" i="2"/>
  <c r="C1159" i="2"/>
  <c r="E1159" i="2"/>
  <c r="F1159" i="2"/>
  <c r="H1159" i="2" s="1"/>
  <c r="C1056" i="2"/>
  <c r="H1056" i="2" s="1"/>
  <c r="D1056" i="2"/>
  <c r="G1056" i="2" s="1"/>
  <c r="E1056" i="2"/>
  <c r="D933" i="2"/>
  <c r="G933" i="2" s="1"/>
  <c r="E933" i="2"/>
  <c r="F933" i="2"/>
  <c r="C933" i="2"/>
  <c r="D1211" i="2"/>
  <c r="G1211" i="2" s="1"/>
  <c r="E1211" i="2"/>
  <c r="F1211" i="2"/>
  <c r="E1066" i="2"/>
  <c r="F1066" i="2"/>
  <c r="H1066" i="2" s="1"/>
  <c r="C1066" i="2"/>
  <c r="D1066" i="2"/>
  <c r="D944" i="2"/>
  <c r="G944" i="2" s="1"/>
  <c r="F944" i="2"/>
  <c r="F879" i="2"/>
  <c r="C879" i="2"/>
  <c r="D879" i="2"/>
  <c r="E879" i="2"/>
  <c r="F1058" i="2"/>
  <c r="C1058" i="2"/>
  <c r="D1058" i="2"/>
  <c r="G1058" i="2" s="1"/>
  <c r="C938" i="2"/>
  <c r="D938" i="2"/>
  <c r="E938" i="2"/>
  <c r="C898" i="2"/>
  <c r="D898" i="2"/>
  <c r="G898" i="2" s="1"/>
  <c r="E898" i="2"/>
  <c r="F898" i="2"/>
  <c r="C800" i="2"/>
  <c r="E800" i="2"/>
  <c r="G800" i="2" s="1"/>
  <c r="D800" i="2"/>
  <c r="C957" i="2"/>
  <c r="F957" i="2"/>
  <c r="E957" i="2"/>
  <c r="D957" i="2"/>
  <c r="E1022" i="2"/>
  <c r="C1022" i="2"/>
  <c r="D1022" i="2"/>
  <c r="G1022" i="2" s="1"/>
  <c r="F969" i="2"/>
  <c r="C969" i="2"/>
  <c r="E969" i="2"/>
  <c r="G969" i="2" s="1"/>
  <c r="C937" i="2"/>
  <c r="D937" i="2"/>
  <c r="E937" i="2"/>
  <c r="F937" i="2"/>
  <c r="F860" i="2"/>
  <c r="E860" i="2"/>
  <c r="G860" i="2" s="1"/>
  <c r="C843" i="2"/>
  <c r="F843" i="2"/>
  <c r="C837" i="2"/>
  <c r="D837" i="2"/>
  <c r="F837" i="2"/>
  <c r="E837" i="2"/>
  <c r="C864" i="2"/>
  <c r="D864" i="2"/>
  <c r="G864" i="2" s="1"/>
  <c r="F864" i="2"/>
  <c r="D819" i="2"/>
  <c r="G819" i="2" s="1"/>
  <c r="C819" i="2"/>
  <c r="H819" i="2" s="1"/>
  <c r="D903" i="2"/>
  <c r="E903" i="2"/>
  <c r="F903" i="2"/>
  <c r="C903" i="2"/>
  <c r="C799" i="2"/>
  <c r="D799" i="2"/>
  <c r="G799" i="2" s="1"/>
  <c r="F799" i="2"/>
  <c r="C1171" i="2"/>
  <c r="D1171" i="2"/>
  <c r="G1171" i="2" s="1"/>
  <c r="C788" i="2"/>
  <c r="F788" i="2"/>
  <c r="D788" i="2"/>
  <c r="G788" i="2" s="1"/>
  <c r="E1184" i="2"/>
  <c r="C1184" i="2"/>
  <c r="H1184" i="2" s="1"/>
  <c r="D1184" i="2"/>
  <c r="G1184" i="2" s="1"/>
  <c r="D1237" i="2"/>
  <c r="G1237" i="2" s="1"/>
  <c r="F1237" i="2"/>
  <c r="E1237" i="2"/>
  <c r="C1237" i="2"/>
  <c r="H519" i="5"/>
  <c r="G400" i="5"/>
  <c r="J380" i="5"/>
  <c r="G398" i="5"/>
  <c r="C1165" i="2"/>
  <c r="F1165" i="2"/>
  <c r="D906" i="2"/>
  <c r="G906" i="2" s="1"/>
  <c r="E906" i="2"/>
  <c r="F906" i="2"/>
  <c r="C906" i="2"/>
  <c r="E1078" i="2"/>
  <c r="D1078" i="2"/>
  <c r="G1078" i="2" s="1"/>
  <c r="F1078" i="2"/>
  <c r="C1078" i="2"/>
  <c r="E1061" i="2"/>
  <c r="F1061" i="2"/>
  <c r="C1061" i="2"/>
  <c r="D1061" i="2"/>
  <c r="G1061" i="2" s="1"/>
  <c r="F1186" i="2"/>
  <c r="D1186" i="2"/>
  <c r="G1186" i="2" s="1"/>
  <c r="E980" i="2"/>
  <c r="F980" i="2"/>
  <c r="D980" i="2"/>
  <c r="G980" i="2" s="1"/>
  <c r="C980" i="2"/>
  <c r="D1116" i="2"/>
  <c r="F1116" i="2"/>
  <c r="C1116" i="2"/>
  <c r="E1116" i="2"/>
  <c r="E1245" i="2"/>
  <c r="D1245" i="2"/>
  <c r="G1245" i="2" s="1"/>
  <c r="F1245" i="2"/>
  <c r="H1245" i="2" s="1"/>
  <c r="C1245" i="2"/>
  <c r="D1057" i="2"/>
  <c r="E1057" i="2"/>
  <c r="G1057" i="2" s="1"/>
  <c r="F1057" i="2"/>
  <c r="C1057" i="2"/>
  <c r="E1139" i="2"/>
  <c r="F1139" i="2"/>
  <c r="D1139" i="2"/>
  <c r="G1139" i="2" s="1"/>
  <c r="C1139" i="2"/>
  <c r="C605" i="5"/>
  <c r="F605" i="5"/>
  <c r="E605" i="5"/>
  <c r="G605" i="5" s="1"/>
  <c r="D539" i="5"/>
  <c r="G539" i="5" s="1"/>
  <c r="F539" i="5"/>
  <c r="E502" i="5"/>
  <c r="F502" i="5"/>
  <c r="C502" i="5"/>
  <c r="D502" i="5"/>
  <c r="C391" i="5"/>
  <c r="D391" i="5"/>
  <c r="E391" i="5"/>
  <c r="F391" i="5"/>
  <c r="D584" i="5"/>
  <c r="G584" i="5" s="1"/>
  <c r="F584" i="5"/>
  <c r="F577" i="5"/>
  <c r="D577" i="5"/>
  <c r="G577" i="5" s="1"/>
  <c r="C577" i="5"/>
  <c r="C572" i="5"/>
  <c r="D572" i="5"/>
  <c r="G572" i="5" s="1"/>
  <c r="E572" i="5"/>
  <c r="F572" i="5"/>
  <c r="F527" i="5"/>
  <c r="C527" i="5"/>
  <c r="D527" i="5"/>
  <c r="E527" i="5"/>
  <c r="C447" i="5"/>
  <c r="F447" i="5"/>
  <c r="H447" i="5" s="1"/>
  <c r="E447" i="5"/>
  <c r="D447" i="5"/>
  <c r="F319" i="5"/>
  <c r="C319" i="5"/>
  <c r="E319" i="5"/>
  <c r="G319" i="5" s="1"/>
  <c r="F344" i="5"/>
  <c r="E344" i="5"/>
  <c r="D344" i="5"/>
  <c r="G344" i="5" s="1"/>
  <c r="C344" i="5"/>
  <c r="C595" i="5"/>
  <c r="F595" i="5"/>
  <c r="F402" i="5"/>
  <c r="C402" i="5"/>
  <c r="D402" i="5"/>
  <c r="G402" i="5" s="1"/>
  <c r="E402" i="5"/>
  <c r="C283" i="5"/>
  <c r="D283" i="5"/>
  <c r="G283" i="5" s="1"/>
  <c r="E283" i="5"/>
  <c r="F283" i="5"/>
  <c r="C562" i="5"/>
  <c r="D562" i="5"/>
  <c r="F562" i="5"/>
  <c r="E562" i="5"/>
  <c r="G562" i="5" s="1"/>
  <c r="F503" i="5"/>
  <c r="H503" i="5" s="1"/>
  <c r="C503" i="5"/>
  <c r="D503" i="5"/>
  <c r="E503" i="5"/>
  <c r="C514" i="5"/>
  <c r="D514" i="5"/>
  <c r="E514" i="5"/>
  <c r="F289" i="5"/>
  <c r="D289" i="5"/>
  <c r="G289" i="5" s="1"/>
  <c r="E289" i="5"/>
  <c r="C289" i="5"/>
  <c r="C454" i="5"/>
  <c r="D454" i="5"/>
  <c r="G454" i="5" s="1"/>
  <c r="E454" i="5"/>
  <c r="F454" i="5"/>
  <c r="C453" i="5"/>
  <c r="F453" i="5"/>
  <c r="F510" i="5"/>
  <c r="E510" i="5"/>
  <c r="D510" i="5"/>
  <c r="G510" i="5" s="1"/>
  <c r="C510" i="5"/>
  <c r="C438" i="5"/>
  <c r="D438" i="5"/>
  <c r="G438" i="5" s="1"/>
  <c r="E438" i="5"/>
  <c r="F438" i="5"/>
  <c r="C544" i="5"/>
  <c r="D544" i="5"/>
  <c r="F544" i="5"/>
  <c r="E544" i="5"/>
  <c r="G544" i="5" s="1"/>
  <c r="C474" i="5"/>
  <c r="H474" i="5" s="1"/>
  <c r="D474" i="5"/>
  <c r="G474" i="5" s="1"/>
  <c r="C410" i="5"/>
  <c r="D410" i="5"/>
  <c r="E410" i="5"/>
  <c r="F410" i="5"/>
  <c r="D290" i="5"/>
  <c r="G290" i="5" s="1"/>
  <c r="C290" i="5"/>
  <c r="E290" i="5"/>
  <c r="F290" i="5"/>
  <c r="F388" i="5"/>
  <c r="H388" i="5" s="1"/>
  <c r="E388" i="5"/>
  <c r="C388" i="5"/>
  <c r="D388" i="5"/>
  <c r="F279" i="5"/>
  <c r="C279" i="5"/>
  <c r="D279" i="5"/>
  <c r="E279" i="5"/>
  <c r="E386" i="5"/>
  <c r="G386" i="5" s="1"/>
  <c r="F386" i="5"/>
  <c r="F372" i="5"/>
  <c r="C372" i="5"/>
  <c r="D372" i="5"/>
  <c r="G372" i="5" s="1"/>
  <c r="E372" i="5"/>
  <c r="E307" i="5"/>
  <c r="F307" i="5"/>
  <c r="C307" i="5"/>
  <c r="D307" i="5"/>
  <c r="G307" i="5" s="1"/>
  <c r="E257" i="5"/>
  <c r="G257" i="5" s="1"/>
  <c r="F257" i="5"/>
  <c r="D278" i="5"/>
  <c r="G278" i="5" s="1"/>
  <c r="C278" i="5"/>
  <c r="C350" i="5"/>
  <c r="D350" i="5"/>
  <c r="E350" i="5"/>
  <c r="F350" i="5"/>
  <c r="C780" i="2"/>
  <c r="D780" i="2"/>
  <c r="E780" i="2"/>
  <c r="F780" i="2"/>
  <c r="C1209" i="2"/>
  <c r="D1209" i="2"/>
  <c r="E1209" i="2"/>
  <c r="G1209" i="2" s="1"/>
  <c r="F1209" i="2"/>
  <c r="E1126" i="2"/>
  <c r="C1126" i="2"/>
  <c r="D1126" i="2"/>
  <c r="G1126" i="2" s="1"/>
  <c r="F1126" i="2"/>
  <c r="C1081" i="2"/>
  <c r="D1081" i="2"/>
  <c r="E1081" i="2"/>
  <c r="F1081" i="2"/>
  <c r="C895" i="2"/>
  <c r="H895" i="2" s="1"/>
  <c r="D895" i="2"/>
  <c r="G895" i="2" s="1"/>
  <c r="C1168" i="2"/>
  <c r="N1168" i="2" s="1"/>
  <c r="E1168" i="2"/>
  <c r="G1168" i="2" s="1"/>
  <c r="D1132" i="2"/>
  <c r="C1132" i="2"/>
  <c r="H1132" i="2" s="1"/>
  <c r="E1132" i="2"/>
  <c r="G1132" i="2" s="1"/>
  <c r="D1036" i="2"/>
  <c r="G1036" i="2" s="1"/>
  <c r="E1036" i="2"/>
  <c r="F1036" i="2"/>
  <c r="C1036" i="2"/>
  <c r="C820" i="2"/>
  <c r="F820" i="2"/>
  <c r="D820" i="2"/>
  <c r="G820" i="2" s="1"/>
  <c r="C1234" i="2"/>
  <c r="D1234" i="2"/>
  <c r="G1234" i="2" s="1"/>
  <c r="C1158" i="2"/>
  <c r="E1158" i="2"/>
  <c r="F1158" i="2"/>
  <c r="D1158" i="2"/>
  <c r="G1158" i="2" s="1"/>
  <c r="D1051" i="2"/>
  <c r="E1051" i="2"/>
  <c r="F1051" i="2"/>
  <c r="C1051" i="2"/>
  <c r="C900" i="2"/>
  <c r="F900" i="2"/>
  <c r="D900" i="2"/>
  <c r="G900" i="2" s="1"/>
  <c r="C778" i="2"/>
  <c r="D778" i="2"/>
  <c r="E778" i="2"/>
  <c r="F778" i="2"/>
  <c r="C1198" i="2"/>
  <c r="D1198" i="2"/>
  <c r="G1198" i="2" s="1"/>
  <c r="E1198" i="2"/>
  <c r="F1198" i="2"/>
  <c r="C1130" i="2"/>
  <c r="D1130" i="2"/>
  <c r="E1130" i="2"/>
  <c r="F1130" i="2"/>
  <c r="F1062" i="2"/>
  <c r="C1062" i="2"/>
  <c r="D1062" i="2"/>
  <c r="E1062" i="2"/>
  <c r="D949" i="2"/>
  <c r="F949" i="2"/>
  <c r="C949" i="2"/>
  <c r="E949" i="2"/>
  <c r="C1035" i="2"/>
  <c r="D1035" i="2"/>
  <c r="G1035" i="2" s="1"/>
  <c r="E1035" i="2"/>
  <c r="F1035" i="2"/>
  <c r="F929" i="2"/>
  <c r="C929" i="2"/>
  <c r="J929" i="2" s="1"/>
  <c r="C822" i="2"/>
  <c r="F822" i="2"/>
  <c r="E1008" i="2"/>
  <c r="D1008" i="2"/>
  <c r="G1008" i="2" s="1"/>
  <c r="C1008" i="2"/>
  <c r="E896" i="2"/>
  <c r="G896" i="2" s="1"/>
  <c r="F896" i="2"/>
  <c r="E1024" i="2"/>
  <c r="C1024" i="2"/>
  <c r="H1024" i="2" s="1"/>
  <c r="D1024" i="2"/>
  <c r="G1024" i="2" s="1"/>
  <c r="C932" i="2"/>
  <c r="N932" i="2" s="1"/>
  <c r="E932" i="2"/>
  <c r="G932" i="2" s="1"/>
  <c r="C1009" i="2"/>
  <c r="H1009" i="2" s="1"/>
  <c r="D1009" i="2"/>
  <c r="G1009" i="2" s="1"/>
  <c r="C968" i="2"/>
  <c r="D968" i="2"/>
  <c r="E968" i="2"/>
  <c r="F968" i="2"/>
  <c r="H968" i="2" s="1"/>
  <c r="C914" i="2"/>
  <c r="E914" i="2"/>
  <c r="G914" i="2" s="1"/>
  <c r="D914" i="2"/>
  <c r="F914" i="2"/>
  <c r="H914" i="2" s="1"/>
  <c r="D856" i="2"/>
  <c r="G856" i="2" s="1"/>
  <c r="E856" i="2"/>
  <c r="F856" i="2"/>
  <c r="C856" i="2"/>
  <c r="D829" i="2"/>
  <c r="G829" i="2" s="1"/>
  <c r="C829" i="2"/>
  <c r="E829" i="2"/>
  <c r="F829" i="2"/>
  <c r="C862" i="2"/>
  <c r="F862" i="2"/>
  <c r="C888" i="2"/>
  <c r="D888" i="2"/>
  <c r="G888" i="2" s="1"/>
  <c r="F888" i="2"/>
  <c r="E1088" i="2"/>
  <c r="G1088" i="2" s="1"/>
  <c r="C1088" i="2"/>
  <c r="E1239" i="2"/>
  <c r="G1239" i="2" s="1"/>
  <c r="F1239" i="2"/>
  <c r="H844" i="2"/>
  <c r="K844" i="2" s="1"/>
  <c r="G519" i="5"/>
  <c r="G554" i="5"/>
  <c r="K557" i="5"/>
  <c r="G357" i="5"/>
  <c r="G594" i="5"/>
  <c r="F1246" i="2"/>
  <c r="E1246" i="2"/>
  <c r="G1246" i="2" s="1"/>
  <c r="C922" i="2"/>
  <c r="H922" i="2" s="1"/>
  <c r="E922" i="2"/>
  <c r="D922" i="2"/>
  <c r="G922" i="2" s="1"/>
  <c r="C1109" i="2"/>
  <c r="H1109" i="2" s="1"/>
  <c r="E1109" i="2"/>
  <c r="D1109" i="2"/>
  <c r="D1233" i="2"/>
  <c r="G1233" i="2" s="1"/>
  <c r="E1233" i="2"/>
  <c r="F1233" i="2"/>
  <c r="C1233" i="2"/>
  <c r="D865" i="2"/>
  <c r="G865" i="2" s="1"/>
  <c r="E865" i="2"/>
  <c r="F865" i="2"/>
  <c r="C865" i="2"/>
  <c r="E1063" i="2"/>
  <c r="F1063" i="2"/>
  <c r="D1063" i="2"/>
  <c r="C1063" i="2"/>
  <c r="E934" i="2"/>
  <c r="G934" i="2" s="1"/>
  <c r="F934" i="2"/>
  <c r="F783" i="2"/>
  <c r="E783" i="2"/>
  <c r="C783" i="2"/>
  <c r="D783" i="2"/>
  <c r="G783" i="2" s="1"/>
  <c r="E1002" i="2"/>
  <c r="F1002" i="2"/>
  <c r="C1002" i="2"/>
  <c r="D1002" i="2"/>
  <c r="E1254" i="2"/>
  <c r="G1254" i="2" s="1"/>
  <c r="D1254" i="2"/>
  <c r="C1254" i="2"/>
  <c r="H1254" i="2" s="1"/>
  <c r="C1163" i="2"/>
  <c r="F1163" i="2"/>
  <c r="D1163" i="2"/>
  <c r="E1163" i="2"/>
  <c r="D523" i="5"/>
  <c r="G523" i="5" s="1"/>
  <c r="C523" i="5"/>
  <c r="E587" i="5"/>
  <c r="F587" i="5"/>
  <c r="D587" i="5"/>
  <c r="G587" i="5" s="1"/>
  <c r="C587" i="5"/>
  <c r="E578" i="5"/>
  <c r="C578" i="5"/>
  <c r="H578" i="5" s="1"/>
  <c r="D578" i="5"/>
  <c r="G578" i="5" s="1"/>
  <c r="C520" i="5"/>
  <c r="D520" i="5"/>
  <c r="G520" i="5" s="1"/>
  <c r="C428" i="5"/>
  <c r="F428" i="5"/>
  <c r="E428" i="5"/>
  <c r="D428" i="5"/>
  <c r="G428" i="5" s="1"/>
  <c r="D473" i="5"/>
  <c r="G473" i="5" s="1"/>
  <c r="E473" i="5"/>
  <c r="F498" i="5"/>
  <c r="C498" i="5"/>
  <c r="D498" i="5"/>
  <c r="G498" i="5" s="1"/>
  <c r="E498" i="5"/>
  <c r="F561" i="5"/>
  <c r="C561" i="5"/>
  <c r="D561" i="5"/>
  <c r="G561" i="5" s="1"/>
  <c r="E561" i="5"/>
  <c r="E597" i="5"/>
  <c r="G597" i="5" s="1"/>
  <c r="F597" i="5"/>
  <c r="F612" i="5"/>
  <c r="C612" i="5"/>
  <c r="C524" i="5"/>
  <c r="H524" i="5" s="1"/>
  <c r="E524" i="5"/>
  <c r="C425" i="5"/>
  <c r="F425" i="5"/>
  <c r="C316" i="5"/>
  <c r="F316" i="5"/>
  <c r="C306" i="5"/>
  <c r="E306" i="5"/>
  <c r="F306" i="5"/>
  <c r="D306" i="5"/>
  <c r="E574" i="5"/>
  <c r="D574" i="5"/>
  <c r="C574" i="5"/>
  <c r="D548" i="5"/>
  <c r="G548" i="5" s="1"/>
  <c r="E548" i="5"/>
  <c r="F548" i="5"/>
  <c r="C489" i="5"/>
  <c r="F489" i="5"/>
  <c r="D489" i="5"/>
  <c r="E489" i="5"/>
  <c r="F624" i="5"/>
  <c r="C624" i="5"/>
  <c r="D624" i="5"/>
  <c r="G624" i="5" s="1"/>
  <c r="E624" i="5"/>
  <c r="C563" i="5"/>
  <c r="D563" i="5"/>
  <c r="G563" i="5" s="1"/>
  <c r="E563" i="5"/>
  <c r="F563" i="5"/>
  <c r="C504" i="5"/>
  <c r="E504" i="5"/>
  <c r="G504" i="5" s="1"/>
  <c r="F504" i="5"/>
  <c r="C452" i="5"/>
  <c r="D452" i="5"/>
  <c r="E452" i="5"/>
  <c r="F452" i="5"/>
  <c r="C450" i="5"/>
  <c r="D450" i="5"/>
  <c r="E450" i="5"/>
  <c r="F450" i="5"/>
  <c r="E501" i="5"/>
  <c r="G501" i="5" s="1"/>
  <c r="F501" i="5"/>
  <c r="C466" i="5"/>
  <c r="D466" i="5"/>
  <c r="E466" i="5"/>
  <c r="F466" i="5"/>
  <c r="C407" i="5"/>
  <c r="D407" i="5"/>
  <c r="E407" i="5"/>
  <c r="F407" i="5"/>
  <c r="F542" i="5"/>
  <c r="E542" i="5"/>
  <c r="G542" i="5" s="1"/>
  <c r="C542" i="5"/>
  <c r="D542" i="5"/>
  <c r="C385" i="5"/>
  <c r="D385" i="5"/>
  <c r="G385" i="5" s="1"/>
  <c r="E385" i="5"/>
  <c r="F385" i="5"/>
  <c r="D267" i="5"/>
  <c r="G267" i="5" s="1"/>
  <c r="C267" i="5"/>
  <c r="E267" i="5"/>
  <c r="F267" i="5"/>
  <c r="C338" i="5"/>
  <c r="E338" i="5"/>
  <c r="G338" i="5" s="1"/>
  <c r="F338" i="5"/>
  <c r="C412" i="5"/>
  <c r="D412" i="5"/>
  <c r="G412" i="5" s="1"/>
  <c r="E412" i="5"/>
  <c r="F412" i="5"/>
  <c r="F337" i="5"/>
  <c r="C337" i="5"/>
  <c r="D337" i="5"/>
  <c r="E337" i="5"/>
  <c r="C378" i="5"/>
  <c r="F378" i="5"/>
  <c r="F272" i="5"/>
  <c r="C272" i="5"/>
  <c r="D272" i="5"/>
  <c r="G272" i="5" s="1"/>
  <c r="E272" i="5"/>
  <c r="C349" i="5"/>
  <c r="D349" i="5"/>
  <c r="E349" i="5"/>
  <c r="F349" i="5"/>
  <c r="E286" i="5"/>
  <c r="G286" i="5" s="1"/>
  <c r="F286" i="5"/>
  <c r="C764" i="2"/>
  <c r="F764" i="2"/>
  <c r="E1207" i="2"/>
  <c r="G1207" i="2" s="1"/>
  <c r="F1207" i="2"/>
  <c r="E1142" i="2"/>
  <c r="C1142" i="2"/>
  <c r="H1142" i="2" s="1"/>
  <c r="D1142" i="2"/>
  <c r="G1142" i="2" s="1"/>
  <c r="D1060" i="2"/>
  <c r="G1060" i="2" s="1"/>
  <c r="C1060" i="2"/>
  <c r="C863" i="2"/>
  <c r="N863" i="2" s="1"/>
  <c r="E863" i="2"/>
  <c r="C1160" i="2"/>
  <c r="H1160" i="2" s="1"/>
  <c r="D1160" i="2"/>
  <c r="G1160" i="2" s="1"/>
  <c r="C1034" i="2"/>
  <c r="E1034" i="2"/>
  <c r="F1034" i="2"/>
  <c r="D1034" i="2"/>
  <c r="G1034" i="2" s="1"/>
  <c r="F930" i="2"/>
  <c r="D930" i="2"/>
  <c r="E930" i="2"/>
  <c r="C930" i="2"/>
  <c r="F804" i="2"/>
  <c r="E804" i="2"/>
  <c r="D804" i="2"/>
  <c r="C804" i="2"/>
  <c r="F1232" i="2"/>
  <c r="D1232" i="2"/>
  <c r="E1232" i="2"/>
  <c r="E1146" i="2"/>
  <c r="C1146" i="2"/>
  <c r="D1146" i="2"/>
  <c r="F1146" i="2"/>
  <c r="D859" i="2"/>
  <c r="G859" i="2" s="1"/>
  <c r="C859" i="2"/>
  <c r="E859" i="2"/>
  <c r="F859" i="2"/>
  <c r="C1181" i="2"/>
  <c r="N1181" i="2" s="1"/>
  <c r="E1181" i="2"/>
  <c r="G1181" i="2" s="1"/>
  <c r="E1042" i="2"/>
  <c r="D1042" i="2"/>
  <c r="F1042" i="2"/>
  <c r="C1042" i="2"/>
  <c r="D931" i="2"/>
  <c r="C931" i="2"/>
  <c r="E931" i="2"/>
  <c r="C1029" i="2"/>
  <c r="N1029" i="2" s="1"/>
  <c r="E1029" i="2"/>
  <c r="C928" i="2"/>
  <c r="N928" i="2" s="1"/>
  <c r="D928" i="2"/>
  <c r="E928" i="2"/>
  <c r="F928" i="2"/>
  <c r="H928" i="2" s="1"/>
  <c r="C818" i="2"/>
  <c r="F818" i="2"/>
  <c r="C1048" i="2"/>
  <c r="H1048" i="2" s="1"/>
  <c r="E1048" i="2"/>
  <c r="D1048" i="2"/>
  <c r="D996" i="2"/>
  <c r="G996" i="2" s="1"/>
  <c r="F996" i="2"/>
  <c r="C996" i="2"/>
  <c r="E996" i="2"/>
  <c r="F891" i="2"/>
  <c r="H891" i="2" s="1"/>
  <c r="D891" i="2"/>
  <c r="E891" i="2"/>
  <c r="C891" i="2"/>
  <c r="E1091" i="2"/>
  <c r="D1091" i="2"/>
  <c r="G1091" i="2" s="1"/>
  <c r="F1091" i="2"/>
  <c r="C917" i="2"/>
  <c r="H917" i="2" s="1"/>
  <c r="D917" i="2"/>
  <c r="G917" i="2" s="1"/>
  <c r="E1098" i="2"/>
  <c r="F1098" i="2"/>
  <c r="D1098" i="2"/>
  <c r="C1098" i="2"/>
  <c r="C1005" i="2"/>
  <c r="F1005" i="2"/>
  <c r="E852" i="2"/>
  <c r="F852" i="2"/>
  <c r="C852" i="2"/>
  <c r="D852" i="2"/>
  <c r="G852" i="2" s="1"/>
  <c r="C824" i="2"/>
  <c r="E824" i="2"/>
  <c r="D824" i="2"/>
  <c r="C849" i="2"/>
  <c r="D849" i="2"/>
  <c r="G849" i="2" s="1"/>
  <c r="F812" i="2"/>
  <c r="H812" i="2" s="1"/>
  <c r="D812" i="2"/>
  <c r="G812" i="2" s="1"/>
  <c r="C886" i="2"/>
  <c r="F886" i="2"/>
  <c r="F1093" i="2"/>
  <c r="H1093" i="2" s="1"/>
  <c r="E1093" i="2"/>
  <c r="D1093" i="2"/>
  <c r="F1219" i="2"/>
  <c r="D1219" i="2"/>
  <c r="G1219" i="2" s="1"/>
  <c r="C1219" i="2"/>
  <c r="D835" i="2"/>
  <c r="G835" i="2" s="1"/>
  <c r="F835" i="2"/>
  <c r="E835" i="2"/>
  <c r="C835" i="2"/>
  <c r="E1201" i="2"/>
  <c r="D1201" i="2"/>
  <c r="G1201" i="2" s="1"/>
  <c r="C763" i="2"/>
  <c r="D763" i="2"/>
  <c r="G763" i="2" s="1"/>
  <c r="I579" i="5"/>
  <c r="G346" i="5"/>
  <c r="G322" i="5"/>
  <c r="K314" i="5"/>
  <c r="K435" i="5"/>
  <c r="H553" i="5"/>
  <c r="I554" i="5" s="1"/>
  <c r="J553" i="5"/>
  <c r="K553" i="5" s="1"/>
  <c r="H583" i="5"/>
  <c r="J583" i="5"/>
  <c r="J513" i="5"/>
  <c r="H513" i="5"/>
  <c r="H540" i="5"/>
  <c r="J540" i="5"/>
  <c r="K540" i="5" s="1"/>
  <c r="G471" i="5"/>
  <c r="G617" i="5"/>
  <c r="H462" i="5"/>
  <c r="J462" i="5"/>
  <c r="K462" i="5" s="1"/>
  <c r="G266" i="5"/>
  <c r="H263" i="5"/>
  <c r="J263" i="5"/>
  <c r="K263" i="5" s="1"/>
  <c r="H331" i="5"/>
  <c r="J331" i="5"/>
  <c r="J473" i="5"/>
  <c r="H473" i="5"/>
  <c r="I474" i="5" s="1"/>
  <c r="J453" i="5"/>
  <c r="G629" i="5"/>
  <c r="H471" i="5"/>
  <c r="J471" i="5"/>
  <c r="K471" i="5" s="1"/>
  <c r="J398" i="5"/>
  <c r="K398" i="5" s="1"/>
  <c r="H403" i="5"/>
  <c r="J403" i="5"/>
  <c r="J408" i="5"/>
  <c r="H408" i="5"/>
  <c r="H387" i="5"/>
  <c r="J387" i="5"/>
  <c r="G601" i="5"/>
  <c r="J601" i="5"/>
  <c r="K601" i="5" s="1"/>
  <c r="J536" i="5"/>
  <c r="H536" i="5"/>
  <c r="G379" i="5"/>
  <c r="K629" i="5"/>
  <c r="G304" i="5"/>
  <c r="G516" i="5"/>
  <c r="J458" i="5"/>
  <c r="H345" i="5"/>
  <c r="J345" i="5"/>
  <c r="K345" i="5" s="1"/>
  <c r="J356" i="5"/>
  <c r="H356" i="5"/>
  <c r="H266" i="5"/>
  <c r="J266" i="5"/>
  <c r="J606" i="5"/>
  <c r="H606" i="5"/>
  <c r="J304" i="5"/>
  <c r="H304" i="5"/>
  <c r="H511" i="5"/>
  <c r="J511" i="5"/>
  <c r="J443" i="5"/>
  <c r="H443" i="5"/>
  <c r="H295" i="5"/>
  <c r="J295" i="5"/>
  <c r="G619" i="5"/>
  <c r="J619" i="5"/>
  <c r="H475" i="5"/>
  <c r="I475" i="5" s="1"/>
  <c r="J475" i="5"/>
  <c r="H555" i="5"/>
  <c r="I555" i="5" s="1"/>
  <c r="J555" i="5"/>
  <c r="H598" i="5"/>
  <c r="I598" i="5" s="1"/>
  <c r="J598" i="5"/>
  <c r="K598" i="5" s="1"/>
  <c r="J343" i="5"/>
  <c r="K343" i="5" s="1"/>
  <c r="H564" i="5"/>
  <c r="J564" i="5"/>
  <c r="H341" i="5"/>
  <c r="J341" i="5"/>
  <c r="G360" i="5"/>
  <c r="G540" i="5"/>
  <c r="G256" i="5"/>
  <c r="J333" i="5"/>
  <c r="H333" i="5"/>
  <c r="J448" i="5"/>
  <c r="H448" i="5"/>
  <c r="H535" i="5"/>
  <c r="J535" i="5"/>
  <c r="G618" i="5"/>
  <c r="J484" i="5"/>
  <c r="H484" i="5"/>
  <c r="G615" i="5"/>
  <c r="J441" i="5"/>
  <c r="J442" i="5"/>
  <c r="J357" i="5"/>
  <c r="K357" i="5" s="1"/>
  <c r="H426" i="5"/>
  <c r="J426" i="5"/>
  <c r="K426" i="5" s="1"/>
  <c r="G424" i="5"/>
  <c r="J424" i="5"/>
  <c r="G273" i="5"/>
  <c r="J273" i="5"/>
  <c r="K273" i="5" s="1"/>
  <c r="J320" i="5"/>
  <c r="H320" i="5"/>
  <c r="H277" i="5"/>
  <c r="J277" i="5"/>
  <c r="H618" i="5"/>
  <c r="J618" i="5"/>
  <c r="K618" i="5" s="1"/>
  <c r="J605" i="5"/>
  <c r="J522" i="5"/>
  <c r="K522" i="5" s="1"/>
  <c r="G268" i="5"/>
  <c r="H597" i="5"/>
  <c r="I597" i="5" s="1"/>
  <c r="J597" i="5"/>
  <c r="K597" i="5" s="1"/>
  <c r="J534" i="5"/>
  <c r="H270" i="5"/>
  <c r="J270" i="5"/>
  <c r="J371" i="5"/>
  <c r="G566" i="5"/>
  <c r="G277" i="5"/>
  <c r="J617" i="5"/>
  <c r="K617" i="5" s="1"/>
  <c r="G603" i="5"/>
  <c r="J268" i="5"/>
  <c r="H268" i="5"/>
  <c r="J585" i="5"/>
  <c r="J259" i="5"/>
  <c r="K259" i="5" s="1"/>
  <c r="H422" i="5"/>
  <c r="J422" i="5"/>
  <c r="H548" i="5"/>
  <c r="J548" i="5"/>
  <c r="G580" i="5"/>
  <c r="G354" i="5"/>
  <c r="J280" i="5"/>
  <c r="H280" i="5"/>
  <c r="I522" i="5"/>
  <c r="J570" i="5"/>
  <c r="H570" i="5"/>
  <c r="H603" i="5"/>
  <c r="J603" i="5"/>
  <c r="J567" i="5"/>
  <c r="H567" i="5"/>
  <c r="H568" i="5"/>
  <c r="J568" i="5"/>
  <c r="K568" i="5" s="1"/>
  <c r="H627" i="5"/>
  <c r="J627" i="5"/>
  <c r="H379" i="5"/>
  <c r="I380" i="5" s="1"/>
  <c r="J379" i="5"/>
  <c r="G370" i="5"/>
  <c r="G406" i="5"/>
  <c r="K363" i="5"/>
  <c r="J571" i="5"/>
  <c r="H571" i="5"/>
  <c r="G528" i="5"/>
  <c r="G533" i="5"/>
  <c r="J533" i="5"/>
  <c r="H335" i="5"/>
  <c r="I335" i="5" s="1"/>
  <c r="J335" i="5"/>
  <c r="K335" i="5" s="1"/>
  <c r="H457" i="5"/>
  <c r="J457" i="5"/>
  <c r="K457" i="5" s="1"/>
  <c r="G364" i="5"/>
  <c r="G317" i="5"/>
  <c r="I457" i="5"/>
  <c r="J515" i="5"/>
  <c r="H515" i="5"/>
  <c r="H539" i="5"/>
  <c r="J539" i="5"/>
  <c r="J319" i="5"/>
  <c r="G512" i="5"/>
  <c r="J512" i="5"/>
  <c r="J327" i="5"/>
  <c r="G327" i="5"/>
  <c r="G595" i="5"/>
  <c r="G602" i="5"/>
  <c r="H491" i="5"/>
  <c r="J491" i="5"/>
  <c r="H610" i="5"/>
  <c r="J610" i="5"/>
  <c r="J612" i="5"/>
  <c r="J469" i="5"/>
  <c r="H469" i="5"/>
  <c r="G347" i="5"/>
  <c r="G417" i="5"/>
  <c r="H383" i="5"/>
  <c r="J383" i="5"/>
  <c r="J405" i="5"/>
  <c r="H405" i="5"/>
  <c r="K380" i="5"/>
  <c r="I260" i="5"/>
  <c r="H421" i="5"/>
  <c r="J421" i="5"/>
  <c r="G376" i="5"/>
  <c r="G493" i="5"/>
  <c r="G404" i="5"/>
  <c r="G497" i="5"/>
  <c r="G365" i="5"/>
  <c r="J370" i="5"/>
  <c r="J256" i="5"/>
  <c r="H256" i="5"/>
  <c r="H271" i="5"/>
  <c r="J271" i="5"/>
  <c r="K271" i="5" s="1"/>
  <c r="H334" i="5"/>
  <c r="J334" i="5"/>
  <c r="K334" i="5" s="1"/>
  <c r="J429" i="5"/>
  <c r="H429" i="5"/>
  <c r="G425" i="5"/>
  <c r="J425" i="5"/>
  <c r="G381" i="5"/>
  <c r="I381" i="5" s="1"/>
  <c r="J381" i="5"/>
  <c r="K381" i="5" s="1"/>
  <c r="H584" i="5"/>
  <c r="J584" i="5"/>
  <c r="K584" i="5" s="1"/>
  <c r="J386" i="5"/>
  <c r="H386" i="5"/>
  <c r="G460" i="5"/>
  <c r="J460" i="5"/>
  <c r="J602" i="5"/>
  <c r="K602" i="5" s="1"/>
  <c r="H602" i="5"/>
  <c r="J274" i="5"/>
  <c r="K274" i="5" s="1"/>
  <c r="J537" i="5"/>
  <c r="H537" i="5"/>
  <c r="J406" i="5"/>
  <c r="K406" i="5" s="1"/>
  <c r="J592" i="5"/>
  <c r="K592" i="5" s="1"/>
  <c r="G600" i="5"/>
  <c r="J505" i="5"/>
  <c r="H505" i="5"/>
  <c r="H463" i="5"/>
  <c r="J463" i="5"/>
  <c r="H362" i="5"/>
  <c r="J362" i="5"/>
  <c r="G488" i="5"/>
  <c r="G581" i="5"/>
  <c r="I582" i="5" s="1"/>
  <c r="J440" i="5"/>
  <c r="H440" i="5"/>
  <c r="H594" i="5"/>
  <c r="J594" i="5"/>
  <c r="G345" i="5"/>
  <c r="G297" i="5"/>
  <c r="J297" i="5"/>
  <c r="K297" i="5" s="1"/>
  <c r="J517" i="5"/>
  <c r="H517" i="5"/>
  <c r="I517" i="5" s="1"/>
  <c r="J464" i="5"/>
  <c r="H464" i="5"/>
  <c r="H262" i="5"/>
  <c r="J262" i="5"/>
  <c r="G445" i="5"/>
  <c r="J286" i="5"/>
  <c r="H286" i="5"/>
  <c r="J392" i="5"/>
  <c r="H392" i="5"/>
  <c r="H476" i="5"/>
  <c r="J476" i="5"/>
  <c r="H294" i="5"/>
  <c r="J294" i="5"/>
  <c r="K294" i="5" s="1"/>
  <c r="J525" i="5"/>
  <c r="K525" i="5" s="1"/>
  <c r="G333" i="5"/>
  <c r="J516" i="5"/>
  <c r="K516" i="5" s="1"/>
  <c r="G565" i="5"/>
  <c r="J604" i="5"/>
  <c r="G567" i="5"/>
  <c r="I567" i="5" s="1"/>
  <c r="H492" i="5"/>
  <c r="J492" i="5"/>
  <c r="J417" i="5"/>
  <c r="K417" i="5" s="1"/>
  <c r="H427" i="5"/>
  <c r="J427" i="5"/>
  <c r="H546" i="5"/>
  <c r="J546" i="5"/>
  <c r="G363" i="5"/>
  <c r="I357" i="5"/>
  <c r="J416" i="5"/>
  <c r="K416" i="5" s="1"/>
  <c r="H416" i="5"/>
  <c r="H376" i="5"/>
  <c r="J376" i="5"/>
  <c r="H287" i="5"/>
  <c r="I287" i="5" s="1"/>
  <c r="J287" i="5"/>
  <c r="G524" i="5"/>
  <c r="J524" i="5"/>
  <c r="K524" i="5" s="1"/>
  <c r="G468" i="5"/>
  <c r="I469" i="5" s="1"/>
  <c r="J493" i="5"/>
  <c r="H493" i="5"/>
  <c r="J501" i="5"/>
  <c r="H501" i="5"/>
  <c r="I456" i="5"/>
  <c r="H366" i="5"/>
  <c r="J366" i="5"/>
  <c r="G384" i="5"/>
  <c r="J384" i="5"/>
  <c r="J284" i="5"/>
  <c r="K284" i="5" s="1"/>
  <c r="G308" i="5"/>
  <c r="G557" i="5"/>
  <c r="J565" i="5"/>
  <c r="H565" i="5"/>
  <c r="J260" i="5"/>
  <c r="K260" i="5" s="1"/>
  <c r="J346" i="5"/>
  <c r="J566" i="5"/>
  <c r="K566" i="5" s="1"/>
  <c r="G492" i="5"/>
  <c r="G446" i="5"/>
  <c r="J446" i="5"/>
  <c r="G387" i="5"/>
  <c r="H465" i="5"/>
  <c r="J465" i="5"/>
  <c r="J325" i="5"/>
  <c r="K325" i="5" s="1"/>
  <c r="H325" i="5"/>
  <c r="J347" i="5"/>
  <c r="H347" i="5"/>
  <c r="J355" i="5"/>
  <c r="K377" i="5"/>
  <c r="G538" i="5"/>
  <c r="I538" i="5" s="1"/>
  <c r="J538" i="5"/>
  <c r="K538" i="5" s="1"/>
  <c r="G382" i="5"/>
  <c r="I525" i="5"/>
  <c r="G435" i="5"/>
  <c r="H528" i="5"/>
  <c r="J528" i="5"/>
  <c r="G583" i="5"/>
  <c r="J360" i="5"/>
  <c r="H360" i="5"/>
  <c r="J365" i="5"/>
  <c r="K365" i="5" s="1"/>
  <c r="J404" i="5"/>
  <c r="K404" i="5" s="1"/>
  <c r="G295" i="5"/>
  <c r="H599" i="5"/>
  <c r="J599" i="5"/>
  <c r="K599" i="5" s="1"/>
  <c r="H582" i="5"/>
  <c r="J582" i="5"/>
  <c r="H332" i="5"/>
  <c r="J332" i="5"/>
  <c r="G397" i="5"/>
  <c r="J397" i="5"/>
  <c r="I334" i="5"/>
  <c r="G321" i="5"/>
  <c r="G314" i="5"/>
  <c r="G483" i="5"/>
  <c r="J483" i="5"/>
  <c r="K483" i="5" s="1"/>
  <c r="H569" i="5"/>
  <c r="J569" i="5"/>
  <c r="K569" i="5" s="1"/>
  <c r="H308" i="5"/>
  <c r="J308" i="5"/>
  <c r="G315" i="5"/>
  <c r="G472" i="5"/>
  <c r="J418" i="5"/>
  <c r="J382" i="5"/>
  <c r="K382" i="5" s="1"/>
  <c r="J596" i="5"/>
  <c r="K596" i="5" s="1"/>
  <c r="H400" i="5"/>
  <c r="J400" i="5"/>
  <c r="K400" i="5" s="1"/>
  <c r="G487" i="5"/>
  <c r="J487" i="5"/>
  <c r="K487" i="5" s="1"/>
  <c r="J317" i="5"/>
  <c r="K317" i="5" s="1"/>
  <c r="H301" i="5"/>
  <c r="J301" i="5"/>
  <c r="K301" i="5" s="1"/>
  <c r="J495" i="5"/>
  <c r="H495" i="5"/>
  <c r="G298" i="5"/>
  <c r="H303" i="5"/>
  <c r="J303" i="5"/>
  <c r="G403" i="5"/>
  <c r="J375" i="5"/>
  <c r="H375" i="5"/>
  <c r="H580" i="5"/>
  <c r="J580" i="5"/>
  <c r="G421" i="5"/>
  <c r="J257" i="5"/>
  <c r="H257" i="5"/>
  <c r="H468" i="5"/>
  <c r="J468" i="5"/>
  <c r="K468" i="5" s="1"/>
  <c r="J310" i="5"/>
  <c r="H310" i="5"/>
  <c r="H368" i="5"/>
  <c r="J368" i="5"/>
  <c r="K368" i="5" s="1"/>
  <c r="H359" i="5"/>
  <c r="J359" i="5"/>
  <c r="I484" i="5"/>
  <c r="J504" i="5"/>
  <c r="J354" i="5"/>
  <c r="K354" i="5" s="1"/>
  <c r="H354" i="5"/>
  <c r="G378" i="5"/>
  <c r="H311" i="5"/>
  <c r="J311" i="5"/>
  <c r="K311" i="5" s="1"/>
  <c r="G377" i="5"/>
  <c r="H373" i="5"/>
  <c r="J373" i="5"/>
  <c r="K373" i="5" s="1"/>
  <c r="G496" i="5"/>
  <c r="J496" i="5"/>
  <c r="K496" i="5" s="1"/>
  <c r="J455" i="5"/>
  <c r="H455" i="5"/>
  <c r="H472" i="5"/>
  <c r="J472" i="5"/>
  <c r="G495" i="5"/>
  <c r="J497" i="5"/>
  <c r="K497" i="5" s="1"/>
  <c r="J315" i="5"/>
  <c r="K315" i="5" s="1"/>
  <c r="J600" i="5"/>
  <c r="K600" i="5" s="1"/>
  <c r="K943" i="2"/>
  <c r="G815" i="2"/>
  <c r="J815" i="2"/>
  <c r="K815" i="2" s="1"/>
  <c r="N866" i="2"/>
  <c r="H866" i="2"/>
  <c r="J866" i="2"/>
  <c r="K905" i="2"/>
  <c r="G899" i="2"/>
  <c r="G1047" i="2"/>
  <c r="H851" i="2"/>
  <c r="J851" i="2"/>
  <c r="K851" i="2" s="1"/>
  <c r="N851" i="2"/>
  <c r="K923" i="2"/>
  <c r="H1190" i="2"/>
  <c r="J1190" i="2"/>
  <c r="K1190" i="2" s="1"/>
  <c r="N1190" i="2"/>
  <c r="G1128" i="2"/>
  <c r="H1155" i="2"/>
  <c r="J1155" i="2"/>
  <c r="K1155" i="2" s="1"/>
  <c r="N1155" i="2"/>
  <c r="J1125" i="2"/>
  <c r="N1125" i="2"/>
  <c r="H1125" i="2"/>
  <c r="I1125" i="2" s="1"/>
  <c r="G1152" i="2"/>
  <c r="J1202" i="2"/>
  <c r="K1202" i="2" s="1"/>
  <c r="G1202" i="2"/>
  <c r="H1025" i="2"/>
  <c r="I1026" i="2" s="1"/>
  <c r="J1025" i="2"/>
  <c r="N1025" i="2"/>
  <c r="H1208" i="2"/>
  <c r="J1208" i="2"/>
  <c r="K1208" i="2" s="1"/>
  <c r="N1208" i="2"/>
  <c r="H1244" i="2"/>
  <c r="J1244" i="2"/>
  <c r="N1244" i="2"/>
  <c r="G1135" i="2"/>
  <c r="H826" i="2"/>
  <c r="J826" i="2"/>
  <c r="N826" i="2"/>
  <c r="J1232" i="2"/>
  <c r="H1232" i="2"/>
  <c r="N1232" i="2"/>
  <c r="H934" i="2"/>
  <c r="J934" i="2"/>
  <c r="N934" i="2"/>
  <c r="J867" i="2"/>
  <c r="J899" i="2"/>
  <c r="K899" i="2" s="1"/>
  <c r="H974" i="2"/>
  <c r="J974" i="2"/>
  <c r="N974" i="2"/>
  <c r="G1151" i="2"/>
  <c r="I1245" i="2"/>
  <c r="G1155" i="2"/>
  <c r="J1250" i="2"/>
  <c r="K1250" i="2" s="1"/>
  <c r="J1181" i="2"/>
  <c r="J1240" i="2"/>
  <c r="N1240" i="2"/>
  <c r="H1240" i="2"/>
  <c r="G1069" i="2"/>
  <c r="G1050" i="2"/>
  <c r="J1235" i="2"/>
  <c r="G851" i="2"/>
  <c r="G814" i="2"/>
  <c r="H1148" i="2"/>
  <c r="J1148" i="2"/>
  <c r="N1148" i="2"/>
  <c r="H1086" i="2"/>
  <c r="N1086" i="2"/>
  <c r="J1086" i="2"/>
  <c r="J1183" i="2"/>
  <c r="N1183" i="2"/>
  <c r="H1183" i="2"/>
  <c r="I1184" i="2" s="1"/>
  <c r="N830" i="2"/>
  <c r="H830" i="2"/>
  <c r="J830" i="2"/>
  <c r="G798" i="2"/>
  <c r="H848" i="2"/>
  <c r="J848" i="2"/>
  <c r="K848" i="2" s="1"/>
  <c r="N848" i="2"/>
  <c r="J994" i="2"/>
  <c r="N994" i="2"/>
  <c r="H994" i="2"/>
  <c r="G1001" i="2"/>
  <c r="G997" i="2"/>
  <c r="J997" i="2"/>
  <c r="N910" i="2"/>
  <c r="J910" i="2"/>
  <c r="H910" i="2"/>
  <c r="I911" i="2" s="1"/>
  <c r="J1105" i="2"/>
  <c r="H1105" i="2"/>
  <c r="N1105" i="2"/>
  <c r="H1079" i="2"/>
  <c r="J1079" i="2"/>
  <c r="N1079" i="2"/>
  <c r="H1151" i="2"/>
  <c r="J1151" i="2"/>
  <c r="N1151" i="2"/>
  <c r="G822" i="2"/>
  <c r="J1000" i="2"/>
  <c r="N1000" i="2"/>
  <c r="H1000" i="2"/>
  <c r="J969" i="2"/>
  <c r="J1258" i="2"/>
  <c r="H1258" i="2"/>
  <c r="N1258" i="2"/>
  <c r="H1095" i="2"/>
  <c r="J1095" i="2"/>
  <c r="N1095" i="2"/>
  <c r="J1223" i="2"/>
  <c r="K1223" i="2" s="1"/>
  <c r="N1223" i="2"/>
  <c r="H1223" i="2"/>
  <c r="K1032" i="2"/>
  <c r="H1179" i="2"/>
  <c r="N1179" i="2"/>
  <c r="J1179" i="2"/>
  <c r="N1207" i="2"/>
  <c r="J1207" i="2"/>
  <c r="H1207" i="2"/>
  <c r="G842" i="2"/>
  <c r="J842" i="2"/>
  <c r="G897" i="2"/>
  <c r="G792" i="2"/>
  <c r="J1073" i="2"/>
  <c r="H1073" i="2"/>
  <c r="N1073" i="2"/>
  <c r="J1201" i="2"/>
  <c r="N1201" i="2"/>
  <c r="H1201" i="2"/>
  <c r="I1201" i="2" s="1"/>
  <c r="H1134" i="2"/>
  <c r="J1134" i="2"/>
  <c r="K1134" i="2" s="1"/>
  <c r="N1134" i="2"/>
  <c r="H1103" i="2"/>
  <c r="N1103" i="2"/>
  <c r="J1103" i="2"/>
  <c r="J1177" i="2"/>
  <c r="K1177" i="2" s="1"/>
  <c r="H921" i="2"/>
  <c r="N921" i="2"/>
  <c r="J921" i="2"/>
  <c r="J1023" i="2"/>
  <c r="H1023" i="2"/>
  <c r="I1024" i="2" s="1"/>
  <c r="N1023" i="2"/>
  <c r="G845" i="2"/>
  <c r="I845" i="2" s="1"/>
  <c r="K838" i="2"/>
  <c r="H1091" i="2"/>
  <c r="J1091" i="2"/>
  <c r="N1091" i="2"/>
  <c r="G881" i="2"/>
  <c r="J881" i="2"/>
  <c r="K881" i="2" s="1"/>
  <c r="G1115" i="2"/>
  <c r="J1021" i="2"/>
  <c r="K1021" i="2" s="1"/>
  <c r="H1021" i="2"/>
  <c r="N1021" i="2"/>
  <c r="H908" i="2"/>
  <c r="J908" i="2"/>
  <c r="K908" i="2" s="1"/>
  <c r="N908" i="2"/>
  <c r="J953" i="2"/>
  <c r="G797" i="2"/>
  <c r="I797" i="2" s="1"/>
  <c r="J875" i="2"/>
  <c r="H875" i="2"/>
  <c r="I875" i="2" s="1"/>
  <c r="N875" i="2"/>
  <c r="H936" i="2"/>
  <c r="N936" i="2"/>
  <c r="J936" i="2"/>
  <c r="G816" i="2"/>
  <c r="G862" i="2"/>
  <c r="G869" i="2"/>
  <c r="G1013" i="2"/>
  <c r="N956" i="2"/>
  <c r="H956" i="2"/>
  <c r="J956" i="2"/>
  <c r="G1111" i="2"/>
  <c r="G840" i="2"/>
  <c r="G971" i="2"/>
  <c r="J971" i="2"/>
  <c r="G863" i="2"/>
  <c r="J863" i="2"/>
  <c r="J869" i="2"/>
  <c r="H869" i="2"/>
  <c r="N869" i="2"/>
  <c r="J1013" i="2"/>
  <c r="N1013" i="2"/>
  <c r="H1013" i="2"/>
  <c r="J977" i="2"/>
  <c r="G1143" i="2"/>
  <c r="I1143" i="2" s="1"/>
  <c r="J1192" i="2"/>
  <c r="N1192" i="2"/>
  <c r="H1192" i="2"/>
  <c r="J1236" i="2"/>
  <c r="N1236" i="2"/>
  <c r="H1236" i="2"/>
  <c r="J1067" i="2"/>
  <c r="K1067" i="2" s="1"/>
  <c r="G1214" i="2"/>
  <c r="G880" i="2"/>
  <c r="G921" i="2"/>
  <c r="H992" i="2"/>
  <c r="J992" i="2"/>
  <c r="N992" i="2"/>
  <c r="K1001" i="2"/>
  <c r="H1028" i="2"/>
  <c r="N1028" i="2"/>
  <c r="J1028" i="2"/>
  <c r="K1028" i="2" s="1"/>
  <c r="J808" i="2"/>
  <c r="K808" i="2" s="1"/>
  <c r="J932" i="2"/>
  <c r="K823" i="2"/>
  <c r="G795" i="2"/>
  <c r="I796" i="2" s="1"/>
  <c r="G1134" i="2"/>
  <c r="G1076" i="2"/>
  <c r="N1213" i="2"/>
  <c r="H1213" i="2"/>
  <c r="J1213" i="2"/>
  <c r="G1043" i="2"/>
  <c r="K1143" i="2"/>
  <c r="J1138" i="2"/>
  <c r="K1138" i="2" s="1"/>
  <c r="I1175" i="2"/>
  <c r="J1211" i="2"/>
  <c r="K1211" i="2" s="1"/>
  <c r="N1211" i="2"/>
  <c r="H1211" i="2"/>
  <c r="G943" i="2"/>
  <c r="G1011" i="2"/>
  <c r="J1011" i="2"/>
  <c r="K1011" i="2" s="1"/>
  <c r="G1064" i="2"/>
  <c r="J1090" i="2"/>
  <c r="N1090" i="2"/>
  <c r="H1090" i="2"/>
  <c r="J1129" i="2"/>
  <c r="N1129" i="2"/>
  <c r="H1129" i="2"/>
  <c r="K1203" i="2"/>
  <c r="H1239" i="2"/>
  <c r="J1239" i="2"/>
  <c r="K1239" i="2" s="1"/>
  <c r="N1239" i="2"/>
  <c r="J1043" i="2"/>
  <c r="K1043" i="2" s="1"/>
  <c r="H1043" i="2"/>
  <c r="N1043" i="2"/>
  <c r="G1176" i="2"/>
  <c r="J1182" i="2"/>
  <c r="J1168" i="2"/>
  <c r="J880" i="2"/>
  <c r="K880" i="2" s="1"/>
  <c r="J1039" i="2"/>
  <c r="N1039" i="2"/>
  <c r="H1039" i="2"/>
  <c r="H907" i="2"/>
  <c r="J907" i="2"/>
  <c r="N907" i="2"/>
  <c r="J1064" i="2"/>
  <c r="N1064" i="2"/>
  <c r="H1064" i="2"/>
  <c r="G959" i="2"/>
  <c r="I1014" i="2"/>
  <c r="G1203" i="2"/>
  <c r="G1220" i="2"/>
  <c r="H1238" i="2"/>
  <c r="N1238" i="2"/>
  <c r="J1238" i="2"/>
  <c r="K1238" i="2" s="1"/>
  <c r="J1176" i="2"/>
  <c r="K1176" i="2" s="1"/>
  <c r="N1176" i="2"/>
  <c r="H1176" i="2"/>
  <c r="J1115" i="2"/>
  <c r="K1115" i="2" s="1"/>
  <c r="G832" i="2"/>
  <c r="I918" i="2"/>
  <c r="H1144" i="2"/>
  <c r="N1144" i="2"/>
  <c r="J1144" i="2"/>
  <c r="K1144" i="2" s="1"/>
  <c r="J1010" i="2"/>
  <c r="N1010" i="2"/>
  <c r="H1010" i="2"/>
  <c r="I1010" i="2" s="1"/>
  <c r="N1104" i="2"/>
  <c r="H1104" i="2"/>
  <c r="I1104" i="2" s="1"/>
  <c r="J1104" i="2"/>
  <c r="H1220" i="2"/>
  <c r="J1220" i="2"/>
  <c r="N1220" i="2"/>
  <c r="N1248" i="2"/>
  <c r="J1248" i="2"/>
  <c r="H1248" i="2"/>
  <c r="J1111" i="2"/>
  <c r="K1111" i="2" s="1"/>
  <c r="G1205" i="2"/>
  <c r="J1205" i="2"/>
  <c r="H803" i="2"/>
  <c r="J803" i="2"/>
  <c r="N803" i="2"/>
  <c r="G1107" i="2"/>
  <c r="H1041" i="2"/>
  <c r="N1041" i="2"/>
  <c r="J1041" i="2"/>
  <c r="J1186" i="2"/>
  <c r="N1186" i="2"/>
  <c r="H1186" i="2"/>
  <c r="H960" i="2"/>
  <c r="J960" i="2"/>
  <c r="N960" i="2"/>
  <c r="N1050" i="2"/>
  <c r="H1050" i="2"/>
  <c r="J1050" i="2"/>
  <c r="K1050" i="2" s="1"/>
  <c r="I870" i="2"/>
  <c r="H916" i="2"/>
  <c r="J916" i="2"/>
  <c r="N916" i="2"/>
  <c r="J955" i="2"/>
  <c r="N955" i="2"/>
  <c r="H955" i="2"/>
  <c r="J1053" i="2"/>
  <c r="H1053" i="2"/>
  <c r="N1053" i="2"/>
  <c r="J796" i="2"/>
  <c r="K796" i="2" s="1"/>
  <c r="J947" i="2"/>
  <c r="G947" i="2"/>
  <c r="G905" i="2"/>
  <c r="G858" i="2"/>
  <c r="H918" i="2"/>
  <c r="J918" i="2"/>
  <c r="N918" i="2"/>
  <c r="I802" i="2"/>
  <c r="G958" i="2"/>
  <c r="H1040" i="2"/>
  <c r="I1040" i="2" s="1"/>
  <c r="N1040" i="2"/>
  <c r="J1040" i="2"/>
  <c r="J988" i="2"/>
  <c r="H988" i="2"/>
  <c r="N988" i="2"/>
  <c r="G1077" i="2"/>
  <c r="G907" i="2"/>
  <c r="J1049" i="2"/>
  <c r="H1049" i="2"/>
  <c r="N1049" i="2"/>
  <c r="J1014" i="2"/>
  <c r="K1014" i="2" s="1"/>
  <c r="H1174" i="2"/>
  <c r="J1174" i="2"/>
  <c r="N1174" i="2"/>
  <c r="J1199" i="2"/>
  <c r="K1199" i="2" s="1"/>
  <c r="N1246" i="2"/>
  <c r="H1246" i="2"/>
  <c r="I1246" i="2" s="1"/>
  <c r="J1246" i="2"/>
  <c r="H1147" i="2"/>
  <c r="J1147" i="2"/>
  <c r="N1147" i="2"/>
  <c r="J860" i="2"/>
  <c r="H860" i="2"/>
  <c r="N860" i="2"/>
  <c r="N1037" i="2"/>
  <c r="H1037" i="2"/>
  <c r="J1037" i="2"/>
  <c r="H1096" i="2"/>
  <c r="I1097" i="2" s="1"/>
  <c r="J1096" i="2"/>
  <c r="N1096" i="2"/>
  <c r="G1188" i="2"/>
  <c r="J1188" i="2"/>
  <c r="H802" i="2"/>
  <c r="N802" i="2"/>
  <c r="J802" i="2"/>
  <c r="J843" i="2"/>
  <c r="J965" i="2"/>
  <c r="N965" i="2"/>
  <c r="H965" i="2"/>
  <c r="H912" i="2"/>
  <c r="I912" i="2" s="1"/>
  <c r="J912" i="2"/>
  <c r="N912" i="2"/>
  <c r="H1071" i="2"/>
  <c r="J1071" i="2"/>
  <c r="N1071" i="2"/>
  <c r="G967" i="2"/>
  <c r="H945" i="2"/>
  <c r="N945" i="2"/>
  <c r="J945" i="2"/>
  <c r="H858" i="2"/>
  <c r="J858" i="2"/>
  <c r="N858" i="2"/>
  <c r="H944" i="2"/>
  <c r="I944" i="2" s="1"/>
  <c r="N944" i="2"/>
  <c r="J944" i="2"/>
  <c r="H958" i="2"/>
  <c r="N958" i="2"/>
  <c r="J958" i="2"/>
  <c r="H1026" i="2"/>
  <c r="J1026" i="2"/>
  <c r="N1026" i="2"/>
  <c r="J1047" i="2"/>
  <c r="K1047" i="2" s="1"/>
  <c r="J887" i="2"/>
  <c r="H1099" i="2"/>
  <c r="J1099" i="2"/>
  <c r="N1099" i="2"/>
  <c r="N1173" i="2"/>
  <c r="H1173" i="2"/>
  <c r="J1173" i="2"/>
  <c r="K1173" i="2" s="1"/>
  <c r="J1212" i="2"/>
  <c r="H1215" i="2"/>
  <c r="N1215" i="2"/>
  <c r="J1215" i="2"/>
  <c r="H1120" i="2"/>
  <c r="J1120" i="2"/>
  <c r="K1120" i="2" s="1"/>
  <c r="N1120" i="2"/>
  <c r="N1124" i="2"/>
  <c r="H1124" i="2"/>
  <c r="J1124" i="2"/>
  <c r="K1124" i="2" s="1"/>
  <c r="H872" i="2"/>
  <c r="J872" i="2"/>
  <c r="N872" i="2"/>
  <c r="N963" i="2"/>
  <c r="H963" i="2"/>
  <c r="I963" i="2" s="1"/>
  <c r="J963" i="2"/>
  <c r="K963" i="2" s="1"/>
  <c r="N1072" i="2"/>
  <c r="H1072" i="2"/>
  <c r="I1072" i="2" s="1"/>
  <c r="J1072" i="2"/>
  <c r="H919" i="2"/>
  <c r="J919" i="2"/>
  <c r="N919" i="2"/>
  <c r="H827" i="2"/>
  <c r="J827" i="2"/>
  <c r="N827" i="2"/>
  <c r="N1226" i="2"/>
  <c r="J1226" i="2"/>
  <c r="K1226" i="2" s="1"/>
  <c r="H1226" i="2"/>
  <c r="H846" i="2"/>
  <c r="J846" i="2"/>
  <c r="N846" i="2"/>
  <c r="H1200" i="2"/>
  <c r="I1200" i="2" s="1"/>
  <c r="J1200" i="2"/>
  <c r="K1200" i="2" s="1"/>
  <c r="N1200" i="2"/>
  <c r="N896" i="2"/>
  <c r="H896" i="2"/>
  <c r="I896" i="2" s="1"/>
  <c r="J896" i="2"/>
  <c r="G838" i="2"/>
  <c r="J1069" i="2"/>
  <c r="K1069" i="2" s="1"/>
  <c r="H897" i="2"/>
  <c r="N897" i="2"/>
  <c r="J897" i="2"/>
  <c r="K897" i="2" s="1"/>
  <c r="H1131" i="2"/>
  <c r="I1132" i="2" s="1"/>
  <c r="N1131" i="2"/>
  <c r="J1131" i="2"/>
  <c r="K1131" i="2" s="1"/>
  <c r="H1135" i="2"/>
  <c r="J1135" i="2"/>
  <c r="N1135" i="2"/>
  <c r="K1242" i="2"/>
  <c r="H942" i="2"/>
  <c r="J942" i="2"/>
  <c r="K942" i="2" s="1"/>
  <c r="N942" i="2"/>
  <c r="G825" i="2"/>
  <c r="G1029" i="2"/>
  <c r="J1029" i="2"/>
  <c r="G929" i="2"/>
  <c r="G935" i="2"/>
  <c r="G923" i="2"/>
  <c r="J814" i="2"/>
  <c r="K814" i="2" s="1"/>
  <c r="J862" i="2"/>
  <c r="H1100" i="2"/>
  <c r="I1100" i="2" s="1"/>
  <c r="N1100" i="2"/>
  <c r="J1100" i="2"/>
  <c r="H1084" i="2"/>
  <c r="J1084" i="2"/>
  <c r="N1084" i="2"/>
  <c r="G950" i="2"/>
  <c r="N1247" i="2"/>
  <c r="J1247" i="2"/>
  <c r="H1247" i="2"/>
  <c r="G1101" i="2"/>
  <c r="J1055" i="2"/>
  <c r="H1055" i="2"/>
  <c r="I1056" i="2" s="1"/>
  <c r="N1055" i="2"/>
  <c r="G1052" i="2"/>
  <c r="G1194" i="2"/>
  <c r="J1194" i="2"/>
  <c r="G1085" i="2"/>
  <c r="J1152" i="2"/>
  <c r="K1152" i="2" s="1"/>
  <c r="J1101" i="2"/>
  <c r="K1101" i="2" s="1"/>
  <c r="H1107" i="2"/>
  <c r="J1107" i="2"/>
  <c r="K1107" i="2" s="1"/>
  <c r="N1107" i="2"/>
  <c r="H979" i="2"/>
  <c r="I979" i="2" s="1"/>
  <c r="N979" i="2"/>
  <c r="J979" i="2"/>
  <c r="J959" i="2"/>
  <c r="H959" i="2"/>
  <c r="N959" i="2"/>
  <c r="K1128" i="2"/>
  <c r="I1208" i="2"/>
  <c r="J948" i="2"/>
  <c r="H948" i="2"/>
  <c r="N948" i="2"/>
  <c r="G794" i="2"/>
  <c r="G818" i="2"/>
  <c r="J818" i="2"/>
  <c r="G823" i="2"/>
  <c r="J946" i="2"/>
  <c r="H946" i="2"/>
  <c r="N946" i="2"/>
  <c r="J911" i="2"/>
  <c r="K911" i="2" s="1"/>
  <c r="N935" i="2"/>
  <c r="H935" i="2"/>
  <c r="J935" i="2"/>
  <c r="J1093" i="2"/>
  <c r="N1093" i="2"/>
  <c r="G1127" i="2"/>
  <c r="G1242" i="2"/>
  <c r="N1231" i="2"/>
  <c r="J1231" i="2"/>
  <c r="K1231" i="2" s="1"/>
  <c r="H1231" i="2"/>
  <c r="G1247" i="2"/>
  <c r="J795" i="2"/>
  <c r="K795" i="2" s="1"/>
  <c r="H1052" i="2"/>
  <c r="N1052" i="2"/>
  <c r="J1052" i="2"/>
  <c r="H1085" i="2"/>
  <c r="J1085" i="2"/>
  <c r="N1085" i="2"/>
  <c r="N1241" i="2"/>
  <c r="H1241" i="2"/>
  <c r="J1241" i="2"/>
  <c r="H1127" i="2"/>
  <c r="J1127" i="2"/>
  <c r="N1127" i="2"/>
  <c r="J845" i="2"/>
  <c r="N845" i="2"/>
  <c r="H845" i="2"/>
  <c r="J832" i="2"/>
  <c r="N832" i="2"/>
  <c r="H832" i="2"/>
  <c r="G965" i="2"/>
  <c r="H984" i="2"/>
  <c r="J984" i="2"/>
  <c r="K984" i="2" s="1"/>
  <c r="N984" i="2"/>
  <c r="G1217" i="2"/>
  <c r="J1217" i="2"/>
  <c r="J1214" i="2"/>
  <c r="J1195" i="2"/>
  <c r="N1195" i="2"/>
  <c r="H1195" i="2"/>
  <c r="J812" i="2"/>
  <c r="N812" i="2"/>
  <c r="K825" i="2"/>
  <c r="H1136" i="2"/>
  <c r="N1136" i="2"/>
  <c r="J1136" i="2"/>
  <c r="G1025" i="2"/>
  <c r="H870" i="2"/>
  <c r="N870" i="2"/>
  <c r="J870" i="2"/>
  <c r="K870" i="2" s="1"/>
  <c r="I817" i="2"/>
  <c r="J792" i="2"/>
  <c r="K792" i="2" s="1"/>
  <c r="G926" i="2"/>
  <c r="J926" i="2"/>
  <c r="H810" i="2"/>
  <c r="J810" i="2"/>
  <c r="K810" i="2" s="1"/>
  <c r="N810" i="2"/>
  <c r="G803" i="2"/>
  <c r="J967" i="2"/>
  <c r="J964" i="2"/>
  <c r="N964" i="2"/>
  <c r="H964" i="2"/>
  <c r="I964" i="2" s="1"/>
  <c r="G827" i="2"/>
  <c r="G1005" i="2"/>
  <c r="G1165" i="2"/>
  <c r="J1165" i="2"/>
  <c r="J1106" i="2"/>
  <c r="G773" i="2"/>
  <c r="N789" i="2"/>
  <c r="J789" i="2"/>
  <c r="H789" i="2"/>
  <c r="J773" i="2"/>
  <c r="K773" i="2" s="1"/>
  <c r="J775" i="2"/>
  <c r="K775" i="2" s="1"/>
  <c r="N765" i="2"/>
  <c r="H765" i="2"/>
  <c r="J765" i="2"/>
  <c r="K765" i="2" s="1"/>
  <c r="H771" i="2"/>
  <c r="J771" i="2"/>
  <c r="N771" i="2"/>
  <c r="J791" i="2"/>
  <c r="K791" i="2" s="1"/>
  <c r="N791" i="2"/>
  <c r="H791" i="2"/>
  <c r="J762" i="2"/>
  <c r="K762" i="2" s="1"/>
  <c r="J790" i="2"/>
  <c r="N787" i="2"/>
  <c r="H787" i="2"/>
  <c r="J787" i="2"/>
  <c r="J764" i="2"/>
  <c r="H781" i="2"/>
  <c r="J781" i="2"/>
  <c r="N781" i="2"/>
  <c r="J785" i="2"/>
  <c r="G786" i="2"/>
  <c r="H784" i="2"/>
  <c r="J784" i="2"/>
  <c r="N784" i="2"/>
  <c r="J772" i="2"/>
  <c r="N776" i="2"/>
  <c r="H776" i="2"/>
  <c r="I776" i="2" s="1"/>
  <c r="J776" i="2"/>
  <c r="K776" i="2" s="1"/>
  <c r="G769" i="2"/>
  <c r="J786" i="2"/>
  <c r="K786" i="2" s="1"/>
  <c r="J782" i="2"/>
  <c r="H782" i="2"/>
  <c r="N782" i="2"/>
  <c r="N757" i="2"/>
  <c r="H757" i="2"/>
  <c r="I758" i="2" s="1"/>
  <c r="J757" i="2"/>
  <c r="H761" i="2"/>
  <c r="J761" i="2"/>
  <c r="N761" i="2"/>
  <c r="I756" i="2"/>
  <c r="J756" i="2"/>
  <c r="K756" i="2" s="1"/>
  <c r="I757" i="2"/>
  <c r="J758" i="2"/>
  <c r="K758" i="2" s="1"/>
  <c r="J760" i="2"/>
  <c r="K760" i="2" s="1"/>
  <c r="G761" i="2"/>
  <c r="J752" i="2"/>
  <c r="K752" i="2" s="1"/>
  <c r="J753" i="2"/>
  <c r="F224" i="5"/>
  <c r="E205" i="5"/>
  <c r="D244" i="5"/>
  <c r="J244" i="5" s="1"/>
  <c r="C205" i="5"/>
  <c r="H205" i="5" s="1"/>
  <c r="F620" i="2"/>
  <c r="D620" i="2"/>
  <c r="G620" i="2" s="1"/>
  <c r="C620" i="2"/>
  <c r="C705" i="2"/>
  <c r="H705" i="2" s="1"/>
  <c r="C744" i="2"/>
  <c r="J744" i="2" s="1"/>
  <c r="E705" i="2"/>
  <c r="E744" i="2"/>
  <c r="G744" i="2" s="1"/>
  <c r="F744" i="2"/>
  <c r="D727" i="2"/>
  <c r="J727" i="2" s="1"/>
  <c r="E750" i="2"/>
  <c r="C141" i="5"/>
  <c r="D191" i="5"/>
  <c r="G191" i="5" s="1"/>
  <c r="F141" i="5"/>
  <c r="F191" i="5"/>
  <c r="D141" i="5"/>
  <c r="C191" i="5"/>
  <c r="E574" i="2"/>
  <c r="G574" i="2" s="1"/>
  <c r="C615" i="2"/>
  <c r="D615" i="2"/>
  <c r="G615" i="2" s="1"/>
  <c r="D668" i="2"/>
  <c r="C668" i="2"/>
  <c r="H668" i="2" s="1"/>
  <c r="E668" i="2"/>
  <c r="F696" i="2"/>
  <c r="C696" i="2"/>
  <c r="D696" i="2"/>
  <c r="G696" i="2" s="1"/>
  <c r="F674" i="2"/>
  <c r="D705" i="2"/>
  <c r="E674" i="2"/>
  <c r="G674" i="2" s="1"/>
  <c r="C674" i="2"/>
  <c r="J674" i="2" s="1"/>
  <c r="D689" i="2"/>
  <c r="D750" i="2"/>
  <c r="C750" i="2"/>
  <c r="H750" i="2" s="1"/>
  <c r="F678" i="2"/>
  <c r="D205" i="5"/>
  <c r="C689" i="2"/>
  <c r="H689" i="2" s="1"/>
  <c r="E411" i="2"/>
  <c r="F661" i="2"/>
  <c r="D411" i="2"/>
  <c r="E689" i="2"/>
  <c r="E727" i="2"/>
  <c r="F223" i="5"/>
  <c r="F727" i="2"/>
  <c r="H727" i="2" s="1"/>
  <c r="C466" i="2"/>
  <c r="D622" i="2"/>
  <c r="J622" i="2" s="1"/>
  <c r="C739" i="2"/>
  <c r="J739" i="2" s="1"/>
  <c r="D735" i="2"/>
  <c r="J735" i="2" s="1"/>
  <c r="E193" i="5"/>
  <c r="G193" i="5" s="1"/>
  <c r="F686" i="2"/>
  <c r="H686" i="2" s="1"/>
  <c r="C193" i="5"/>
  <c r="F695" i="2"/>
  <c r="H695" i="2" s="1"/>
  <c r="F193" i="5"/>
  <c r="D138" i="5"/>
  <c r="J138" i="5" s="1"/>
  <c r="E667" i="2"/>
  <c r="D542" i="2"/>
  <c r="D509" i="2"/>
  <c r="J509" i="2" s="1"/>
  <c r="C542" i="2"/>
  <c r="E509" i="2"/>
  <c r="F534" i="2"/>
  <c r="F573" i="2"/>
  <c r="F543" i="2"/>
  <c r="D534" i="2"/>
  <c r="G534" i="2" s="1"/>
  <c r="D573" i="2"/>
  <c r="G573" i="2" s="1"/>
  <c r="C573" i="2"/>
  <c r="F622" i="2"/>
  <c r="H622" i="2" s="1"/>
  <c r="E622" i="2"/>
  <c r="D681" i="2"/>
  <c r="J681" i="2" s="1"/>
  <c r="D667" i="2"/>
  <c r="C667" i="2"/>
  <c r="E371" i="2"/>
  <c r="E382" i="2"/>
  <c r="G382" i="2" s="1"/>
  <c r="F373" i="2"/>
  <c r="E377" i="2"/>
  <c r="G377" i="2" s="1"/>
  <c r="F371" i="2"/>
  <c r="H371" i="2" s="1"/>
  <c r="C485" i="2"/>
  <c r="H485" i="2" s="1"/>
  <c r="D610" i="2"/>
  <c r="J610" i="2" s="1"/>
  <c r="D678" i="2"/>
  <c r="G678" i="2" s="1"/>
  <c r="F681" i="2"/>
  <c r="H681" i="2" s="1"/>
  <c r="E681" i="2"/>
  <c r="D387" i="2"/>
  <c r="J387" i="2" s="1"/>
  <c r="D717" i="2"/>
  <c r="J717" i="2" s="1"/>
  <c r="C678" i="2"/>
  <c r="E418" i="2"/>
  <c r="D418" i="2"/>
  <c r="J418" i="2" s="1"/>
  <c r="E542" i="2"/>
  <c r="F418" i="2"/>
  <c r="H418" i="2" s="1"/>
  <c r="F578" i="2"/>
  <c r="H578" i="2" s="1"/>
  <c r="F189" i="5"/>
  <c r="F743" i="2"/>
  <c r="H743" i="2" s="1"/>
  <c r="C363" i="2"/>
  <c r="H363" i="2" s="1"/>
  <c r="E363" i="2"/>
  <c r="E610" i="2"/>
  <c r="D670" i="2"/>
  <c r="J670" i="2" s="1"/>
  <c r="E661" i="2"/>
  <c r="G661" i="2" s="1"/>
  <c r="C189" i="5"/>
  <c r="D189" i="5"/>
  <c r="G189" i="5" s="1"/>
  <c r="D363" i="2"/>
  <c r="C367" i="2"/>
  <c r="J367" i="2" s="1"/>
  <c r="E233" i="5"/>
  <c r="G233" i="5" s="1"/>
  <c r="F610" i="2"/>
  <c r="H610" i="2" s="1"/>
  <c r="E670" i="2"/>
  <c r="C661" i="2"/>
  <c r="J661" i="2" s="1"/>
  <c r="D371" i="2"/>
  <c r="D370" i="2"/>
  <c r="E465" i="2"/>
  <c r="E663" i="2"/>
  <c r="C186" i="5"/>
  <c r="F635" i="2"/>
  <c r="H635" i="2" s="1"/>
  <c r="F186" i="5"/>
  <c r="E635" i="2"/>
  <c r="D635" i="2"/>
  <c r="C437" i="2"/>
  <c r="H437" i="2" s="1"/>
  <c r="C677" i="2"/>
  <c r="C230" i="5"/>
  <c r="D715" i="2"/>
  <c r="G715" i="2" s="1"/>
  <c r="D183" i="5"/>
  <c r="G183" i="5" s="1"/>
  <c r="D663" i="2"/>
  <c r="E186" i="5"/>
  <c r="G186" i="5" s="1"/>
  <c r="E735" i="2"/>
  <c r="F666" i="2"/>
  <c r="F244" i="5"/>
  <c r="H244" i="5" s="1"/>
  <c r="C666" i="2"/>
  <c r="J666" i="2" s="1"/>
  <c r="F200" i="5"/>
  <c r="F594" i="2"/>
  <c r="H594" i="2" s="1"/>
  <c r="E200" i="5"/>
  <c r="G200" i="5" s="1"/>
  <c r="F456" i="2"/>
  <c r="H456" i="2" s="1"/>
  <c r="D230" i="5"/>
  <c r="G230" i="5" s="1"/>
  <c r="C720" i="2"/>
  <c r="D659" i="2"/>
  <c r="E673" i="2"/>
  <c r="C659" i="2"/>
  <c r="H659" i="2" s="1"/>
  <c r="E281" i="2"/>
  <c r="G281" i="2" s="1"/>
  <c r="F173" i="5"/>
  <c r="C647" i="2"/>
  <c r="J647" i="2" s="1"/>
  <c r="F281" i="2"/>
  <c r="E173" i="5"/>
  <c r="G173" i="5" s="1"/>
  <c r="C281" i="2"/>
  <c r="J281" i="2" s="1"/>
  <c r="C173" i="5"/>
  <c r="E319" i="2"/>
  <c r="G319" i="2" s="1"/>
  <c r="F551" i="2"/>
  <c r="E684" i="2"/>
  <c r="G684" i="2" s="1"/>
  <c r="F647" i="2"/>
  <c r="D317" i="2"/>
  <c r="J317" i="2" s="1"/>
  <c r="F559" i="2"/>
  <c r="D697" i="2"/>
  <c r="G697" i="2" s="1"/>
  <c r="D354" i="2"/>
  <c r="F509" i="2"/>
  <c r="H509" i="2" s="1"/>
  <c r="D708" i="2"/>
  <c r="E220" i="5"/>
  <c r="D351" i="2"/>
  <c r="E351" i="2"/>
  <c r="C351" i="2"/>
  <c r="H351" i="2" s="1"/>
  <c r="E708" i="2"/>
  <c r="D695" i="2"/>
  <c r="J695" i="2" s="1"/>
  <c r="C198" i="5"/>
  <c r="F361" i="2"/>
  <c r="C534" i="2"/>
  <c r="D712" i="2"/>
  <c r="G712" i="2" s="1"/>
  <c r="F653" i="2"/>
  <c r="F198" i="5"/>
  <c r="C653" i="2"/>
  <c r="J653" i="2" s="1"/>
  <c r="E228" i="5"/>
  <c r="E679" i="2"/>
  <c r="G679" i="2" s="1"/>
  <c r="E682" i="2"/>
  <c r="F357" i="2"/>
  <c r="E690" i="2"/>
  <c r="D357" i="2"/>
  <c r="G357" i="2" s="1"/>
  <c r="E578" i="2"/>
  <c r="E241" i="5"/>
  <c r="C200" i="5"/>
  <c r="C409" i="2"/>
  <c r="J409" i="2" s="1"/>
  <c r="E743" i="2"/>
  <c r="F721" i="2"/>
  <c r="H721" i="2" s="1"/>
  <c r="F245" i="5"/>
  <c r="F409" i="2"/>
  <c r="E751" i="2"/>
  <c r="C728" i="2"/>
  <c r="J728" i="2" s="1"/>
  <c r="F663" i="2"/>
  <c r="H663" i="2" s="1"/>
  <c r="E250" i="5"/>
  <c r="D314" i="2"/>
  <c r="G314" i="2" s="1"/>
  <c r="E381" i="2"/>
  <c r="G381" i="2" s="1"/>
  <c r="F728" i="2"/>
  <c r="F213" i="5"/>
  <c r="C328" i="2"/>
  <c r="C472" i="2"/>
  <c r="F625" i="2"/>
  <c r="E694" i="2"/>
  <c r="D625" i="2"/>
  <c r="G625" i="2" s="1"/>
  <c r="C718" i="2"/>
  <c r="F228" i="5"/>
  <c r="H228" i="5" s="1"/>
  <c r="E343" i="2"/>
  <c r="E556" i="2"/>
  <c r="D556" i="2"/>
  <c r="J556" i="2" s="1"/>
  <c r="C549" i="2"/>
  <c r="J549" i="2" s="1"/>
  <c r="C314" i="2"/>
  <c r="E353" i="2"/>
  <c r="G353" i="2" s="1"/>
  <c r="C381" i="2"/>
  <c r="J381" i="2" s="1"/>
  <c r="C510" i="2"/>
  <c r="J510" i="2" s="1"/>
  <c r="D686" i="2"/>
  <c r="C535" i="2"/>
  <c r="F510" i="2"/>
  <c r="F706" i="2"/>
  <c r="H706" i="2" s="1"/>
  <c r="F474" i="2"/>
  <c r="E738" i="2"/>
  <c r="E695" i="2"/>
  <c r="F328" i="2"/>
  <c r="D518" i="2"/>
  <c r="D743" i="2"/>
  <c r="J743" i="2" s="1"/>
  <c r="E706" i="2"/>
  <c r="C738" i="2"/>
  <c r="H738" i="2" s="1"/>
  <c r="F649" i="2"/>
  <c r="D694" i="2"/>
  <c r="F717" i="2"/>
  <c r="H717" i="2" s="1"/>
  <c r="C625" i="2"/>
  <c r="D718" i="2"/>
  <c r="G718" i="2" s="1"/>
  <c r="F209" i="5"/>
  <c r="F379" i="2"/>
  <c r="H379" i="2" s="1"/>
  <c r="F556" i="2"/>
  <c r="H556" i="2" s="1"/>
  <c r="E653" i="2"/>
  <c r="G653" i="2" s="1"/>
  <c r="F314" i="2"/>
  <c r="C526" i="2"/>
  <c r="D673" i="2"/>
  <c r="J673" i="2" s="1"/>
  <c r="E728" i="2"/>
  <c r="G728" i="2" s="1"/>
  <c r="D328" i="2"/>
  <c r="G328" i="2" s="1"/>
  <c r="E445" i="2"/>
  <c r="E510" i="2"/>
  <c r="G510" i="2" s="1"/>
  <c r="F447" i="2"/>
  <c r="F718" i="2"/>
  <c r="E207" i="5"/>
  <c r="E341" i="2"/>
  <c r="E447" i="2"/>
  <c r="G447" i="2" s="1"/>
  <c r="C518" i="2"/>
  <c r="H518" i="2" s="1"/>
  <c r="D751" i="2"/>
  <c r="D713" i="2"/>
  <c r="J713" i="2" s="1"/>
  <c r="D480" i="2"/>
  <c r="G480" i="2" s="1"/>
  <c r="F582" i="2"/>
  <c r="H582" i="2" s="1"/>
  <c r="D654" i="2"/>
  <c r="J654" i="2" s="1"/>
  <c r="F138" i="5"/>
  <c r="H138" i="5" s="1"/>
  <c r="F526" i="2"/>
  <c r="F381" i="2"/>
  <c r="E686" i="2"/>
  <c r="C353" i="2"/>
  <c r="J353" i="2" s="1"/>
  <c r="D445" i="2"/>
  <c r="C708" i="2"/>
  <c r="H708" i="2" s="1"/>
  <c r="D688" i="2"/>
  <c r="J688" i="2" s="1"/>
  <c r="E624" i="2"/>
  <c r="G624" i="2" s="1"/>
  <c r="D706" i="2"/>
  <c r="J706" i="2" s="1"/>
  <c r="D221" i="5"/>
  <c r="G221" i="5" s="1"/>
  <c r="D738" i="2"/>
  <c r="E370" i="2"/>
  <c r="D582" i="2"/>
  <c r="J582" i="2" s="1"/>
  <c r="F673" i="2"/>
  <c r="H673" i="2" s="1"/>
  <c r="F735" i="2"/>
  <c r="H735" i="2" s="1"/>
  <c r="D220" i="5"/>
  <c r="E138" i="5"/>
  <c r="F390" i="2"/>
  <c r="E456" i="2"/>
  <c r="C716" i="2"/>
  <c r="H716" i="2" s="1"/>
  <c r="C220" i="5"/>
  <c r="H220" i="5" s="1"/>
  <c r="E249" i="5"/>
  <c r="G249" i="5" s="1"/>
  <c r="D379" i="2"/>
  <c r="E311" i="2"/>
  <c r="G311" i="2" s="1"/>
  <c r="F693" i="2"/>
  <c r="E664" i="2"/>
  <c r="E217" i="5"/>
  <c r="E327" i="2"/>
  <c r="G327" i="2" s="1"/>
  <c r="C370" i="2"/>
  <c r="F657" i="2"/>
  <c r="C690" i="2"/>
  <c r="H690" i="2" s="1"/>
  <c r="F664" i="2"/>
  <c r="H664" i="2" s="1"/>
  <c r="E195" i="5"/>
  <c r="D389" i="2"/>
  <c r="G389" i="2" s="1"/>
  <c r="D526" i="2"/>
  <c r="G526" i="2" s="1"/>
  <c r="E657" i="2"/>
  <c r="G657" i="2" s="1"/>
  <c r="E659" i="2"/>
  <c r="D664" i="2"/>
  <c r="E739" i="2"/>
  <c r="G739" i="2" s="1"/>
  <c r="E222" i="5"/>
  <c r="D198" i="5"/>
  <c r="G198" i="5" s="1"/>
  <c r="E702" i="2"/>
  <c r="E428" i="2"/>
  <c r="D407" i="2"/>
  <c r="D554" i="2"/>
  <c r="G554" i="2" s="1"/>
  <c r="E409" i="2"/>
  <c r="G409" i="2" s="1"/>
  <c r="C693" i="2"/>
  <c r="J693" i="2" s="1"/>
  <c r="D720" i="2"/>
  <c r="G720" i="2" s="1"/>
  <c r="D178" i="5"/>
  <c r="J178" i="5" s="1"/>
  <c r="C213" i="5"/>
  <c r="D456" i="2"/>
  <c r="J456" i="2" s="1"/>
  <c r="D428" i="2"/>
  <c r="J428" i="2" s="1"/>
  <c r="E693" i="2"/>
  <c r="G693" i="2" s="1"/>
  <c r="F726" i="2"/>
  <c r="F170" i="5"/>
  <c r="H170" i="5" s="1"/>
  <c r="D241" i="5"/>
  <c r="D439" i="2"/>
  <c r="D642" i="2"/>
  <c r="D703" i="2"/>
  <c r="E726" i="2"/>
  <c r="G726" i="2" s="1"/>
  <c r="E170" i="5"/>
  <c r="F175" i="5"/>
  <c r="H175" i="5" s="1"/>
  <c r="C491" i="2"/>
  <c r="F428" i="2"/>
  <c r="H428" i="2" s="1"/>
  <c r="F491" i="2"/>
  <c r="F459" i="2"/>
  <c r="F692" i="2"/>
  <c r="H692" i="2" s="1"/>
  <c r="D337" i="2"/>
  <c r="C679" i="2"/>
  <c r="J679" i="2" s="1"/>
  <c r="C375" i="2"/>
  <c r="C702" i="2"/>
  <c r="H702" i="2" s="1"/>
  <c r="D690" i="2"/>
  <c r="E178" i="5"/>
  <c r="E407" i="2"/>
  <c r="F533" i="2"/>
  <c r="D646" i="2"/>
  <c r="J646" i="2" s="1"/>
  <c r="E642" i="2"/>
  <c r="E394" i="2"/>
  <c r="C439" i="2"/>
  <c r="F638" i="2"/>
  <c r="H638" i="2" s="1"/>
  <c r="E717" i="2"/>
  <c r="C642" i="2"/>
  <c r="H642" i="2" s="1"/>
  <c r="C726" i="2"/>
  <c r="J726" i="2" s="1"/>
  <c r="C113" i="2"/>
  <c r="D170" i="5"/>
  <c r="J170" i="5" s="1"/>
  <c r="E175" i="5"/>
  <c r="D222" i="5"/>
  <c r="D491" i="2"/>
  <c r="G491" i="2" s="1"/>
  <c r="F355" i="2"/>
  <c r="C459" i="2"/>
  <c r="F679" i="2"/>
  <c r="E355" i="2"/>
  <c r="G355" i="2" s="1"/>
  <c r="C337" i="2"/>
  <c r="H337" i="2" s="1"/>
  <c r="F616" i="2"/>
  <c r="E711" i="2"/>
  <c r="D533" i="2"/>
  <c r="D394" i="2"/>
  <c r="J394" i="2" s="1"/>
  <c r="E439" i="2"/>
  <c r="F607" i="2"/>
  <c r="H607" i="2" s="1"/>
  <c r="E638" i="2"/>
  <c r="E598" i="2"/>
  <c r="E721" i="2"/>
  <c r="F545" i="2"/>
  <c r="H545" i="2" s="1"/>
  <c r="F113" i="2"/>
  <c r="F160" i="5"/>
  <c r="D175" i="5"/>
  <c r="F222" i="5"/>
  <c r="H222" i="5" s="1"/>
  <c r="F448" i="2"/>
  <c r="H448" i="2" s="1"/>
  <c r="E448" i="2"/>
  <c r="D692" i="2"/>
  <c r="J692" i="2" s="1"/>
  <c r="C241" i="5"/>
  <c r="H241" i="5" s="1"/>
  <c r="C355" i="2"/>
  <c r="J355" i="2" s="1"/>
  <c r="E692" i="2"/>
  <c r="C541" i="2"/>
  <c r="J541" i="2" s="1"/>
  <c r="F407" i="2"/>
  <c r="H407" i="2" s="1"/>
  <c r="D702" i="2"/>
  <c r="C533" i="2"/>
  <c r="F394" i="2"/>
  <c r="H394" i="2" s="1"/>
  <c r="E361" i="2"/>
  <c r="G361" i="2" s="1"/>
  <c r="D638" i="2"/>
  <c r="J638" i="2" s="1"/>
  <c r="F624" i="2"/>
  <c r="E502" i="2"/>
  <c r="D545" i="2"/>
  <c r="J545" i="2" s="1"/>
  <c r="E113" i="2"/>
  <c r="G113" i="2" s="1"/>
  <c r="F187" i="5"/>
  <c r="E352" i="2"/>
  <c r="E589" i="2"/>
  <c r="C447" i="2"/>
  <c r="E337" i="2"/>
  <c r="F441" i="2"/>
  <c r="H441" i="2" s="1"/>
  <c r="C361" i="2"/>
  <c r="D368" i="2"/>
  <c r="J368" i="2" s="1"/>
  <c r="E437" i="2"/>
  <c r="F513" i="2"/>
  <c r="E518" i="2"/>
  <c r="C657" i="2"/>
  <c r="J657" i="2" s="1"/>
  <c r="D502" i="2"/>
  <c r="E545" i="2"/>
  <c r="D228" i="5"/>
  <c r="E187" i="5"/>
  <c r="G187" i="5" s="1"/>
  <c r="E379" i="2"/>
  <c r="E459" i="2"/>
  <c r="G459" i="2" s="1"/>
  <c r="F375" i="2"/>
  <c r="D721" i="2"/>
  <c r="J721" i="2" s="1"/>
  <c r="D375" i="2"/>
  <c r="G375" i="2" s="1"/>
  <c r="F178" i="5"/>
  <c r="H178" i="5" s="1"/>
  <c r="D341" i="2"/>
  <c r="D437" i="2"/>
  <c r="F535" i="2"/>
  <c r="F670" i="2"/>
  <c r="H670" i="2" s="1"/>
  <c r="E535" i="2"/>
  <c r="G535" i="2" s="1"/>
  <c r="C502" i="2"/>
  <c r="H502" i="2" s="1"/>
  <c r="D478" i="2"/>
  <c r="J478" i="2" s="1"/>
  <c r="F230" i="5"/>
  <c r="C187" i="5"/>
  <c r="J187" i="5" s="1"/>
  <c r="F165" i="5"/>
  <c r="H165" i="5" s="1"/>
  <c r="D165" i="5"/>
  <c r="J165" i="5" s="1"/>
  <c r="C139" i="5"/>
  <c r="H139" i="5" s="1"/>
  <c r="D219" i="5"/>
  <c r="E149" i="5"/>
  <c r="D159" i="5"/>
  <c r="G159" i="5" s="1"/>
  <c r="E135" i="5"/>
  <c r="G135" i="5" s="1"/>
  <c r="D232" i="5"/>
  <c r="E176" i="5"/>
  <c r="E147" i="5"/>
  <c r="D176" i="5"/>
  <c r="E143" i="5"/>
  <c r="G143" i="5" s="1"/>
  <c r="D147" i="5"/>
  <c r="E243" i="5"/>
  <c r="C176" i="5"/>
  <c r="F250" i="5"/>
  <c r="H250" i="5" s="1"/>
  <c r="C147" i="5"/>
  <c r="D146" i="5"/>
  <c r="G146" i="5" s="1"/>
  <c r="E165" i="5"/>
  <c r="F149" i="5"/>
  <c r="H149" i="5" s="1"/>
  <c r="D149" i="5"/>
  <c r="J149" i="5" s="1"/>
  <c r="C219" i="5"/>
  <c r="D167" i="5"/>
  <c r="G167" i="5" s="1"/>
  <c r="E219" i="5"/>
  <c r="E235" i="5"/>
  <c r="G235" i="5" s="1"/>
  <c r="F188" i="5"/>
  <c r="E214" i="5"/>
  <c r="F157" i="5"/>
  <c r="H157" i="5" s="1"/>
  <c r="C188" i="5"/>
  <c r="E157" i="5"/>
  <c r="E188" i="5"/>
  <c r="G188" i="5" s="1"/>
  <c r="D157" i="5"/>
  <c r="J157" i="5" s="1"/>
  <c r="E232" i="5"/>
  <c r="E208" i="5"/>
  <c r="F154" i="5"/>
  <c r="H154" i="5" s="1"/>
  <c r="E155" i="5"/>
  <c r="D250" i="5"/>
  <c r="C208" i="5"/>
  <c r="H208" i="5" s="1"/>
  <c r="F235" i="5"/>
  <c r="E154" i="5"/>
  <c r="D155" i="5"/>
  <c r="E223" i="5"/>
  <c r="G223" i="5" s="1"/>
  <c r="D208" i="5"/>
  <c r="E244" i="5"/>
  <c r="D154" i="5"/>
  <c r="J154" i="5" s="1"/>
  <c r="C155" i="5"/>
  <c r="H155" i="5" s="1"/>
  <c r="C223" i="5"/>
  <c r="F183" i="5"/>
  <c r="F168" i="5"/>
  <c r="F197" i="5"/>
  <c r="H197" i="5" s="1"/>
  <c r="C183" i="5"/>
  <c r="F232" i="5"/>
  <c r="H232" i="5" s="1"/>
  <c r="C235" i="5"/>
  <c r="E349" i="2"/>
  <c r="D349" i="2"/>
  <c r="C547" i="2"/>
  <c r="F547" i="2"/>
  <c r="D547" i="2"/>
  <c r="E547" i="2"/>
  <c r="E537" i="2"/>
  <c r="C537" i="2"/>
  <c r="D537" i="2"/>
  <c r="F537" i="2"/>
  <c r="E455" i="2"/>
  <c r="D455" i="2"/>
  <c r="C455" i="2"/>
  <c r="E433" i="2"/>
  <c r="G433" i="2" s="1"/>
  <c r="F529" i="2"/>
  <c r="C529" i="2"/>
  <c r="E529" i="2"/>
  <c r="D529" i="2"/>
  <c r="C701" i="2"/>
  <c r="D701" i="2"/>
  <c r="E701" i="2"/>
  <c r="F701" i="2"/>
  <c r="F707" i="2"/>
  <c r="D707" i="2"/>
  <c r="E707" i="2"/>
  <c r="C707" i="2"/>
  <c r="D710" i="2"/>
  <c r="E710" i="2"/>
  <c r="C710" i="2"/>
  <c r="F710" i="2"/>
  <c r="C580" i="2"/>
  <c r="F580" i="2"/>
  <c r="F349" i="2"/>
  <c r="C601" i="2"/>
  <c r="D601" i="2"/>
  <c r="E601" i="2"/>
  <c r="F601" i="2"/>
  <c r="F477" i="2"/>
  <c r="D477" i="2"/>
  <c r="C477" i="2"/>
  <c r="E477" i="2"/>
  <c r="C519" i="2"/>
  <c r="E519" i="2"/>
  <c r="F519" i="2"/>
  <c r="D519" i="2"/>
  <c r="F495" i="2"/>
  <c r="D495" i="2"/>
  <c r="F473" i="2"/>
  <c r="E473" i="2"/>
  <c r="E359" i="2"/>
  <c r="C359" i="2"/>
  <c r="F359" i="2"/>
  <c r="D359" i="2"/>
  <c r="C567" i="2"/>
  <c r="D567" i="2"/>
  <c r="F391" i="2"/>
  <c r="C391" i="2"/>
  <c r="D391" i="2"/>
  <c r="E691" i="2"/>
  <c r="F691" i="2"/>
  <c r="D691" i="2"/>
  <c r="C725" i="2"/>
  <c r="F725" i="2"/>
  <c r="E725" i="2"/>
  <c r="D725" i="2"/>
  <c r="F506" i="2"/>
  <c r="D506" i="2"/>
  <c r="C630" i="2"/>
  <c r="D630" i="2"/>
  <c r="F630" i="2"/>
  <c r="E630" i="2"/>
  <c r="C512" i="2"/>
  <c r="F512" i="2"/>
  <c r="E512" i="2"/>
  <c r="D512" i="2"/>
  <c r="E525" i="2"/>
  <c r="F525" i="2"/>
  <c r="C525" i="2"/>
  <c r="D525" i="2"/>
  <c r="E746" i="2"/>
  <c r="F746" i="2"/>
  <c r="D746" i="2"/>
  <c r="C746" i="2"/>
  <c r="E724" i="2"/>
  <c r="C724" i="2"/>
  <c r="C514" i="2"/>
  <c r="H514" i="2" s="1"/>
  <c r="D514" i="2"/>
  <c r="E514" i="2"/>
  <c r="E636" i="2"/>
  <c r="D636" i="2"/>
  <c r="E506" i="2"/>
  <c r="F636" i="2"/>
  <c r="H636" i="2" s="1"/>
  <c r="C506" i="2"/>
  <c r="E603" i="2"/>
  <c r="F603" i="2"/>
  <c r="F455" i="2"/>
  <c r="C643" i="2"/>
  <c r="H643" i="2" s="1"/>
  <c r="F338" i="2"/>
  <c r="D338" i="2"/>
  <c r="D362" i="2"/>
  <c r="E362" i="2"/>
  <c r="C362" i="2"/>
  <c r="F362" i="2"/>
  <c r="C346" i="2"/>
  <c r="E346" i="2"/>
  <c r="F346" i="2"/>
  <c r="D346" i="2"/>
  <c r="C749" i="2"/>
  <c r="D749" i="2"/>
  <c r="F749" i="2"/>
  <c r="E749" i="2"/>
  <c r="E734" i="2"/>
  <c r="C734" i="2"/>
  <c r="F517" i="2"/>
  <c r="E517" i="2"/>
  <c r="C517" i="2"/>
  <c r="C719" i="2"/>
  <c r="D719" i="2"/>
  <c r="E719" i="2"/>
  <c r="F548" i="2"/>
  <c r="C548" i="2"/>
  <c r="D548" i="2"/>
  <c r="E548" i="2"/>
  <c r="D736" i="2"/>
  <c r="G736" i="2" s="1"/>
  <c r="C736" i="2"/>
  <c r="F433" i="2"/>
  <c r="C433" i="2"/>
  <c r="F736" i="2"/>
  <c r="E643" i="2"/>
  <c r="E579" i="2"/>
  <c r="F579" i="2"/>
  <c r="E344" i="2"/>
  <c r="F344" i="2"/>
  <c r="D344" i="2"/>
  <c r="C344" i="2"/>
  <c r="C585" i="2"/>
  <c r="H585" i="2" s="1"/>
  <c r="D585" i="2"/>
  <c r="E585" i="2"/>
  <c r="C432" i="2"/>
  <c r="F432" i="2"/>
  <c r="D432" i="2"/>
  <c r="E432" i="2"/>
  <c r="D452" i="2"/>
  <c r="E452" i="2"/>
  <c r="C492" i="2"/>
  <c r="D492" i="2"/>
  <c r="E492" i="2"/>
  <c r="F492" i="2"/>
  <c r="F468" i="2"/>
  <c r="C468" i="2"/>
  <c r="C737" i="2"/>
  <c r="F737" i="2"/>
  <c r="D737" i="2"/>
  <c r="E737" i="2"/>
  <c r="E391" i="2"/>
  <c r="C742" i="2"/>
  <c r="J742" i="2" s="1"/>
  <c r="E742" i="2"/>
  <c r="G742" i="2" s="1"/>
  <c r="C729" i="2"/>
  <c r="F729" i="2"/>
  <c r="D729" i="2"/>
  <c r="E729" i="2"/>
  <c r="E580" i="2"/>
  <c r="D580" i="2"/>
  <c r="F742" i="2"/>
  <c r="E505" i="2"/>
  <c r="F505" i="2"/>
  <c r="D711" i="2"/>
  <c r="C711" i="2"/>
  <c r="E563" i="2"/>
  <c r="F563" i="2"/>
  <c r="C563" i="2"/>
  <c r="D563" i="2"/>
  <c r="D505" i="2"/>
  <c r="D468" i="2"/>
  <c r="G468" i="2" s="1"/>
  <c r="D517" i="2"/>
  <c r="D614" i="2"/>
  <c r="E614" i="2"/>
  <c r="F614" i="2"/>
  <c r="C614" i="2"/>
  <c r="C349" i="2"/>
  <c r="D643" i="2"/>
  <c r="E546" i="2"/>
  <c r="D546" i="2"/>
  <c r="C322" i="2"/>
  <c r="D322" i="2"/>
  <c r="E322" i="2"/>
  <c r="F322" i="2"/>
  <c r="D583" i="2"/>
  <c r="F583" i="2"/>
  <c r="D579" i="2"/>
  <c r="C579" i="2"/>
  <c r="C400" i="2"/>
  <c r="F400" i="2"/>
  <c r="E441" i="2"/>
  <c r="D594" i="2"/>
  <c r="E594" i="2"/>
  <c r="F720" i="2"/>
  <c r="E478" i="2"/>
  <c r="F613" i="2"/>
  <c r="C325" i="2"/>
  <c r="J325" i="2" s="1"/>
  <c r="D441" i="2"/>
  <c r="J441" i="2" s="1"/>
  <c r="E562" i="2"/>
  <c r="G562" i="2" s="1"/>
  <c r="E666" i="2"/>
  <c r="G666" i="2" s="1"/>
  <c r="E723" i="2"/>
  <c r="F478" i="2"/>
  <c r="H478" i="2" s="1"/>
  <c r="D613" i="2"/>
  <c r="G613" i="2" s="1"/>
  <c r="F325" i="2"/>
  <c r="C574" i="2"/>
  <c r="E587" i="2"/>
  <c r="D716" i="2"/>
  <c r="D723" i="2"/>
  <c r="C613" i="2"/>
  <c r="E325" i="2"/>
  <c r="G325" i="2" s="1"/>
  <c r="F392" i="2"/>
  <c r="H392" i="2" s="1"/>
  <c r="C445" i="2"/>
  <c r="H445" i="2" s="1"/>
  <c r="D566" i="2"/>
  <c r="J566" i="2" s="1"/>
  <c r="F574" i="2"/>
  <c r="D598" i="2"/>
  <c r="D587" i="2"/>
  <c r="C723" i="2"/>
  <c r="H723" i="2" s="1"/>
  <c r="D449" i="2"/>
  <c r="J449" i="2" s="1"/>
  <c r="D448" i="2"/>
  <c r="J448" i="2" s="1"/>
  <c r="E474" i="2"/>
  <c r="G474" i="2" s="1"/>
  <c r="C703" i="2"/>
  <c r="C598" i="2"/>
  <c r="H598" i="2" s="1"/>
  <c r="C587" i="2"/>
  <c r="H587" i="2" s="1"/>
  <c r="F5" i="2"/>
  <c r="C474" i="2"/>
  <c r="J474" i="2" s="1"/>
  <c r="E582" i="2"/>
  <c r="F654" i="2"/>
  <c r="H654" i="2" s="1"/>
  <c r="F730" i="2"/>
  <c r="D641" i="2"/>
  <c r="J641" i="2" s="1"/>
  <c r="C5" i="2"/>
  <c r="J5" i="2" s="1"/>
  <c r="C341" i="2"/>
  <c r="C504" i="2"/>
  <c r="J504" i="2" s="1"/>
  <c r="D565" i="2"/>
  <c r="J565" i="2" s="1"/>
  <c r="E654" i="2"/>
  <c r="E647" i="2"/>
  <c r="G647" i="2" s="1"/>
  <c r="C624" i="2"/>
  <c r="E5" i="2"/>
  <c r="G5" i="2" s="1"/>
  <c r="C357" i="2"/>
  <c r="E335" i="2"/>
  <c r="G335" i="2" s="1"/>
  <c r="D323" i="2"/>
  <c r="G323" i="2" s="1"/>
  <c r="C335" i="2"/>
  <c r="J335" i="2" s="1"/>
  <c r="F751" i="2"/>
  <c r="H751" i="2" s="1"/>
  <c r="F606" i="2"/>
  <c r="F323" i="2"/>
  <c r="F651" i="2"/>
  <c r="H651" i="2" s="1"/>
  <c r="E733" i="2"/>
  <c r="G733" i="2" s="1"/>
  <c r="E557" i="2"/>
  <c r="F745" i="2"/>
  <c r="H745" i="2" s="1"/>
  <c r="E399" i="2"/>
  <c r="C575" i="2"/>
  <c r="J575" i="2" s="1"/>
  <c r="E558" i="2"/>
  <c r="F627" i="2"/>
  <c r="H627" i="2" s="1"/>
  <c r="D558" i="2"/>
  <c r="E380" i="2"/>
  <c r="F549" i="2"/>
  <c r="C558" i="2"/>
  <c r="H558" i="2" s="1"/>
  <c r="C697" i="2"/>
  <c r="D627" i="2"/>
  <c r="D662" i="2"/>
  <c r="F609" i="2"/>
  <c r="E703" i="2"/>
  <c r="F688" i="2"/>
  <c r="H688" i="2" s="1"/>
  <c r="E475" i="2"/>
  <c r="G475" i="2" s="1"/>
  <c r="E745" i="2"/>
  <c r="C323" i="2"/>
  <c r="F347" i="2"/>
  <c r="E606" i="2"/>
  <c r="G606" i="2" s="1"/>
  <c r="D578" i="2"/>
  <c r="D347" i="2"/>
  <c r="G347" i="2" s="1"/>
  <c r="C347" i="2"/>
  <c r="F399" i="2"/>
  <c r="H399" i="2" s="1"/>
  <c r="E651" i="2"/>
  <c r="C606" i="2"/>
  <c r="J606" i="2" s="1"/>
  <c r="D651" i="2"/>
  <c r="F732" i="2"/>
  <c r="D3" i="2"/>
  <c r="J3" i="2" s="1"/>
  <c r="D399" i="2"/>
  <c r="F662" i="2"/>
  <c r="H662" i="2" s="1"/>
  <c r="F3" i="2"/>
  <c r="H3" i="2" s="1"/>
  <c r="F694" i="2"/>
  <c r="H694" i="2" s="1"/>
  <c r="E627" i="2"/>
  <c r="F475" i="2"/>
  <c r="D380" i="2"/>
  <c r="C411" i="2"/>
  <c r="E549" i="2"/>
  <c r="G549" i="2" s="1"/>
  <c r="E609" i="2"/>
  <c r="G609" i="2" s="1"/>
  <c r="F615" i="2"/>
  <c r="E716" i="2"/>
  <c r="E688" i="2"/>
  <c r="C475" i="2"/>
  <c r="J475" i="2" s="1"/>
  <c r="F739" i="2"/>
  <c r="F335" i="2"/>
  <c r="D745" i="2"/>
  <c r="J745" i="2" s="1"/>
  <c r="F733" i="2"/>
  <c r="C733" i="2"/>
  <c r="J733" i="2" s="1"/>
  <c r="F557" i="2"/>
  <c r="H557" i="2" s="1"/>
  <c r="E730" i="2"/>
  <c r="G730" i="2" s="1"/>
  <c r="D682" i="2"/>
  <c r="E3" i="2"/>
  <c r="C682" i="2"/>
  <c r="H682" i="2" s="1"/>
  <c r="E662" i="2"/>
  <c r="F353" i="2"/>
  <c r="C380" i="2"/>
  <c r="H380" i="2" s="1"/>
  <c r="E646" i="2"/>
  <c r="C730" i="2"/>
  <c r="J730" i="2" s="1"/>
  <c r="C315" i="2"/>
  <c r="H315" i="2" s="1"/>
  <c r="F339" i="2"/>
  <c r="F372" i="2"/>
  <c r="H372" i="2" s="1"/>
  <c r="F479" i="2"/>
  <c r="F466" i="2"/>
  <c r="F541" i="2"/>
  <c r="F605" i="2"/>
  <c r="F565" i="2"/>
  <c r="H565" i="2" s="1"/>
  <c r="C691" i="2"/>
  <c r="F665" i="2"/>
  <c r="H665" i="2" s="1"/>
  <c r="E641" i="2"/>
  <c r="D677" i="2"/>
  <c r="G677" i="2" s="1"/>
  <c r="C146" i="5"/>
  <c r="C214" i="5"/>
  <c r="C177" i="5"/>
  <c r="E177" i="5"/>
  <c r="F177" i="5"/>
  <c r="D177" i="5"/>
  <c r="D216" i="5"/>
  <c r="C216" i="5"/>
  <c r="E216" i="5"/>
  <c r="F216" i="5"/>
  <c r="D225" i="5"/>
  <c r="C225" i="5"/>
  <c r="H225" i="5" s="1"/>
  <c r="E225" i="5"/>
  <c r="C153" i="5"/>
  <c r="E153" i="5"/>
  <c r="F153" i="5"/>
  <c r="D153" i="5"/>
  <c r="D212" i="5"/>
  <c r="E212" i="5"/>
  <c r="C212" i="5"/>
  <c r="F212" i="5"/>
  <c r="E234" i="5"/>
  <c r="C234" i="5"/>
  <c r="F234" i="5"/>
  <c r="D234" i="5"/>
  <c r="D168" i="5"/>
  <c r="G168" i="5" s="1"/>
  <c r="C168" i="5"/>
  <c r="C224" i="5"/>
  <c r="E224" i="5"/>
  <c r="G224" i="5" s="1"/>
  <c r="E714" i="2"/>
  <c r="D714" i="2"/>
  <c r="F714" i="2"/>
  <c r="C714" i="2"/>
  <c r="F251" i="5"/>
  <c r="D251" i="5"/>
  <c r="E251" i="5"/>
  <c r="D246" i="5"/>
  <c r="C246" i="5"/>
  <c r="E246" i="5"/>
  <c r="F246" i="5"/>
  <c r="C656" i="2"/>
  <c r="D656" i="2"/>
  <c r="F388" i="2"/>
  <c r="E372" i="2"/>
  <c r="D416" i="2"/>
  <c r="J416" i="2" s="1"/>
  <c r="E541" i="2"/>
  <c r="G541" i="2" s="1"/>
  <c r="E565" i="2"/>
  <c r="E665" i="2"/>
  <c r="E539" i="2"/>
  <c r="F656" i="2"/>
  <c r="D214" i="5"/>
  <c r="C251" i="5"/>
  <c r="C137" i="5"/>
  <c r="E137" i="5"/>
  <c r="F137" i="5"/>
  <c r="D137" i="5"/>
  <c r="C182" i="5"/>
  <c r="D182" i="5"/>
  <c r="E182" i="5"/>
  <c r="F182" i="5"/>
  <c r="D179" i="5"/>
  <c r="C179" i="5"/>
  <c r="H179" i="5" s="1"/>
  <c r="E179" i="5"/>
  <c r="F700" i="2"/>
  <c r="H700" i="2" s="1"/>
  <c r="D700" i="2"/>
  <c r="J700" i="2" s="1"/>
  <c r="E700" i="2"/>
  <c r="E748" i="2"/>
  <c r="C748" i="2"/>
  <c r="D748" i="2"/>
  <c r="F748" i="2"/>
  <c r="E204" i="5"/>
  <c r="C204" i="5"/>
  <c r="D204" i="5"/>
  <c r="F204" i="5"/>
  <c r="F218" i="5"/>
  <c r="C218" i="5"/>
  <c r="D218" i="5"/>
  <c r="E218" i="5"/>
  <c r="C159" i="5"/>
  <c r="F159" i="5"/>
  <c r="D227" i="5"/>
  <c r="F227" i="5"/>
  <c r="C227" i="5"/>
  <c r="E227" i="5"/>
  <c r="D734" i="2"/>
  <c r="F734" i="2"/>
  <c r="C158" i="5"/>
  <c r="D158" i="5"/>
  <c r="E158" i="5"/>
  <c r="F158" i="5"/>
  <c r="E226" i="5"/>
  <c r="C226" i="5"/>
  <c r="D226" i="5"/>
  <c r="C135" i="5"/>
  <c r="F135" i="5"/>
  <c r="C242" i="5"/>
  <c r="F242" i="5"/>
  <c r="D242" i="5"/>
  <c r="D731" i="2"/>
  <c r="E731" i="2"/>
  <c r="D722" i="2"/>
  <c r="G722" i="2" s="1"/>
  <c r="C722" i="2"/>
  <c r="C388" i="2"/>
  <c r="D372" i="2"/>
  <c r="E699" i="2"/>
  <c r="C569" i="2"/>
  <c r="D539" i="2"/>
  <c r="E656" i="2"/>
  <c r="D665" i="2"/>
  <c r="J665" i="2" s="1"/>
  <c r="E194" i="5"/>
  <c r="D142" i="5"/>
  <c r="E142" i="5"/>
  <c r="F142" i="5"/>
  <c r="C142" i="5"/>
  <c r="D685" i="2"/>
  <c r="F685" i="2"/>
  <c r="H685" i="2" s="1"/>
  <c r="E685" i="2"/>
  <c r="D196" i="5"/>
  <c r="C196" i="5"/>
  <c r="E196" i="5"/>
  <c r="F196" i="5"/>
  <c r="C669" i="2"/>
  <c r="H669" i="2" s="1"/>
  <c r="D669" i="2"/>
  <c r="E669" i="2"/>
  <c r="C231" i="5"/>
  <c r="J231" i="5" s="1"/>
  <c r="E231" i="5"/>
  <c r="G231" i="5" s="1"/>
  <c r="F231" i="5"/>
  <c r="D174" i="5"/>
  <c r="F174" i="5"/>
  <c r="E174" i="5"/>
  <c r="C174" i="5"/>
  <c r="C166" i="5"/>
  <c r="E166" i="5"/>
  <c r="F166" i="5"/>
  <c r="D166" i="5"/>
  <c r="C217" i="5"/>
  <c r="H217" i="5" s="1"/>
  <c r="D217" i="5"/>
  <c r="C148" i="5"/>
  <c r="J148" i="5" s="1"/>
  <c r="E148" i="5"/>
  <c r="G148" i="5" s="1"/>
  <c r="F148" i="5"/>
  <c r="D152" i="5"/>
  <c r="C152" i="5"/>
  <c r="E388" i="2"/>
  <c r="G388" i="2" s="1"/>
  <c r="E330" i="2"/>
  <c r="G330" i="2" s="1"/>
  <c r="D496" i="2"/>
  <c r="D699" i="2"/>
  <c r="J699" i="2" s="1"/>
  <c r="F569" i="2"/>
  <c r="C539" i="2"/>
  <c r="H539" i="2" s="1"/>
  <c r="D577" i="2"/>
  <c r="F677" i="2"/>
  <c r="F416" i="2"/>
  <c r="H416" i="2" s="1"/>
  <c r="F162" i="5"/>
  <c r="H162" i="5" s="1"/>
  <c r="C194" i="5"/>
  <c r="H194" i="5" s="1"/>
  <c r="D194" i="5"/>
  <c r="D211" i="5"/>
  <c r="J211" i="5" s="1"/>
  <c r="D195" i="5"/>
  <c r="F211" i="5"/>
  <c r="H211" i="5" s="1"/>
  <c r="D150" i="5"/>
  <c r="E150" i="5"/>
  <c r="F150" i="5"/>
  <c r="C150" i="5"/>
  <c r="C709" i="2"/>
  <c r="D709" i="2"/>
  <c r="G709" i="2" s="1"/>
  <c r="F709" i="2"/>
  <c r="D672" i="2"/>
  <c r="G672" i="2" s="1"/>
  <c r="C672" i="2"/>
  <c r="F672" i="2"/>
  <c r="F229" i="5"/>
  <c r="C229" i="5"/>
  <c r="D229" i="5"/>
  <c r="E229" i="5"/>
  <c r="D704" i="2"/>
  <c r="C704" i="2"/>
  <c r="E704" i="2"/>
  <c r="F704" i="2"/>
  <c r="C167" i="5"/>
  <c r="F167" i="5"/>
  <c r="F684" i="2"/>
  <c r="C684" i="2"/>
  <c r="J684" i="2" s="1"/>
  <c r="F236" i="5"/>
  <c r="D236" i="5"/>
  <c r="C236" i="5"/>
  <c r="E236" i="5"/>
  <c r="E248" i="5"/>
  <c r="C248" i="5"/>
  <c r="D248" i="5"/>
  <c r="F248" i="5"/>
  <c r="C239" i="5"/>
  <c r="D239" i="5"/>
  <c r="E239" i="5"/>
  <c r="F239" i="5"/>
  <c r="C247" i="5"/>
  <c r="D247" i="5"/>
  <c r="E247" i="5"/>
  <c r="F247" i="5"/>
  <c r="C172" i="5"/>
  <c r="J172" i="5" s="1"/>
  <c r="F172" i="5"/>
  <c r="E172" i="5"/>
  <c r="G172" i="5" s="1"/>
  <c r="E683" i="2"/>
  <c r="F683" i="2"/>
  <c r="E740" i="2"/>
  <c r="C740" i="2"/>
  <c r="D740" i="2"/>
  <c r="C145" i="5"/>
  <c r="D145" i="5"/>
  <c r="F145" i="5"/>
  <c r="E145" i="5"/>
  <c r="D747" i="2"/>
  <c r="G747" i="2" s="1"/>
  <c r="F747" i="2"/>
  <c r="C330" i="2"/>
  <c r="F566" i="2"/>
  <c r="H566" i="2" s="1"/>
  <c r="E496" i="2"/>
  <c r="F697" i="2"/>
  <c r="D569" i="2"/>
  <c r="G569" i="2" s="1"/>
  <c r="F740" i="2"/>
  <c r="C577" i="2"/>
  <c r="F731" i="2"/>
  <c r="E416" i="2"/>
  <c r="E162" i="5"/>
  <c r="E211" i="5"/>
  <c r="F195" i="5"/>
  <c r="H195" i="5" s="1"/>
  <c r="C156" i="5"/>
  <c r="F156" i="5"/>
  <c r="E156" i="5"/>
  <c r="G156" i="5" s="1"/>
  <c r="E203" i="5"/>
  <c r="D203" i="5"/>
  <c r="J203" i="5" s="1"/>
  <c r="E741" i="2"/>
  <c r="D741" i="2"/>
  <c r="F741" i="2"/>
  <c r="C741" i="2"/>
  <c r="C201" i="5"/>
  <c r="D201" i="5"/>
  <c r="E201" i="5"/>
  <c r="F201" i="5"/>
  <c r="C712" i="2"/>
  <c r="F712" i="2"/>
  <c r="D199" i="5"/>
  <c r="C199" i="5"/>
  <c r="H199" i="5" s="1"/>
  <c r="E199" i="5"/>
  <c r="E649" i="2"/>
  <c r="G649" i="2" s="1"/>
  <c r="C649" i="2"/>
  <c r="J649" i="2" s="1"/>
  <c r="E190" i="5"/>
  <c r="C190" i="5"/>
  <c r="D190" i="5"/>
  <c r="F190" i="5"/>
  <c r="D698" i="2"/>
  <c r="C698" i="2"/>
  <c r="E698" i="2"/>
  <c r="C180" i="5"/>
  <c r="J180" i="5" s="1"/>
  <c r="F180" i="5"/>
  <c r="E180" i="5"/>
  <c r="G180" i="5" s="1"/>
  <c r="D245" i="5"/>
  <c r="G245" i="5" s="1"/>
  <c r="C245" i="5"/>
  <c r="F676" i="2"/>
  <c r="H676" i="2" s="1"/>
  <c r="E676" i="2"/>
  <c r="D676" i="2"/>
  <c r="C181" i="5"/>
  <c r="D181" i="5"/>
  <c r="C171" i="5"/>
  <c r="D171" i="5"/>
  <c r="G171" i="5" s="1"/>
  <c r="F171" i="5"/>
  <c r="C151" i="5"/>
  <c r="F151" i="5"/>
  <c r="F330" i="2"/>
  <c r="E566" i="2"/>
  <c r="C496" i="2"/>
  <c r="F699" i="2"/>
  <c r="H699" i="2" s="1"/>
  <c r="F722" i="2"/>
  <c r="D683" i="2"/>
  <c r="C609" i="2"/>
  <c r="E577" i="2"/>
  <c r="C731" i="2"/>
  <c r="C747" i="2"/>
  <c r="D151" i="5"/>
  <c r="G151" i="5" s="1"/>
  <c r="F152" i="5"/>
  <c r="F146" i="5"/>
  <c r="F181" i="5"/>
  <c r="D162" i="5"/>
  <c r="F203" i="5"/>
  <c r="H203" i="5" s="1"/>
  <c r="F221" i="5"/>
  <c r="E213" i="5"/>
  <c r="G213" i="5" s="1"/>
  <c r="C221" i="5"/>
  <c r="E242" i="5"/>
  <c r="D160" i="5"/>
  <c r="G160" i="5" s="1"/>
  <c r="C160" i="5"/>
  <c r="E209" i="5"/>
  <c r="G209" i="5" s="1"/>
  <c r="C209" i="5"/>
  <c r="C140" i="5"/>
  <c r="J140" i="5" s="1"/>
  <c r="E140" i="5"/>
  <c r="G140" i="5" s="1"/>
  <c r="F140" i="5"/>
  <c r="D207" i="5"/>
  <c r="F207" i="5"/>
  <c r="H207" i="5" s="1"/>
  <c r="F136" i="5"/>
  <c r="C136" i="5"/>
  <c r="D136" i="5"/>
  <c r="E136" i="5"/>
  <c r="F233" i="5"/>
  <c r="C233" i="5"/>
  <c r="C161" i="5"/>
  <c r="D161" i="5"/>
  <c r="E161" i="5"/>
  <c r="F161" i="5"/>
  <c r="F206" i="5"/>
  <c r="C206" i="5"/>
  <c r="D206" i="5"/>
  <c r="E206" i="5"/>
  <c r="E238" i="5"/>
  <c r="C238" i="5"/>
  <c r="D238" i="5"/>
  <c r="F238" i="5"/>
  <c r="E713" i="2"/>
  <c r="F713" i="2"/>
  <c r="H713" i="2" s="1"/>
  <c r="C185" i="5"/>
  <c r="E185" i="5"/>
  <c r="F185" i="5"/>
  <c r="D185" i="5"/>
  <c r="C249" i="5"/>
  <c r="J249" i="5" s="1"/>
  <c r="F249" i="5"/>
  <c r="D732" i="2"/>
  <c r="G732" i="2" s="1"/>
  <c r="C732" i="2"/>
  <c r="E192" i="5"/>
  <c r="C192" i="5"/>
  <c r="D192" i="5"/>
  <c r="F192" i="5"/>
  <c r="C202" i="5"/>
  <c r="D202" i="5"/>
  <c r="E202" i="5"/>
  <c r="F202" i="5"/>
  <c r="C240" i="5"/>
  <c r="J240" i="5" s="1"/>
  <c r="E240" i="5"/>
  <c r="G240" i="5" s="1"/>
  <c r="F240" i="5"/>
  <c r="F215" i="5"/>
  <c r="C215" i="5"/>
  <c r="E215" i="5"/>
  <c r="D215" i="5"/>
  <c r="D466" i="2"/>
  <c r="F641" i="2"/>
  <c r="H641" i="2" s="1"/>
  <c r="C683" i="2"/>
  <c r="E152" i="5"/>
  <c r="E181" i="5"/>
  <c r="C164" i="5"/>
  <c r="F164" i="5"/>
  <c r="E164" i="5"/>
  <c r="G164" i="5" s="1"/>
  <c r="E144" i="5"/>
  <c r="C144" i="5"/>
  <c r="H144" i="5" s="1"/>
  <c r="D144" i="5"/>
  <c r="C680" i="2"/>
  <c r="J680" i="2" s="1"/>
  <c r="E680" i="2"/>
  <c r="G680" i="2" s="1"/>
  <c r="F680" i="2"/>
  <c r="D724" i="2"/>
  <c r="F724" i="2"/>
  <c r="F163" i="5"/>
  <c r="C163" i="5"/>
  <c r="D163" i="5"/>
  <c r="E163" i="5"/>
  <c r="C237" i="5"/>
  <c r="D237" i="5"/>
  <c r="E237" i="5"/>
  <c r="F237" i="5"/>
  <c r="D637" i="2"/>
  <c r="J637" i="2" s="1"/>
  <c r="E637" i="2"/>
  <c r="F637" i="2"/>
  <c r="H637" i="2" s="1"/>
  <c r="C169" i="5"/>
  <c r="D169" i="5"/>
  <c r="E169" i="5"/>
  <c r="F169" i="5"/>
  <c r="F210" i="5"/>
  <c r="C210" i="5"/>
  <c r="D210" i="5"/>
  <c r="E210" i="5"/>
  <c r="D243" i="5"/>
  <c r="C243" i="5"/>
  <c r="C715" i="2"/>
  <c r="F715" i="2"/>
  <c r="C143" i="5"/>
  <c r="F143" i="5"/>
  <c r="E139" i="5"/>
  <c r="D139" i="5"/>
  <c r="E197" i="5"/>
  <c r="D197" i="5"/>
  <c r="C648" i="2"/>
  <c r="D648" i="2"/>
  <c r="F648" i="2"/>
  <c r="E648" i="2"/>
  <c r="D184" i="5"/>
  <c r="C184" i="5"/>
  <c r="E184" i="5"/>
  <c r="F184" i="5"/>
  <c r="F171" i="2"/>
  <c r="D171" i="2"/>
  <c r="C171" i="2"/>
  <c r="E171" i="2"/>
  <c r="C132" i="5"/>
  <c r="E132" i="5"/>
  <c r="D132" i="5"/>
  <c r="F132" i="5"/>
  <c r="F33" i="2"/>
  <c r="E33" i="2"/>
  <c r="D33" i="2"/>
  <c r="C33" i="2"/>
  <c r="F211" i="2"/>
  <c r="C211" i="2"/>
  <c r="E211" i="2"/>
  <c r="D211" i="2"/>
  <c r="E226" i="2"/>
  <c r="C226" i="2"/>
  <c r="D226" i="2"/>
  <c r="F226" i="2"/>
  <c r="F80" i="2"/>
  <c r="D80" i="2"/>
  <c r="C80" i="2"/>
  <c r="E80" i="2"/>
  <c r="C71" i="2"/>
  <c r="D71" i="2"/>
  <c r="E71" i="2"/>
  <c r="F71" i="2"/>
  <c r="E62" i="2"/>
  <c r="F62" i="2"/>
  <c r="C62" i="2"/>
  <c r="D62" i="2"/>
  <c r="C82" i="5"/>
  <c r="E82" i="5"/>
  <c r="F82" i="5"/>
  <c r="D82" i="5"/>
  <c r="F675" i="2"/>
  <c r="C675" i="2"/>
  <c r="D675" i="2"/>
  <c r="E675" i="2"/>
  <c r="C623" i="2"/>
  <c r="E623" i="2"/>
  <c r="D623" i="2"/>
  <c r="F623" i="2"/>
  <c r="F488" i="2"/>
  <c r="C488" i="2"/>
  <c r="E488" i="2"/>
  <c r="D488" i="2"/>
  <c r="C626" i="2"/>
  <c r="D626" i="2"/>
  <c r="E626" i="2"/>
  <c r="F626" i="2"/>
  <c r="D97" i="5"/>
  <c r="E97" i="5"/>
  <c r="F97" i="5"/>
  <c r="C97" i="5"/>
  <c r="F170" i="2"/>
  <c r="E170" i="2"/>
  <c r="D170" i="2"/>
  <c r="C170" i="2"/>
  <c r="E125" i="5"/>
  <c r="D125" i="5"/>
  <c r="C125" i="5"/>
  <c r="F125" i="5"/>
  <c r="E141" i="2"/>
  <c r="C141" i="2"/>
  <c r="F141" i="2"/>
  <c r="D141" i="2"/>
  <c r="F193" i="2"/>
  <c r="D193" i="2"/>
  <c r="E193" i="2"/>
  <c r="C193" i="2"/>
  <c r="F34" i="2"/>
  <c r="E34" i="2"/>
  <c r="C34" i="2"/>
  <c r="D34" i="2"/>
  <c r="F263" i="2"/>
  <c r="C263" i="2"/>
  <c r="E263" i="2"/>
  <c r="D263" i="2"/>
  <c r="D244" i="2"/>
  <c r="E244" i="2"/>
  <c r="C244" i="2"/>
  <c r="F244" i="2"/>
  <c r="C76" i="5"/>
  <c r="F76" i="5"/>
  <c r="E76" i="5"/>
  <c r="D76" i="5"/>
  <c r="E550" i="2"/>
  <c r="C550" i="2"/>
  <c r="D550" i="2"/>
  <c r="F550" i="2"/>
  <c r="D476" i="2"/>
  <c r="E476" i="2"/>
  <c r="C476" i="2"/>
  <c r="F476" i="2"/>
  <c r="C570" i="2"/>
  <c r="F570" i="2"/>
  <c r="D570" i="2"/>
  <c r="E570" i="2"/>
  <c r="C461" i="2"/>
  <c r="E461" i="2"/>
  <c r="D461" i="2"/>
  <c r="F461" i="2"/>
  <c r="D33" i="5"/>
  <c r="F33" i="5"/>
  <c r="E33" i="5"/>
  <c r="C33" i="5"/>
  <c r="C127" i="5"/>
  <c r="D127" i="5"/>
  <c r="E127" i="5"/>
  <c r="F127" i="5"/>
  <c r="C4" i="5"/>
  <c r="F4" i="5"/>
  <c r="E4" i="5"/>
  <c r="D4" i="5"/>
  <c r="C118" i="5"/>
  <c r="E118" i="5"/>
  <c r="F118" i="5"/>
  <c r="D118" i="5"/>
  <c r="C79" i="5"/>
  <c r="E79" i="5"/>
  <c r="F79" i="5"/>
  <c r="D79" i="5"/>
  <c r="E25" i="5"/>
  <c r="F25" i="5"/>
  <c r="C25" i="5"/>
  <c r="D25" i="5"/>
  <c r="F98" i="2"/>
  <c r="E98" i="2"/>
  <c r="C98" i="2"/>
  <c r="D98" i="2"/>
  <c r="C199" i="2"/>
  <c r="D199" i="2"/>
  <c r="F199" i="2"/>
  <c r="E199" i="2"/>
  <c r="E126" i="2"/>
  <c r="F126" i="2"/>
  <c r="C126" i="2"/>
  <c r="D126" i="2"/>
  <c r="C18" i="5"/>
  <c r="E18" i="5"/>
  <c r="D18" i="5"/>
  <c r="F18" i="5"/>
  <c r="D586" i="2"/>
  <c r="C586" i="2"/>
  <c r="F586" i="2"/>
  <c r="E586" i="2"/>
  <c r="F612" i="2"/>
  <c r="C612" i="2"/>
  <c r="D612" i="2"/>
  <c r="E612" i="2"/>
  <c r="C523" i="2"/>
  <c r="F523" i="2"/>
  <c r="D523" i="2"/>
  <c r="E523" i="2"/>
  <c r="F189" i="2"/>
  <c r="E189" i="2"/>
  <c r="C189" i="2"/>
  <c r="D189" i="2"/>
  <c r="C74" i="5"/>
  <c r="E74" i="5"/>
  <c r="F74" i="5"/>
  <c r="D74" i="5"/>
  <c r="C112" i="5"/>
  <c r="E112" i="5"/>
  <c r="D112" i="5"/>
  <c r="F112" i="5"/>
  <c r="D41" i="2"/>
  <c r="E41" i="2"/>
  <c r="C41" i="2"/>
  <c r="F41" i="2"/>
  <c r="E35" i="5"/>
  <c r="C35" i="5"/>
  <c r="F35" i="5"/>
  <c r="D35" i="5"/>
  <c r="D144" i="2"/>
  <c r="E144" i="2"/>
  <c r="F144" i="2"/>
  <c r="C144" i="2"/>
  <c r="C7" i="2"/>
  <c r="F7" i="2"/>
  <c r="E7" i="2"/>
  <c r="D7" i="2"/>
  <c r="D308" i="2"/>
  <c r="E308" i="2"/>
  <c r="F308" i="2"/>
  <c r="C308" i="2"/>
  <c r="C12" i="5"/>
  <c r="F12" i="5"/>
  <c r="D12" i="5"/>
  <c r="E12" i="5"/>
  <c r="D629" i="2"/>
  <c r="F629" i="2"/>
  <c r="C629" i="2"/>
  <c r="E629" i="2"/>
  <c r="C650" i="2"/>
  <c r="F650" i="2"/>
  <c r="D650" i="2"/>
  <c r="E650" i="2"/>
  <c r="F552" i="2"/>
  <c r="D552" i="2"/>
  <c r="C552" i="2"/>
  <c r="E552" i="2"/>
  <c r="E588" i="2"/>
  <c r="C588" i="2"/>
  <c r="D588" i="2"/>
  <c r="F588" i="2"/>
  <c r="F106" i="2"/>
  <c r="E106" i="2"/>
  <c r="D106" i="2"/>
  <c r="C106" i="2"/>
  <c r="E42" i="2"/>
  <c r="D42" i="2"/>
  <c r="C42" i="2"/>
  <c r="F42" i="2"/>
  <c r="E280" i="2"/>
  <c r="D280" i="2"/>
  <c r="C280" i="2"/>
  <c r="F280" i="2"/>
  <c r="E216" i="2"/>
  <c r="D216" i="2"/>
  <c r="F216" i="2"/>
  <c r="C216" i="2"/>
  <c r="F152" i="2"/>
  <c r="E152" i="2"/>
  <c r="D152" i="2"/>
  <c r="C152" i="2"/>
  <c r="E88" i="2"/>
  <c r="D88" i="2"/>
  <c r="C88" i="2"/>
  <c r="F88" i="2"/>
  <c r="E24" i="2"/>
  <c r="F24" i="2"/>
  <c r="D24" i="2"/>
  <c r="C24" i="2"/>
  <c r="E234" i="2"/>
  <c r="D234" i="2"/>
  <c r="C234" i="2"/>
  <c r="F234" i="2"/>
  <c r="C54" i="5"/>
  <c r="D54" i="5"/>
  <c r="E54" i="5"/>
  <c r="F54" i="5"/>
  <c r="F203" i="2"/>
  <c r="C203" i="2"/>
  <c r="D203" i="2"/>
  <c r="E203" i="2"/>
  <c r="C89" i="5"/>
  <c r="E89" i="5"/>
  <c r="F89" i="5"/>
  <c r="D89" i="5"/>
  <c r="F162" i="2"/>
  <c r="D162" i="2"/>
  <c r="C162" i="2"/>
  <c r="E162" i="2"/>
  <c r="F16" i="2"/>
  <c r="D16" i="2"/>
  <c r="C16" i="2"/>
  <c r="E16" i="2"/>
  <c r="E254" i="2"/>
  <c r="F254" i="2"/>
  <c r="C254" i="2"/>
  <c r="D254" i="2"/>
  <c r="C116" i="2"/>
  <c r="D116" i="2"/>
  <c r="E116" i="2"/>
  <c r="F116" i="2"/>
  <c r="C95" i="5"/>
  <c r="E95" i="5"/>
  <c r="D95" i="5"/>
  <c r="F95" i="5"/>
  <c r="D9" i="2"/>
  <c r="E9" i="2"/>
  <c r="C9" i="2"/>
  <c r="F9" i="2"/>
  <c r="D73" i="2"/>
  <c r="E73" i="2"/>
  <c r="F73" i="2"/>
  <c r="C73" i="2"/>
  <c r="F27" i="2"/>
  <c r="E27" i="2"/>
  <c r="C27" i="2"/>
  <c r="D27" i="2"/>
  <c r="D153" i="2"/>
  <c r="E153" i="2"/>
  <c r="C153" i="2"/>
  <c r="F153" i="2"/>
  <c r="F155" i="2"/>
  <c r="E155" i="2"/>
  <c r="C155" i="2"/>
  <c r="D155" i="2"/>
  <c r="F19" i="2"/>
  <c r="E19" i="2"/>
  <c r="C19" i="2"/>
  <c r="D19" i="2"/>
  <c r="C123" i="5"/>
  <c r="D123" i="5"/>
  <c r="E123" i="5"/>
  <c r="F123" i="5"/>
  <c r="C68" i="5"/>
  <c r="D68" i="5"/>
  <c r="F68" i="5"/>
  <c r="E68" i="5"/>
  <c r="C48" i="5"/>
  <c r="E48" i="5"/>
  <c r="F48" i="5"/>
  <c r="D48" i="5"/>
  <c r="F251" i="2"/>
  <c r="C251" i="2"/>
  <c r="D251" i="2"/>
  <c r="E251" i="2"/>
  <c r="F290" i="2"/>
  <c r="D290" i="2"/>
  <c r="E290" i="2"/>
  <c r="C290" i="2"/>
  <c r="C208" i="2"/>
  <c r="D208" i="2"/>
  <c r="F208" i="2"/>
  <c r="E208" i="2"/>
  <c r="F190" i="2"/>
  <c r="E190" i="2"/>
  <c r="D190" i="2"/>
  <c r="C190" i="2"/>
  <c r="C52" i="2"/>
  <c r="D52" i="2"/>
  <c r="F52" i="2"/>
  <c r="E52" i="2"/>
  <c r="F69" i="5"/>
  <c r="C69" i="5"/>
  <c r="D69" i="5"/>
  <c r="E69" i="5"/>
  <c r="C62" i="5"/>
  <c r="F62" i="5"/>
  <c r="E62" i="5"/>
  <c r="D62" i="5"/>
  <c r="C126" i="5"/>
  <c r="D126" i="5"/>
  <c r="E126" i="5"/>
  <c r="F126" i="5"/>
  <c r="C120" i="5"/>
  <c r="D120" i="5"/>
  <c r="E120" i="5"/>
  <c r="F120" i="5"/>
  <c r="D225" i="2"/>
  <c r="F225" i="2"/>
  <c r="E225" i="2"/>
  <c r="C225" i="2"/>
  <c r="C111" i="5"/>
  <c r="D111" i="5"/>
  <c r="E111" i="5"/>
  <c r="F111" i="5"/>
  <c r="E19" i="5"/>
  <c r="F19" i="5"/>
  <c r="D19" i="5"/>
  <c r="C19" i="5"/>
  <c r="D273" i="2"/>
  <c r="E273" i="2"/>
  <c r="C273" i="2"/>
  <c r="F273" i="2"/>
  <c r="E298" i="2"/>
  <c r="D298" i="2"/>
  <c r="C298" i="2"/>
  <c r="F298" i="2"/>
  <c r="E61" i="5"/>
  <c r="F61" i="5"/>
  <c r="C61" i="5"/>
  <c r="D61" i="5"/>
  <c r="D81" i="2"/>
  <c r="E81" i="2"/>
  <c r="F81" i="2"/>
  <c r="C81" i="2"/>
  <c r="D21" i="2"/>
  <c r="C21" i="2"/>
  <c r="F21" i="2"/>
  <c r="E21" i="2"/>
  <c r="F272" i="2"/>
  <c r="D272" i="2"/>
  <c r="E272" i="2"/>
  <c r="C272" i="2"/>
  <c r="C135" i="2"/>
  <c r="D135" i="2"/>
  <c r="E135" i="2"/>
  <c r="F135" i="2"/>
  <c r="F180" i="2"/>
  <c r="D180" i="2"/>
  <c r="E180" i="2"/>
  <c r="C180" i="2"/>
  <c r="F5" i="5"/>
  <c r="D5" i="5"/>
  <c r="C5" i="5"/>
  <c r="E5" i="5"/>
  <c r="D133" i="5"/>
  <c r="C133" i="5"/>
  <c r="E133" i="5"/>
  <c r="F133" i="5"/>
  <c r="C56" i="5"/>
  <c r="D56" i="5"/>
  <c r="F56" i="5"/>
  <c r="E56" i="5"/>
  <c r="E53" i="2"/>
  <c r="D53" i="2"/>
  <c r="C53" i="2"/>
  <c r="F53" i="2"/>
  <c r="F163" i="2"/>
  <c r="E163" i="2"/>
  <c r="D163" i="2"/>
  <c r="C163" i="2"/>
  <c r="D101" i="2"/>
  <c r="E101" i="2"/>
  <c r="C101" i="2"/>
  <c r="F101" i="2"/>
  <c r="C271" i="2"/>
  <c r="D271" i="2"/>
  <c r="E271" i="2"/>
  <c r="F271" i="2"/>
  <c r="C207" i="2"/>
  <c r="F207" i="2"/>
  <c r="E207" i="2"/>
  <c r="D207" i="2"/>
  <c r="C143" i="2"/>
  <c r="D143" i="2"/>
  <c r="F143" i="2"/>
  <c r="E143" i="2"/>
  <c r="F79" i="2"/>
  <c r="C79" i="2"/>
  <c r="D79" i="2"/>
  <c r="E79" i="2"/>
  <c r="E15" i="2"/>
  <c r="C15" i="2"/>
  <c r="F15" i="2"/>
  <c r="D15" i="2"/>
  <c r="E262" i="2"/>
  <c r="D262" i="2"/>
  <c r="C262" i="2"/>
  <c r="F262" i="2"/>
  <c r="E198" i="2"/>
  <c r="F198" i="2"/>
  <c r="C198" i="2"/>
  <c r="D198" i="2"/>
  <c r="E134" i="2"/>
  <c r="C134" i="2"/>
  <c r="F134" i="2"/>
  <c r="D134" i="2"/>
  <c r="E70" i="2"/>
  <c r="C70" i="2"/>
  <c r="F70" i="2"/>
  <c r="D70" i="2"/>
  <c r="E6" i="2"/>
  <c r="F6" i="2"/>
  <c r="C6" i="2"/>
  <c r="D6" i="2"/>
  <c r="F252" i="2"/>
  <c r="D252" i="2"/>
  <c r="E252" i="2"/>
  <c r="C252" i="2"/>
  <c r="D188" i="2"/>
  <c r="E188" i="2"/>
  <c r="C188" i="2"/>
  <c r="F188" i="2"/>
  <c r="C124" i="2"/>
  <c r="D124" i="2"/>
  <c r="F124" i="2"/>
  <c r="E124" i="2"/>
  <c r="E60" i="2"/>
  <c r="C60" i="2"/>
  <c r="D60" i="2"/>
  <c r="F60" i="2"/>
  <c r="C63" i="5"/>
  <c r="D63" i="5"/>
  <c r="E63" i="5"/>
  <c r="F63" i="5"/>
  <c r="C71" i="5"/>
  <c r="E71" i="5"/>
  <c r="F71" i="5"/>
  <c r="D71" i="5"/>
  <c r="D25" i="2"/>
  <c r="C25" i="2"/>
  <c r="E25" i="2"/>
  <c r="F25" i="2"/>
  <c r="D2" i="5"/>
  <c r="C2" i="5"/>
  <c r="F2" i="5"/>
  <c r="E2" i="5"/>
  <c r="F91" i="2"/>
  <c r="C91" i="2"/>
  <c r="D91" i="2"/>
  <c r="E91" i="2"/>
  <c r="F93" i="2"/>
  <c r="C93" i="2"/>
  <c r="D93" i="2"/>
  <c r="E93" i="2"/>
  <c r="E317" i="2"/>
  <c r="F368" i="2"/>
  <c r="H368" i="2" s="1"/>
  <c r="E634" i="2"/>
  <c r="F634" i="2"/>
  <c r="C634" i="2"/>
  <c r="D634" i="2"/>
  <c r="F592" i="2"/>
  <c r="D592" i="2"/>
  <c r="E592" i="2"/>
  <c r="C592" i="2"/>
  <c r="F687" i="2"/>
  <c r="C687" i="2"/>
  <c r="D687" i="2"/>
  <c r="E687" i="2"/>
  <c r="D602" i="2"/>
  <c r="C602" i="2"/>
  <c r="E602" i="2"/>
  <c r="F602" i="2"/>
  <c r="C655" i="2"/>
  <c r="D655" i="2"/>
  <c r="E655" i="2"/>
  <c r="F655" i="2"/>
  <c r="E489" i="2"/>
  <c r="C489" i="2"/>
  <c r="D489" i="2"/>
  <c r="F489" i="2"/>
  <c r="F628" i="2"/>
  <c r="C628" i="2"/>
  <c r="D628" i="2"/>
  <c r="E628" i="2"/>
  <c r="E572" i="2"/>
  <c r="F572" i="2"/>
  <c r="D572" i="2"/>
  <c r="C572" i="2"/>
  <c r="E493" i="2"/>
  <c r="F493" i="2"/>
  <c r="C493" i="2"/>
  <c r="D493" i="2"/>
  <c r="D590" i="2"/>
  <c r="F590" i="2"/>
  <c r="C590" i="2"/>
  <c r="E590" i="2"/>
  <c r="C527" i="2"/>
  <c r="J527" i="2" s="1"/>
  <c r="E527" i="2"/>
  <c r="G527" i="2" s="1"/>
  <c r="E464" i="2"/>
  <c r="F464" i="2"/>
  <c r="D464" i="2"/>
  <c r="C464" i="2"/>
  <c r="C631" i="2"/>
  <c r="F631" i="2"/>
  <c r="D631" i="2"/>
  <c r="E631" i="2"/>
  <c r="F544" i="2"/>
  <c r="C544" i="2"/>
  <c r="D544" i="2"/>
  <c r="E544" i="2"/>
  <c r="C424" i="2"/>
  <c r="E424" i="2"/>
  <c r="D424" i="2"/>
  <c r="C532" i="2"/>
  <c r="D532" i="2"/>
  <c r="E532" i="2"/>
  <c r="F532" i="2"/>
  <c r="C463" i="2"/>
  <c r="F463" i="2"/>
  <c r="C487" i="2"/>
  <c r="E487" i="2"/>
  <c r="F401" i="2"/>
  <c r="D401" i="2"/>
  <c r="E401" i="2"/>
  <c r="E331" i="2"/>
  <c r="F331" i="2"/>
  <c r="D331" i="2"/>
  <c r="C331" i="2"/>
  <c r="E320" i="2"/>
  <c r="C320" i="2"/>
  <c r="H320" i="2" s="1"/>
  <c r="D320" i="2"/>
  <c r="D356" i="2"/>
  <c r="C356" i="2"/>
  <c r="E356" i="2"/>
  <c r="F356" i="2"/>
  <c r="F312" i="2"/>
  <c r="C312" i="2"/>
  <c r="D312" i="2"/>
  <c r="E312" i="2"/>
  <c r="E423" i="2"/>
  <c r="D423" i="2"/>
  <c r="C423" i="2"/>
  <c r="C360" i="2"/>
  <c r="D360" i="2"/>
  <c r="E360" i="2"/>
  <c r="F360" i="2"/>
  <c r="D316" i="2"/>
  <c r="C316" i="2"/>
  <c r="E316" i="2"/>
  <c r="F316" i="2"/>
  <c r="F458" i="2"/>
  <c r="C458" i="2"/>
  <c r="E458" i="2"/>
  <c r="D458" i="2"/>
  <c r="D395" i="2"/>
  <c r="C395" i="2"/>
  <c r="E395" i="2"/>
  <c r="F395" i="2"/>
  <c r="C319" i="2"/>
  <c r="J319" i="2" s="1"/>
  <c r="F319" i="2"/>
  <c r="C538" i="2"/>
  <c r="J538" i="2" s="1"/>
  <c r="F538" i="2"/>
  <c r="C396" i="2"/>
  <c r="E396" i="2"/>
  <c r="F396" i="2"/>
  <c r="F442" i="2"/>
  <c r="C442" i="2"/>
  <c r="E442" i="2"/>
  <c r="D442" i="2"/>
  <c r="C329" i="2"/>
  <c r="F329" i="2"/>
  <c r="E329" i="2"/>
  <c r="D329" i="2"/>
  <c r="C358" i="2"/>
  <c r="D358" i="2"/>
  <c r="E358" i="2"/>
  <c r="F358" i="2"/>
  <c r="F374" i="2"/>
  <c r="D374" i="2"/>
  <c r="E374" i="2"/>
  <c r="C26" i="5"/>
  <c r="E26" i="5"/>
  <c r="D26" i="5"/>
  <c r="F26" i="5"/>
  <c r="D13" i="5"/>
  <c r="F13" i="5"/>
  <c r="C13" i="5"/>
  <c r="E13" i="5"/>
  <c r="F75" i="2"/>
  <c r="C75" i="2"/>
  <c r="D75" i="2"/>
  <c r="E75" i="2"/>
  <c r="F245" i="2"/>
  <c r="D245" i="2"/>
  <c r="E245" i="2"/>
  <c r="C245" i="2"/>
  <c r="F13" i="2"/>
  <c r="C13" i="2"/>
  <c r="E13" i="2"/>
  <c r="D13" i="2"/>
  <c r="D185" i="2"/>
  <c r="E185" i="2"/>
  <c r="F185" i="2"/>
  <c r="C185" i="2"/>
  <c r="E51" i="5"/>
  <c r="D51" i="5"/>
  <c r="C51" i="5"/>
  <c r="F51" i="5"/>
  <c r="F123" i="2"/>
  <c r="C123" i="2"/>
  <c r="D123" i="2"/>
  <c r="E123" i="2"/>
  <c r="D81" i="5"/>
  <c r="C81" i="5"/>
  <c r="F81" i="5"/>
  <c r="E81" i="5"/>
  <c r="D17" i="5"/>
  <c r="C17" i="5"/>
  <c r="F17" i="5"/>
  <c r="E17" i="5"/>
  <c r="E61" i="2"/>
  <c r="C61" i="2"/>
  <c r="D61" i="2"/>
  <c r="F61" i="2"/>
  <c r="D233" i="2"/>
  <c r="F233" i="2"/>
  <c r="E233" i="2"/>
  <c r="C233" i="2"/>
  <c r="E67" i="5"/>
  <c r="D67" i="5"/>
  <c r="F67" i="5"/>
  <c r="C67" i="5"/>
  <c r="F43" i="2"/>
  <c r="D43" i="2"/>
  <c r="C43" i="2"/>
  <c r="E43" i="2"/>
  <c r="F213" i="2"/>
  <c r="D213" i="2"/>
  <c r="C213" i="2"/>
  <c r="E213" i="2"/>
  <c r="E282" i="2"/>
  <c r="F282" i="2"/>
  <c r="C282" i="2"/>
  <c r="D282" i="2"/>
  <c r="C218" i="2"/>
  <c r="D218" i="2"/>
  <c r="E218" i="2"/>
  <c r="F218" i="2"/>
  <c r="E154" i="2"/>
  <c r="F154" i="2"/>
  <c r="D154" i="2"/>
  <c r="C154" i="2"/>
  <c r="F90" i="2"/>
  <c r="C90" i="2"/>
  <c r="D90" i="2"/>
  <c r="E90" i="2"/>
  <c r="F26" i="2"/>
  <c r="C26" i="2"/>
  <c r="D26" i="2"/>
  <c r="E26" i="2"/>
  <c r="F264" i="2"/>
  <c r="D264" i="2"/>
  <c r="C264" i="2"/>
  <c r="E264" i="2"/>
  <c r="F200" i="2"/>
  <c r="D200" i="2"/>
  <c r="E200" i="2"/>
  <c r="C200" i="2"/>
  <c r="F136" i="2"/>
  <c r="D136" i="2"/>
  <c r="C136" i="2"/>
  <c r="E136" i="2"/>
  <c r="F72" i="2"/>
  <c r="D72" i="2"/>
  <c r="E72" i="2"/>
  <c r="C72" i="2"/>
  <c r="E8" i="2"/>
  <c r="D8" i="2"/>
  <c r="C8" i="2"/>
  <c r="F8" i="2"/>
  <c r="C255" i="2"/>
  <c r="F255" i="2"/>
  <c r="E255" i="2"/>
  <c r="D255" i="2"/>
  <c r="F191" i="2"/>
  <c r="C191" i="2"/>
  <c r="E191" i="2"/>
  <c r="D191" i="2"/>
  <c r="F127" i="2"/>
  <c r="C127" i="2"/>
  <c r="E127" i="2"/>
  <c r="D127" i="2"/>
  <c r="C63" i="2"/>
  <c r="F63" i="2"/>
  <c r="D63" i="2"/>
  <c r="E63" i="2"/>
  <c r="E310" i="2"/>
  <c r="F310" i="2"/>
  <c r="C310" i="2"/>
  <c r="D310" i="2"/>
  <c r="E246" i="2"/>
  <c r="F246" i="2"/>
  <c r="D246" i="2"/>
  <c r="C246" i="2"/>
  <c r="E182" i="2"/>
  <c r="C182" i="2"/>
  <c r="D182" i="2"/>
  <c r="F182" i="2"/>
  <c r="E118" i="2"/>
  <c r="F118" i="2"/>
  <c r="C118" i="2"/>
  <c r="D118" i="2"/>
  <c r="E54" i="2"/>
  <c r="F54" i="2"/>
  <c r="C54" i="2"/>
  <c r="D54" i="2"/>
  <c r="F300" i="2"/>
  <c r="D300" i="2"/>
  <c r="E300" i="2"/>
  <c r="C300" i="2"/>
  <c r="F236" i="2"/>
  <c r="D236" i="2"/>
  <c r="C236" i="2"/>
  <c r="E236" i="2"/>
  <c r="D172" i="2"/>
  <c r="F172" i="2"/>
  <c r="E172" i="2"/>
  <c r="C172" i="2"/>
  <c r="C108" i="2"/>
  <c r="F108" i="2"/>
  <c r="D108" i="2"/>
  <c r="E108" i="2"/>
  <c r="F44" i="2"/>
  <c r="C44" i="2"/>
  <c r="D44" i="2"/>
  <c r="E44" i="2"/>
  <c r="F67" i="2"/>
  <c r="D67" i="2"/>
  <c r="C67" i="2"/>
  <c r="E67" i="2"/>
  <c r="E69" i="2"/>
  <c r="F69" i="2"/>
  <c r="D69" i="2"/>
  <c r="C69" i="2"/>
  <c r="C133" i="2"/>
  <c r="E133" i="2"/>
  <c r="D133" i="2"/>
  <c r="F133" i="2"/>
  <c r="D89" i="2"/>
  <c r="F89" i="2"/>
  <c r="E89" i="2"/>
  <c r="C89" i="2"/>
  <c r="D201" i="2"/>
  <c r="F201" i="2"/>
  <c r="E201" i="2"/>
  <c r="C201" i="2"/>
  <c r="D217" i="2"/>
  <c r="E217" i="2"/>
  <c r="F217" i="2"/>
  <c r="C217" i="2"/>
  <c r="E368" i="2"/>
  <c r="E400" i="2"/>
  <c r="D457" i="2"/>
  <c r="J457" i="2" s="1"/>
  <c r="F490" i="2"/>
  <c r="H490" i="2" s="1"/>
  <c r="D557" i="2"/>
  <c r="C505" i="2"/>
  <c r="E618" i="2"/>
  <c r="F618" i="2"/>
  <c r="C618" i="2"/>
  <c r="D618" i="2"/>
  <c r="F536" i="2"/>
  <c r="C536" i="2"/>
  <c r="D536" i="2"/>
  <c r="E536" i="2"/>
  <c r="F671" i="2"/>
  <c r="C671" i="2"/>
  <c r="D671" i="2"/>
  <c r="E671" i="2"/>
  <c r="D617" i="2"/>
  <c r="C617" i="2"/>
  <c r="H617" i="2" s="1"/>
  <c r="E617" i="2"/>
  <c r="F467" i="2"/>
  <c r="C467" i="2"/>
  <c r="D467" i="2"/>
  <c r="E467" i="2"/>
  <c r="E621" i="2"/>
  <c r="C621" i="2"/>
  <c r="D621" i="2"/>
  <c r="F621" i="2"/>
  <c r="C543" i="2"/>
  <c r="E543" i="2"/>
  <c r="G543" i="2" s="1"/>
  <c r="F567" i="2"/>
  <c r="E567" i="2"/>
  <c r="E485" i="2"/>
  <c r="D485" i="2"/>
  <c r="F520" i="2"/>
  <c r="C520" i="2"/>
  <c r="D520" i="2"/>
  <c r="G520" i="2" s="1"/>
  <c r="F452" i="2"/>
  <c r="C452" i="2"/>
  <c r="D607" i="2"/>
  <c r="J607" i="2" s="1"/>
  <c r="E607" i="2"/>
  <c r="C414" i="2"/>
  <c r="D414" i="2"/>
  <c r="E414" i="2"/>
  <c r="F414" i="2"/>
  <c r="C571" i="2"/>
  <c r="D571" i="2"/>
  <c r="E571" i="2"/>
  <c r="F571" i="2"/>
  <c r="E443" i="2"/>
  <c r="C443" i="2"/>
  <c r="H443" i="2" s="1"/>
  <c r="D443" i="2"/>
  <c r="F465" i="2"/>
  <c r="H465" i="2" s="1"/>
  <c r="D465" i="2"/>
  <c r="D384" i="2"/>
  <c r="F384" i="2"/>
  <c r="E384" i="2"/>
  <c r="C384" i="2"/>
  <c r="C435" i="2"/>
  <c r="F435" i="2"/>
  <c r="D435" i="2"/>
  <c r="E435" i="2"/>
  <c r="D343" i="2"/>
  <c r="F343" i="2"/>
  <c r="H343" i="2" s="1"/>
  <c r="F480" i="2"/>
  <c r="C480" i="2"/>
  <c r="C483" i="2"/>
  <c r="D483" i="2"/>
  <c r="F483" i="2"/>
  <c r="E483" i="2"/>
  <c r="E431" i="2"/>
  <c r="C431" i="2"/>
  <c r="F431" i="2"/>
  <c r="D431" i="2"/>
  <c r="C366" i="2"/>
  <c r="D366" i="2"/>
  <c r="E366" i="2"/>
  <c r="F366" i="2"/>
  <c r="D420" i="2"/>
  <c r="G420" i="2" s="1"/>
  <c r="C420" i="2"/>
  <c r="F420" i="2"/>
  <c r="C313" i="2"/>
  <c r="D313" i="2"/>
  <c r="E313" i="2"/>
  <c r="F313" i="2"/>
  <c r="C20" i="5"/>
  <c r="D20" i="5"/>
  <c r="F20" i="5"/>
  <c r="E20" i="5"/>
  <c r="C6" i="5"/>
  <c r="D6" i="5"/>
  <c r="E6" i="5"/>
  <c r="F6" i="5"/>
  <c r="C64" i="5"/>
  <c r="E64" i="5"/>
  <c r="F64" i="5"/>
  <c r="D64" i="5"/>
  <c r="C34" i="5"/>
  <c r="D34" i="5"/>
  <c r="F34" i="5"/>
  <c r="E34" i="5"/>
  <c r="C28" i="5"/>
  <c r="F28" i="5"/>
  <c r="E28" i="5"/>
  <c r="D28" i="5"/>
  <c r="C92" i="5"/>
  <c r="F92" i="5"/>
  <c r="E92" i="5"/>
  <c r="D92" i="5"/>
  <c r="F21" i="5"/>
  <c r="C21" i="5"/>
  <c r="D21" i="5"/>
  <c r="E21" i="5"/>
  <c r="F85" i="5"/>
  <c r="D85" i="5"/>
  <c r="E85" i="5"/>
  <c r="C85" i="5"/>
  <c r="C14" i="5"/>
  <c r="D14" i="5"/>
  <c r="F14" i="5"/>
  <c r="E14" i="5"/>
  <c r="C78" i="5"/>
  <c r="E78" i="5"/>
  <c r="D78" i="5"/>
  <c r="F78" i="5"/>
  <c r="C8" i="5"/>
  <c r="D8" i="5"/>
  <c r="E8" i="5"/>
  <c r="F8" i="5"/>
  <c r="C72" i="5"/>
  <c r="D72" i="5"/>
  <c r="E72" i="5"/>
  <c r="F72" i="5"/>
  <c r="C11" i="5"/>
  <c r="D11" i="5"/>
  <c r="F11" i="5"/>
  <c r="E11" i="5"/>
  <c r="D97" i="2"/>
  <c r="F97" i="2"/>
  <c r="E97" i="2"/>
  <c r="C97" i="2"/>
  <c r="F267" i="2"/>
  <c r="E267" i="2"/>
  <c r="C267" i="2"/>
  <c r="D267" i="2"/>
  <c r="F35" i="2"/>
  <c r="D35" i="2"/>
  <c r="C35" i="2"/>
  <c r="E35" i="2"/>
  <c r="F205" i="2"/>
  <c r="E205" i="2"/>
  <c r="C205" i="2"/>
  <c r="D205" i="2"/>
  <c r="E83" i="5"/>
  <c r="F83" i="5"/>
  <c r="D83" i="5"/>
  <c r="C83" i="5"/>
  <c r="D145" i="2"/>
  <c r="E145" i="2"/>
  <c r="F145" i="2"/>
  <c r="C145" i="2"/>
  <c r="C9" i="5"/>
  <c r="F9" i="5"/>
  <c r="D9" i="5"/>
  <c r="E9" i="5"/>
  <c r="D73" i="5"/>
  <c r="E73" i="5"/>
  <c r="F73" i="5"/>
  <c r="C73" i="5"/>
  <c r="F7" i="5"/>
  <c r="E7" i="5"/>
  <c r="D7" i="5"/>
  <c r="C7" i="5"/>
  <c r="F83" i="2"/>
  <c r="E83" i="2"/>
  <c r="C83" i="2"/>
  <c r="D83" i="2"/>
  <c r="E253" i="2"/>
  <c r="D253" i="2"/>
  <c r="F253" i="2"/>
  <c r="C253" i="2"/>
  <c r="E99" i="5"/>
  <c r="D99" i="5"/>
  <c r="C99" i="5"/>
  <c r="F99" i="5"/>
  <c r="F65" i="2"/>
  <c r="D65" i="2"/>
  <c r="C65" i="2"/>
  <c r="E65" i="2"/>
  <c r="F235" i="2"/>
  <c r="E235" i="2"/>
  <c r="D235" i="2"/>
  <c r="C235" i="2"/>
  <c r="F274" i="2"/>
  <c r="C274" i="2"/>
  <c r="D274" i="2"/>
  <c r="E274" i="2"/>
  <c r="F210" i="2"/>
  <c r="E210" i="2"/>
  <c r="D210" i="2"/>
  <c r="C210" i="2"/>
  <c r="F146" i="2"/>
  <c r="C146" i="2"/>
  <c r="D146" i="2"/>
  <c r="E146" i="2"/>
  <c r="E82" i="2"/>
  <c r="C82" i="2"/>
  <c r="D82" i="2"/>
  <c r="F82" i="2"/>
  <c r="E18" i="2"/>
  <c r="C18" i="2"/>
  <c r="D18" i="2"/>
  <c r="F18" i="2"/>
  <c r="F256" i="2"/>
  <c r="D256" i="2"/>
  <c r="C256" i="2"/>
  <c r="E256" i="2"/>
  <c r="F192" i="2"/>
  <c r="C192" i="2"/>
  <c r="D192" i="2"/>
  <c r="E192" i="2"/>
  <c r="F128" i="2"/>
  <c r="C128" i="2"/>
  <c r="D128" i="2"/>
  <c r="E128" i="2"/>
  <c r="F64" i="2"/>
  <c r="E64" i="2"/>
  <c r="C64" i="2"/>
  <c r="D64" i="2"/>
  <c r="C2" i="2"/>
  <c r="F2" i="2"/>
  <c r="E2" i="2"/>
  <c r="D2" i="2"/>
  <c r="C247" i="2"/>
  <c r="D247" i="2"/>
  <c r="E247" i="2"/>
  <c r="F247" i="2"/>
  <c r="F183" i="2"/>
  <c r="C183" i="2"/>
  <c r="E183" i="2"/>
  <c r="D183" i="2"/>
  <c r="C119" i="2"/>
  <c r="D119" i="2"/>
  <c r="E119" i="2"/>
  <c r="F119" i="2"/>
  <c r="F55" i="2"/>
  <c r="E55" i="2"/>
  <c r="C55" i="2"/>
  <c r="D55" i="2"/>
  <c r="E302" i="2"/>
  <c r="F302" i="2"/>
  <c r="D302" i="2"/>
  <c r="C302" i="2"/>
  <c r="E238" i="2"/>
  <c r="D238" i="2"/>
  <c r="C238" i="2"/>
  <c r="F238" i="2"/>
  <c r="E174" i="2"/>
  <c r="D174" i="2"/>
  <c r="F174" i="2"/>
  <c r="C174" i="2"/>
  <c r="E110" i="2"/>
  <c r="F110" i="2"/>
  <c r="D110" i="2"/>
  <c r="C110" i="2"/>
  <c r="E46" i="2"/>
  <c r="F46" i="2"/>
  <c r="D46" i="2"/>
  <c r="C46" i="2"/>
  <c r="D292" i="2"/>
  <c r="C292" i="2"/>
  <c r="E292" i="2"/>
  <c r="F292" i="2"/>
  <c r="D228" i="2"/>
  <c r="F228" i="2"/>
  <c r="C228" i="2"/>
  <c r="E228" i="2"/>
  <c r="D164" i="2"/>
  <c r="F164" i="2"/>
  <c r="C164" i="2"/>
  <c r="E164" i="2"/>
  <c r="C100" i="2"/>
  <c r="F100" i="2"/>
  <c r="D100" i="2"/>
  <c r="E100" i="2"/>
  <c r="C36" i="2"/>
  <c r="E36" i="2"/>
  <c r="D36" i="2"/>
  <c r="F36" i="2"/>
  <c r="F115" i="2"/>
  <c r="D115" i="2"/>
  <c r="E115" i="2"/>
  <c r="C115" i="2"/>
  <c r="F131" i="2"/>
  <c r="E131" i="2"/>
  <c r="D131" i="2"/>
  <c r="C131" i="2"/>
  <c r="F195" i="2"/>
  <c r="E195" i="2"/>
  <c r="D195" i="2"/>
  <c r="C195" i="2"/>
  <c r="F137" i="2"/>
  <c r="D137" i="2"/>
  <c r="E137" i="2"/>
  <c r="C137" i="2"/>
  <c r="F261" i="2"/>
  <c r="E261" i="2"/>
  <c r="C261" i="2"/>
  <c r="D261" i="2"/>
  <c r="D265" i="2"/>
  <c r="E265" i="2"/>
  <c r="C265" i="2"/>
  <c r="F265" i="2"/>
  <c r="C352" i="2"/>
  <c r="H352" i="2" s="1"/>
  <c r="D396" i="2"/>
  <c r="D400" i="2"/>
  <c r="F457" i="2"/>
  <c r="H457" i="2" s="1"/>
  <c r="D487" i="2"/>
  <c r="D490" i="2"/>
  <c r="J490" i="2" s="1"/>
  <c r="E538" i="2"/>
  <c r="G538" i="2" s="1"/>
  <c r="C616" i="2"/>
  <c r="D616" i="2"/>
  <c r="G616" i="2" s="1"/>
  <c r="F521" i="2"/>
  <c r="D521" i="2"/>
  <c r="E521" i="2"/>
  <c r="C521" i="2"/>
  <c r="F652" i="2"/>
  <c r="C652" i="2"/>
  <c r="D652" i="2"/>
  <c r="E652" i="2"/>
  <c r="F497" i="2"/>
  <c r="D497" i="2"/>
  <c r="C497" i="2"/>
  <c r="E497" i="2"/>
  <c r="F608" i="2"/>
  <c r="C608" i="2"/>
  <c r="E608" i="2"/>
  <c r="G608" i="2" s="1"/>
  <c r="F560" i="2"/>
  <c r="E560" i="2"/>
  <c r="C560" i="2"/>
  <c r="D560" i="2"/>
  <c r="E575" i="2"/>
  <c r="G575" i="2" s="1"/>
  <c r="F575" i="2"/>
  <c r="C511" i="2"/>
  <c r="H511" i="2" s="1"/>
  <c r="D511" i="2"/>
  <c r="E511" i="2"/>
  <c r="F450" i="2"/>
  <c r="D450" i="2"/>
  <c r="E450" i="2"/>
  <c r="C450" i="2"/>
  <c r="C599" i="2"/>
  <c r="D599" i="2"/>
  <c r="G599" i="2" s="1"/>
  <c r="F599" i="2"/>
  <c r="D515" i="2"/>
  <c r="G515" i="2" s="1"/>
  <c r="C515" i="2"/>
  <c r="F515" i="2"/>
  <c r="D364" i="2"/>
  <c r="G364" i="2" s="1"/>
  <c r="F364" i="2"/>
  <c r="C364" i="2"/>
  <c r="F568" i="2"/>
  <c r="C568" i="2"/>
  <c r="D568" i="2"/>
  <c r="E568" i="2"/>
  <c r="C427" i="2"/>
  <c r="F427" i="2"/>
  <c r="E427" i="2"/>
  <c r="G427" i="2" s="1"/>
  <c r="F382" i="2"/>
  <c r="C382" i="2"/>
  <c r="C495" i="2"/>
  <c r="E495" i="2"/>
  <c r="F429" i="2"/>
  <c r="C429" i="2"/>
  <c r="E429" i="2"/>
  <c r="D429" i="2"/>
  <c r="D385" i="2"/>
  <c r="C385" i="2"/>
  <c r="E385" i="2"/>
  <c r="F385" i="2"/>
  <c r="D340" i="2"/>
  <c r="C340" i="2"/>
  <c r="E340" i="2"/>
  <c r="F340" i="2"/>
  <c r="F410" i="2"/>
  <c r="H410" i="2" s="1"/>
  <c r="E410" i="2"/>
  <c r="D410" i="2"/>
  <c r="J410" i="2" s="1"/>
  <c r="C473" i="2"/>
  <c r="D473" i="2"/>
  <c r="C408" i="2"/>
  <c r="D408" i="2"/>
  <c r="F408" i="2"/>
  <c r="E408" i="2"/>
  <c r="C413" i="2"/>
  <c r="D413" i="2"/>
  <c r="F413" i="2"/>
  <c r="E413" i="2"/>
  <c r="C311" i="2"/>
  <c r="J311" i="2" s="1"/>
  <c r="F311" i="2"/>
  <c r="F584" i="2"/>
  <c r="C584" i="2"/>
  <c r="D584" i="2"/>
  <c r="E584" i="2"/>
  <c r="D444" i="2"/>
  <c r="C444" i="2"/>
  <c r="E444" i="2"/>
  <c r="F444" i="2"/>
  <c r="E367" i="2"/>
  <c r="G367" i="2" s="1"/>
  <c r="F367" i="2"/>
  <c r="C90" i="5"/>
  <c r="E90" i="5"/>
  <c r="F90" i="5"/>
  <c r="D90" i="5"/>
  <c r="C77" i="5"/>
  <c r="E77" i="5"/>
  <c r="D77" i="5"/>
  <c r="F77" i="5"/>
  <c r="C134" i="5"/>
  <c r="D134" i="5"/>
  <c r="E134" i="5"/>
  <c r="F134" i="5"/>
  <c r="C128" i="5"/>
  <c r="D128" i="5"/>
  <c r="E128" i="5"/>
  <c r="F128" i="5"/>
  <c r="C98" i="5"/>
  <c r="E98" i="5"/>
  <c r="D98" i="5"/>
  <c r="F98" i="5"/>
  <c r="C42" i="5"/>
  <c r="E42" i="5"/>
  <c r="D42" i="5"/>
  <c r="F42" i="5"/>
  <c r="C106" i="5"/>
  <c r="E106" i="5"/>
  <c r="D106" i="5"/>
  <c r="F106" i="5"/>
  <c r="C36" i="5"/>
  <c r="F36" i="5"/>
  <c r="E36" i="5"/>
  <c r="D36" i="5"/>
  <c r="C100" i="5"/>
  <c r="E100" i="5"/>
  <c r="F100" i="5"/>
  <c r="D100" i="5"/>
  <c r="C29" i="5"/>
  <c r="D29" i="5"/>
  <c r="F29" i="5"/>
  <c r="E29" i="5"/>
  <c r="C93" i="5"/>
  <c r="F93" i="5"/>
  <c r="E93" i="5"/>
  <c r="D93" i="5"/>
  <c r="C22" i="5"/>
  <c r="F22" i="5"/>
  <c r="E22" i="5"/>
  <c r="D22" i="5"/>
  <c r="C86" i="5"/>
  <c r="E86" i="5"/>
  <c r="F86" i="5"/>
  <c r="D86" i="5"/>
  <c r="C16" i="5"/>
  <c r="F16" i="5"/>
  <c r="D16" i="5"/>
  <c r="E16" i="5"/>
  <c r="C80" i="5"/>
  <c r="E80" i="5"/>
  <c r="D80" i="5"/>
  <c r="F80" i="5"/>
  <c r="E43" i="5"/>
  <c r="F43" i="5"/>
  <c r="D43" i="5"/>
  <c r="C43" i="5"/>
  <c r="F117" i="2"/>
  <c r="D117" i="2"/>
  <c r="C117" i="2"/>
  <c r="E117" i="2"/>
  <c r="D289" i="2"/>
  <c r="E289" i="2"/>
  <c r="F289" i="2"/>
  <c r="C289" i="2"/>
  <c r="D57" i="2"/>
  <c r="C57" i="2"/>
  <c r="F57" i="2"/>
  <c r="E57" i="2"/>
  <c r="F227" i="2"/>
  <c r="E227" i="2"/>
  <c r="D227" i="2"/>
  <c r="C227" i="2"/>
  <c r="E115" i="5"/>
  <c r="C115" i="5"/>
  <c r="D115" i="5"/>
  <c r="F115" i="5"/>
  <c r="C165" i="2"/>
  <c r="D165" i="2"/>
  <c r="F165" i="2"/>
  <c r="E165" i="2"/>
  <c r="D129" i="5"/>
  <c r="E129" i="5"/>
  <c r="F129" i="5"/>
  <c r="C129" i="5"/>
  <c r="D65" i="5"/>
  <c r="E65" i="5"/>
  <c r="F65" i="5"/>
  <c r="C65" i="5"/>
  <c r="E3" i="5"/>
  <c r="C3" i="5"/>
  <c r="F3" i="5"/>
  <c r="D3" i="5"/>
  <c r="D105" i="2"/>
  <c r="E105" i="2"/>
  <c r="F105" i="2"/>
  <c r="C105" i="2"/>
  <c r="F275" i="2"/>
  <c r="C275" i="2"/>
  <c r="D275" i="2"/>
  <c r="E275" i="2"/>
  <c r="E131" i="5"/>
  <c r="D131" i="5"/>
  <c r="F131" i="5"/>
  <c r="C131" i="5"/>
  <c r="D85" i="2"/>
  <c r="C85" i="2"/>
  <c r="F85" i="2"/>
  <c r="E85" i="2"/>
  <c r="D257" i="2"/>
  <c r="E257" i="2"/>
  <c r="C257" i="2"/>
  <c r="F257" i="2"/>
  <c r="E266" i="2"/>
  <c r="D266" i="2"/>
  <c r="C266" i="2"/>
  <c r="F266" i="2"/>
  <c r="F202" i="2"/>
  <c r="E202" i="2"/>
  <c r="D202" i="2"/>
  <c r="C202" i="2"/>
  <c r="F138" i="2"/>
  <c r="E138" i="2"/>
  <c r="D138" i="2"/>
  <c r="C138" i="2"/>
  <c r="F74" i="2"/>
  <c r="E74" i="2"/>
  <c r="D74" i="2"/>
  <c r="C74" i="2"/>
  <c r="F10" i="2"/>
  <c r="D10" i="2"/>
  <c r="C10" i="2"/>
  <c r="E10" i="2"/>
  <c r="E248" i="2"/>
  <c r="D248" i="2"/>
  <c r="C248" i="2"/>
  <c r="F248" i="2"/>
  <c r="F184" i="2"/>
  <c r="E184" i="2"/>
  <c r="D184" i="2"/>
  <c r="C184" i="2"/>
  <c r="F120" i="2"/>
  <c r="E120" i="2"/>
  <c r="D120" i="2"/>
  <c r="C120" i="2"/>
  <c r="F56" i="2"/>
  <c r="D56" i="2"/>
  <c r="C56" i="2"/>
  <c r="E56" i="2"/>
  <c r="C303" i="2"/>
  <c r="D303" i="2"/>
  <c r="E303" i="2"/>
  <c r="F303" i="2"/>
  <c r="C239" i="2"/>
  <c r="F239" i="2"/>
  <c r="E239" i="2"/>
  <c r="D239" i="2"/>
  <c r="F175" i="2"/>
  <c r="C175" i="2"/>
  <c r="D175" i="2"/>
  <c r="E175" i="2"/>
  <c r="F111" i="2"/>
  <c r="C111" i="2"/>
  <c r="E111" i="2"/>
  <c r="D111" i="2"/>
  <c r="F47" i="2"/>
  <c r="C47" i="2"/>
  <c r="D47" i="2"/>
  <c r="E47" i="2"/>
  <c r="E294" i="2"/>
  <c r="F294" i="2"/>
  <c r="D294" i="2"/>
  <c r="C294" i="2"/>
  <c r="F230" i="2"/>
  <c r="E230" i="2"/>
  <c r="C230" i="2"/>
  <c r="D230" i="2"/>
  <c r="F166" i="2"/>
  <c r="E166" i="2"/>
  <c r="D166" i="2"/>
  <c r="C166" i="2"/>
  <c r="F102" i="2"/>
  <c r="E102" i="2"/>
  <c r="D102" i="2"/>
  <c r="C102" i="2"/>
  <c r="E38" i="2"/>
  <c r="F38" i="2"/>
  <c r="C38" i="2"/>
  <c r="D38" i="2"/>
  <c r="D284" i="2"/>
  <c r="F284" i="2"/>
  <c r="C284" i="2"/>
  <c r="E284" i="2"/>
  <c r="D220" i="2"/>
  <c r="C220" i="2"/>
  <c r="F220" i="2"/>
  <c r="E220" i="2"/>
  <c r="D156" i="2"/>
  <c r="F156" i="2"/>
  <c r="C156" i="2"/>
  <c r="E156" i="2"/>
  <c r="C92" i="2"/>
  <c r="D92" i="2"/>
  <c r="F92" i="2"/>
  <c r="E92" i="2"/>
  <c r="C28" i="2"/>
  <c r="D28" i="2"/>
  <c r="E28" i="2"/>
  <c r="F28" i="2"/>
  <c r="D177" i="2"/>
  <c r="E177" i="2"/>
  <c r="F177" i="2"/>
  <c r="C177" i="2"/>
  <c r="F179" i="2"/>
  <c r="D179" i="2"/>
  <c r="C179" i="2"/>
  <c r="E179" i="2"/>
  <c r="F243" i="2"/>
  <c r="C243" i="2"/>
  <c r="D243" i="2"/>
  <c r="E243" i="2"/>
  <c r="F197" i="2"/>
  <c r="E197" i="2"/>
  <c r="D197" i="2"/>
  <c r="C197" i="2"/>
  <c r="F307" i="2"/>
  <c r="D307" i="2"/>
  <c r="C307" i="2"/>
  <c r="E307" i="2"/>
  <c r="D49" i="2"/>
  <c r="F49" i="2"/>
  <c r="E49" i="2"/>
  <c r="C49" i="2"/>
  <c r="C401" i="2"/>
  <c r="F424" i="2"/>
  <c r="E417" i="2"/>
  <c r="G417" i="2" s="1"/>
  <c r="D463" i="2"/>
  <c r="F486" i="2"/>
  <c r="F646" i="2"/>
  <c r="H646" i="2" s="1"/>
  <c r="C500" i="2"/>
  <c r="D500" i="2"/>
  <c r="E500" i="2"/>
  <c r="F500" i="2"/>
  <c r="E640" i="2"/>
  <c r="C640" i="2"/>
  <c r="D640" i="2"/>
  <c r="F640" i="2"/>
  <c r="D436" i="2"/>
  <c r="J436" i="2" s="1"/>
  <c r="E436" i="2"/>
  <c r="F436" i="2"/>
  <c r="H436" i="2" s="1"/>
  <c r="C593" i="2"/>
  <c r="F593" i="2"/>
  <c r="D593" i="2"/>
  <c r="G593" i="2" s="1"/>
  <c r="C524" i="2"/>
  <c r="D524" i="2"/>
  <c r="E524" i="2"/>
  <c r="F524" i="2"/>
  <c r="C603" i="2"/>
  <c r="D603" i="2"/>
  <c r="C554" i="2"/>
  <c r="F554" i="2"/>
  <c r="E564" i="2"/>
  <c r="C564" i="2"/>
  <c r="D564" i="2"/>
  <c r="F564" i="2"/>
  <c r="E501" i="2"/>
  <c r="D501" i="2"/>
  <c r="C501" i="2"/>
  <c r="F501" i="2"/>
  <c r="C596" i="2"/>
  <c r="F596" i="2"/>
  <c r="D596" i="2"/>
  <c r="E596" i="2"/>
  <c r="E507" i="2"/>
  <c r="C507" i="2"/>
  <c r="D507" i="2"/>
  <c r="F507" i="2"/>
  <c r="D403" i="2"/>
  <c r="E403" i="2"/>
  <c r="F403" i="2"/>
  <c r="C403" i="2"/>
  <c r="F454" i="2"/>
  <c r="C454" i="2"/>
  <c r="D454" i="2"/>
  <c r="E454" i="2"/>
  <c r="C373" i="2"/>
  <c r="D373" i="2"/>
  <c r="G373" i="2" s="1"/>
  <c r="D482" i="2"/>
  <c r="C482" i="2"/>
  <c r="E482" i="2"/>
  <c r="C425" i="2"/>
  <c r="H425" i="2" s="1"/>
  <c r="D425" i="2"/>
  <c r="E425" i="2"/>
  <c r="F350" i="2"/>
  <c r="C350" i="2"/>
  <c r="E350" i="2"/>
  <c r="D350" i="2"/>
  <c r="D440" i="2"/>
  <c r="E440" i="2"/>
  <c r="F440" i="2"/>
  <c r="C440" i="2"/>
  <c r="C398" i="2"/>
  <c r="D398" i="2"/>
  <c r="E398" i="2"/>
  <c r="F398" i="2"/>
  <c r="C345" i="2"/>
  <c r="D345" i="2"/>
  <c r="E345" i="2"/>
  <c r="F345" i="2"/>
  <c r="E471" i="2"/>
  <c r="C471" i="2"/>
  <c r="F471" i="2"/>
  <c r="D471" i="2"/>
  <c r="F402" i="2"/>
  <c r="C402" i="2"/>
  <c r="J402" i="2" s="1"/>
  <c r="E402" i="2"/>
  <c r="G402" i="2" s="1"/>
  <c r="E333" i="2"/>
  <c r="C333" i="2"/>
  <c r="H333" i="2" s="1"/>
  <c r="D333" i="2"/>
  <c r="D412" i="2"/>
  <c r="C412" i="2"/>
  <c r="E412" i="2"/>
  <c r="F412" i="2"/>
  <c r="F481" i="2"/>
  <c r="D481" i="2"/>
  <c r="E481" i="2"/>
  <c r="C481" i="2"/>
  <c r="D422" i="2"/>
  <c r="E422" i="2"/>
  <c r="F422" i="2"/>
  <c r="C422" i="2"/>
  <c r="F426" i="2"/>
  <c r="C426" i="2"/>
  <c r="D426" i="2"/>
  <c r="E426" i="2"/>
  <c r="C84" i="5"/>
  <c r="F84" i="5"/>
  <c r="E84" i="5"/>
  <c r="D84" i="5"/>
  <c r="C70" i="5"/>
  <c r="F70" i="5"/>
  <c r="E70" i="5"/>
  <c r="D70" i="5"/>
  <c r="C50" i="5"/>
  <c r="D50" i="5"/>
  <c r="F50" i="5"/>
  <c r="E50" i="5"/>
  <c r="C114" i="5"/>
  <c r="F114" i="5"/>
  <c r="D114" i="5"/>
  <c r="E114" i="5"/>
  <c r="C44" i="5"/>
  <c r="F44" i="5"/>
  <c r="E44" i="5"/>
  <c r="D44" i="5"/>
  <c r="C108" i="5"/>
  <c r="F108" i="5"/>
  <c r="E108" i="5"/>
  <c r="D108" i="5"/>
  <c r="F37" i="5"/>
  <c r="E37" i="5"/>
  <c r="C37" i="5"/>
  <c r="D37" i="5"/>
  <c r="F101" i="5"/>
  <c r="D101" i="5"/>
  <c r="C101" i="5"/>
  <c r="E101" i="5"/>
  <c r="C30" i="5"/>
  <c r="D30" i="5"/>
  <c r="E30" i="5"/>
  <c r="F30" i="5"/>
  <c r="C94" i="5"/>
  <c r="D94" i="5"/>
  <c r="E94" i="5"/>
  <c r="F94" i="5"/>
  <c r="C24" i="5"/>
  <c r="D24" i="5"/>
  <c r="F24" i="5"/>
  <c r="E24" i="5"/>
  <c r="C88" i="5"/>
  <c r="D88" i="5"/>
  <c r="E88" i="5"/>
  <c r="F88" i="5"/>
  <c r="F75" i="5"/>
  <c r="D75" i="5"/>
  <c r="C75" i="5"/>
  <c r="E75" i="5"/>
  <c r="F139" i="2"/>
  <c r="E139" i="2"/>
  <c r="C139" i="2"/>
  <c r="D139" i="2"/>
  <c r="F309" i="2"/>
  <c r="D309" i="2"/>
  <c r="E309" i="2"/>
  <c r="C309" i="2"/>
  <c r="F77" i="2"/>
  <c r="E77" i="2"/>
  <c r="C77" i="2"/>
  <c r="D77" i="2"/>
  <c r="D249" i="2"/>
  <c r="E249" i="2"/>
  <c r="F249" i="2"/>
  <c r="C249" i="2"/>
  <c r="D17" i="2"/>
  <c r="E17" i="2"/>
  <c r="F17" i="2"/>
  <c r="C17" i="2"/>
  <c r="F187" i="2"/>
  <c r="C187" i="2"/>
  <c r="D187" i="2"/>
  <c r="E187" i="2"/>
  <c r="D121" i="5"/>
  <c r="E121" i="5"/>
  <c r="C121" i="5"/>
  <c r="F121" i="5"/>
  <c r="E57" i="5"/>
  <c r="F57" i="5"/>
  <c r="C57" i="5"/>
  <c r="D57" i="5"/>
  <c r="C55" i="5"/>
  <c r="E55" i="5"/>
  <c r="F55" i="5"/>
  <c r="D55" i="5"/>
  <c r="F125" i="2"/>
  <c r="E125" i="2"/>
  <c r="D125" i="2"/>
  <c r="C125" i="2"/>
  <c r="D297" i="2"/>
  <c r="E297" i="2"/>
  <c r="C297" i="2"/>
  <c r="F297" i="2"/>
  <c r="C27" i="5"/>
  <c r="E27" i="5"/>
  <c r="D27" i="5"/>
  <c r="F27" i="5"/>
  <c r="F107" i="2"/>
  <c r="C107" i="2"/>
  <c r="D107" i="2"/>
  <c r="E107" i="2"/>
  <c r="D277" i="2"/>
  <c r="F277" i="2"/>
  <c r="E277" i="2"/>
  <c r="C277" i="2"/>
  <c r="F258" i="2"/>
  <c r="D258" i="2"/>
  <c r="E258" i="2"/>
  <c r="C258" i="2"/>
  <c r="F194" i="2"/>
  <c r="C194" i="2"/>
  <c r="D194" i="2"/>
  <c r="E194" i="2"/>
  <c r="F130" i="2"/>
  <c r="D130" i="2"/>
  <c r="E130" i="2"/>
  <c r="C130" i="2"/>
  <c r="F66" i="2"/>
  <c r="E66" i="2"/>
  <c r="C66" i="2"/>
  <c r="D66" i="2"/>
  <c r="C304" i="2"/>
  <c r="D304" i="2"/>
  <c r="F304" i="2"/>
  <c r="E304" i="2"/>
  <c r="E240" i="2"/>
  <c r="F240" i="2"/>
  <c r="C240" i="2"/>
  <c r="D240" i="2"/>
  <c r="D176" i="2"/>
  <c r="E176" i="2"/>
  <c r="F176" i="2"/>
  <c r="C176" i="2"/>
  <c r="E112" i="2"/>
  <c r="F112" i="2"/>
  <c r="C112" i="2"/>
  <c r="D112" i="2"/>
  <c r="F48" i="2"/>
  <c r="C48" i="2"/>
  <c r="D48" i="2"/>
  <c r="E48" i="2"/>
  <c r="C295" i="2"/>
  <c r="E295" i="2"/>
  <c r="F295" i="2"/>
  <c r="D295" i="2"/>
  <c r="C231" i="2"/>
  <c r="D231" i="2"/>
  <c r="F231" i="2"/>
  <c r="E231" i="2"/>
  <c r="C167" i="2"/>
  <c r="E167" i="2"/>
  <c r="D167" i="2"/>
  <c r="F167" i="2"/>
  <c r="C103" i="2"/>
  <c r="F103" i="2"/>
  <c r="D103" i="2"/>
  <c r="E103" i="2"/>
  <c r="C39" i="2"/>
  <c r="F39" i="2"/>
  <c r="E39" i="2"/>
  <c r="D39" i="2"/>
  <c r="E286" i="2"/>
  <c r="D286" i="2"/>
  <c r="F286" i="2"/>
  <c r="C286" i="2"/>
  <c r="F222" i="2"/>
  <c r="E222" i="2"/>
  <c r="D222" i="2"/>
  <c r="C222" i="2"/>
  <c r="E158" i="2"/>
  <c r="D158" i="2"/>
  <c r="C158" i="2"/>
  <c r="F158" i="2"/>
  <c r="E94" i="2"/>
  <c r="C94" i="2"/>
  <c r="D94" i="2"/>
  <c r="F94" i="2"/>
  <c r="E30" i="2"/>
  <c r="F30" i="2"/>
  <c r="D30" i="2"/>
  <c r="C30" i="2"/>
  <c r="D276" i="2"/>
  <c r="E276" i="2"/>
  <c r="F276" i="2"/>
  <c r="C276" i="2"/>
  <c r="F212" i="2"/>
  <c r="D212" i="2"/>
  <c r="E212" i="2"/>
  <c r="C212" i="2"/>
  <c r="F148" i="2"/>
  <c r="D148" i="2"/>
  <c r="E148" i="2"/>
  <c r="C148" i="2"/>
  <c r="F84" i="2"/>
  <c r="C84" i="2"/>
  <c r="D84" i="2"/>
  <c r="E84" i="2"/>
  <c r="F20" i="2"/>
  <c r="C20" i="2"/>
  <c r="D20" i="2"/>
  <c r="E20" i="2"/>
  <c r="E237" i="2"/>
  <c r="F237" i="2"/>
  <c r="D237" i="2"/>
  <c r="C237" i="2"/>
  <c r="F241" i="2"/>
  <c r="D241" i="2"/>
  <c r="E241" i="2"/>
  <c r="C241" i="2"/>
  <c r="E301" i="2"/>
  <c r="D301" i="2"/>
  <c r="F301" i="2"/>
  <c r="C301" i="2"/>
  <c r="F259" i="2"/>
  <c r="E259" i="2"/>
  <c r="D259" i="2"/>
  <c r="C259" i="2"/>
  <c r="F157" i="2"/>
  <c r="D157" i="2"/>
  <c r="C157" i="2"/>
  <c r="E157" i="2"/>
  <c r="E109" i="2"/>
  <c r="C109" i="2"/>
  <c r="D109" i="2"/>
  <c r="F109" i="2"/>
  <c r="D352" i="2"/>
  <c r="C374" i="2"/>
  <c r="E457" i="2"/>
  <c r="C417" i="2"/>
  <c r="J417" i="2" s="1"/>
  <c r="E463" i="2"/>
  <c r="D486" i="2"/>
  <c r="F589" i="2"/>
  <c r="H589" i="2" s="1"/>
  <c r="D611" i="2"/>
  <c r="F611" i="2"/>
  <c r="C611" i="2"/>
  <c r="E611" i="2"/>
  <c r="C390" i="2"/>
  <c r="E390" i="2"/>
  <c r="G390" i="2" s="1"/>
  <c r="E633" i="2"/>
  <c r="D633" i="2"/>
  <c r="C633" i="2"/>
  <c r="E446" i="2"/>
  <c r="F446" i="2"/>
  <c r="C446" i="2"/>
  <c r="D446" i="2"/>
  <c r="C546" i="2"/>
  <c r="F546" i="2"/>
  <c r="E387" i="2"/>
  <c r="F387" i="2"/>
  <c r="H387" i="2" s="1"/>
  <c r="E581" i="2"/>
  <c r="D581" i="2"/>
  <c r="F581" i="2"/>
  <c r="C581" i="2"/>
  <c r="D522" i="2"/>
  <c r="E522" i="2"/>
  <c r="C522" i="2"/>
  <c r="F522" i="2"/>
  <c r="F528" i="2"/>
  <c r="E528" i="2"/>
  <c r="C528" i="2"/>
  <c r="D528" i="2"/>
  <c r="C559" i="2"/>
  <c r="E559" i="2"/>
  <c r="G559" i="2" s="1"/>
  <c r="E494" i="2"/>
  <c r="D494" i="2"/>
  <c r="C494" i="2"/>
  <c r="F494" i="2"/>
  <c r="C591" i="2"/>
  <c r="D591" i="2"/>
  <c r="E591" i="2"/>
  <c r="F591" i="2"/>
  <c r="D498" i="2"/>
  <c r="C498" i="2"/>
  <c r="E498" i="2"/>
  <c r="C555" i="2"/>
  <c r="D555" i="2"/>
  <c r="E555" i="2"/>
  <c r="F555" i="2"/>
  <c r="F504" i="2"/>
  <c r="E504" i="2"/>
  <c r="G504" i="2" s="1"/>
  <c r="C327" i="2"/>
  <c r="J327" i="2" s="1"/>
  <c r="F327" i="2"/>
  <c r="F451" i="2"/>
  <c r="E451" i="2"/>
  <c r="D451" i="2"/>
  <c r="C451" i="2"/>
  <c r="D419" i="2"/>
  <c r="J419" i="2" s="1"/>
  <c r="E419" i="2"/>
  <c r="F419" i="2"/>
  <c r="H419" i="2" s="1"/>
  <c r="D348" i="2"/>
  <c r="C348" i="2"/>
  <c r="F348" i="2"/>
  <c r="E348" i="2"/>
  <c r="C377" i="2"/>
  <c r="J377" i="2" s="1"/>
  <c r="F377" i="2"/>
  <c r="D332" i="2"/>
  <c r="C332" i="2"/>
  <c r="E332" i="2"/>
  <c r="F332" i="2"/>
  <c r="D438" i="2"/>
  <c r="E438" i="2"/>
  <c r="F438" i="2"/>
  <c r="C438" i="2"/>
  <c r="C397" i="2"/>
  <c r="D397" i="2"/>
  <c r="E397" i="2"/>
  <c r="F397" i="2"/>
  <c r="C470" i="2"/>
  <c r="E470" i="2"/>
  <c r="F470" i="2"/>
  <c r="D470" i="2"/>
  <c r="F393" i="2"/>
  <c r="H393" i="2" s="1"/>
  <c r="D393" i="2"/>
  <c r="J393" i="2" s="1"/>
  <c r="E393" i="2"/>
  <c r="C326" i="2"/>
  <c r="D326" i="2"/>
  <c r="E326" i="2"/>
  <c r="F326" i="2"/>
  <c r="C406" i="2"/>
  <c r="D406" i="2"/>
  <c r="F406" i="2"/>
  <c r="E406" i="2"/>
  <c r="C530" i="2"/>
  <c r="F530" i="2"/>
  <c r="C354" i="2"/>
  <c r="E354" i="2"/>
  <c r="C58" i="5"/>
  <c r="E58" i="5"/>
  <c r="F58" i="5"/>
  <c r="D58" i="5"/>
  <c r="C52" i="5"/>
  <c r="E52" i="5"/>
  <c r="F52" i="5"/>
  <c r="D52" i="5"/>
  <c r="C45" i="5"/>
  <c r="D45" i="5"/>
  <c r="F45" i="5"/>
  <c r="E45" i="5"/>
  <c r="C38" i="5"/>
  <c r="D38" i="5"/>
  <c r="F38" i="5"/>
  <c r="E38" i="5"/>
  <c r="C102" i="5"/>
  <c r="D102" i="5"/>
  <c r="E102" i="5"/>
  <c r="F102" i="5"/>
  <c r="C32" i="5"/>
  <c r="D32" i="5"/>
  <c r="F32" i="5"/>
  <c r="E32" i="5"/>
  <c r="C96" i="5"/>
  <c r="F96" i="5"/>
  <c r="D96" i="5"/>
  <c r="E96" i="5"/>
  <c r="D107" i="5"/>
  <c r="E107" i="5"/>
  <c r="C107" i="5"/>
  <c r="F107" i="5"/>
  <c r="D161" i="2"/>
  <c r="E161" i="2"/>
  <c r="F161" i="2"/>
  <c r="C161" i="2"/>
  <c r="C15" i="5"/>
  <c r="F15" i="5"/>
  <c r="D15" i="5"/>
  <c r="E15" i="5"/>
  <c r="F99" i="2"/>
  <c r="E99" i="2"/>
  <c r="D99" i="2"/>
  <c r="C99" i="2"/>
  <c r="F269" i="2"/>
  <c r="E269" i="2"/>
  <c r="C269" i="2"/>
  <c r="D269" i="2"/>
  <c r="F37" i="2"/>
  <c r="E37" i="2"/>
  <c r="C37" i="2"/>
  <c r="D37" i="2"/>
  <c r="D209" i="2"/>
  <c r="E209" i="2"/>
  <c r="C209" i="2"/>
  <c r="F209" i="2"/>
  <c r="D113" i="5"/>
  <c r="E113" i="5"/>
  <c r="F113" i="5"/>
  <c r="C113" i="5"/>
  <c r="D49" i="5"/>
  <c r="F49" i="5"/>
  <c r="E49" i="5"/>
  <c r="C49" i="5"/>
  <c r="C87" i="5"/>
  <c r="D87" i="5"/>
  <c r="E87" i="5"/>
  <c r="F87" i="5"/>
  <c r="F147" i="2"/>
  <c r="C147" i="2"/>
  <c r="D147" i="2"/>
  <c r="E147" i="2"/>
  <c r="C10" i="5"/>
  <c r="E10" i="5"/>
  <c r="F10" i="5"/>
  <c r="D10" i="5"/>
  <c r="C59" i="5"/>
  <c r="E59" i="5"/>
  <c r="D59" i="5"/>
  <c r="F59" i="5"/>
  <c r="F129" i="2"/>
  <c r="D129" i="2"/>
  <c r="E129" i="2"/>
  <c r="C129" i="2"/>
  <c r="F299" i="2"/>
  <c r="D299" i="2"/>
  <c r="C299" i="2"/>
  <c r="E299" i="2"/>
  <c r="F250" i="2"/>
  <c r="C250" i="2"/>
  <c r="D250" i="2"/>
  <c r="E250" i="2"/>
  <c r="D186" i="2"/>
  <c r="E186" i="2"/>
  <c r="F186" i="2"/>
  <c r="C186" i="2"/>
  <c r="C122" i="2"/>
  <c r="E122" i="2"/>
  <c r="F122" i="2"/>
  <c r="D122" i="2"/>
  <c r="F58" i="2"/>
  <c r="D58" i="2"/>
  <c r="C58" i="2"/>
  <c r="E58" i="2"/>
  <c r="F296" i="2"/>
  <c r="E296" i="2"/>
  <c r="C296" i="2"/>
  <c r="D296" i="2"/>
  <c r="F232" i="2"/>
  <c r="C232" i="2"/>
  <c r="D232" i="2"/>
  <c r="E232" i="2"/>
  <c r="F168" i="2"/>
  <c r="E168" i="2"/>
  <c r="D168" i="2"/>
  <c r="C168" i="2"/>
  <c r="C104" i="2"/>
  <c r="F104" i="2"/>
  <c r="D104" i="2"/>
  <c r="E104" i="2"/>
  <c r="F40" i="2"/>
  <c r="E40" i="2"/>
  <c r="D40" i="2"/>
  <c r="C40" i="2"/>
  <c r="F287" i="2"/>
  <c r="C287" i="2"/>
  <c r="E287" i="2"/>
  <c r="D287" i="2"/>
  <c r="F223" i="2"/>
  <c r="C223" i="2"/>
  <c r="E223" i="2"/>
  <c r="D223" i="2"/>
  <c r="F159" i="2"/>
  <c r="C159" i="2"/>
  <c r="E159" i="2"/>
  <c r="D159" i="2"/>
  <c r="C95" i="2"/>
  <c r="F95" i="2"/>
  <c r="E95" i="2"/>
  <c r="D95" i="2"/>
  <c r="C31" i="2"/>
  <c r="F31" i="2"/>
  <c r="D31" i="2"/>
  <c r="E31" i="2"/>
  <c r="F278" i="2"/>
  <c r="E278" i="2"/>
  <c r="C278" i="2"/>
  <c r="D278" i="2"/>
  <c r="E214" i="2"/>
  <c r="F214" i="2"/>
  <c r="C214" i="2"/>
  <c r="D214" i="2"/>
  <c r="E150" i="2"/>
  <c r="F150" i="2"/>
  <c r="C150" i="2"/>
  <c r="D150" i="2"/>
  <c r="F86" i="2"/>
  <c r="E86" i="2"/>
  <c r="D86" i="2"/>
  <c r="C86" i="2"/>
  <c r="E22" i="2"/>
  <c r="F22" i="2"/>
  <c r="C22" i="2"/>
  <c r="D22" i="2"/>
  <c r="D268" i="2"/>
  <c r="F268" i="2"/>
  <c r="E268" i="2"/>
  <c r="C268" i="2"/>
  <c r="D204" i="2"/>
  <c r="E204" i="2"/>
  <c r="F204" i="2"/>
  <c r="C204" i="2"/>
  <c r="F140" i="2"/>
  <c r="D140" i="2"/>
  <c r="E140" i="2"/>
  <c r="C140" i="2"/>
  <c r="F76" i="2"/>
  <c r="C76" i="2"/>
  <c r="D76" i="2"/>
  <c r="E76" i="2"/>
  <c r="C12" i="2"/>
  <c r="D12" i="2"/>
  <c r="F12" i="2"/>
  <c r="E12" i="2"/>
  <c r="D285" i="2"/>
  <c r="E285" i="2"/>
  <c r="F285" i="2"/>
  <c r="C285" i="2"/>
  <c r="C293" i="2"/>
  <c r="E293" i="2"/>
  <c r="F293" i="2"/>
  <c r="D293" i="2"/>
  <c r="E23" i="5"/>
  <c r="C23" i="5"/>
  <c r="F23" i="5"/>
  <c r="D23" i="5"/>
  <c r="F305" i="2"/>
  <c r="D305" i="2"/>
  <c r="E305" i="2"/>
  <c r="C305" i="2"/>
  <c r="F221" i="2"/>
  <c r="D221" i="2"/>
  <c r="C221" i="2"/>
  <c r="E221" i="2"/>
  <c r="F219" i="2"/>
  <c r="C219" i="2"/>
  <c r="D219" i="2"/>
  <c r="E219" i="2"/>
  <c r="F417" i="2"/>
  <c r="F487" i="2"/>
  <c r="C486" i="2"/>
  <c r="F527" i="2"/>
  <c r="D589" i="2"/>
  <c r="F645" i="2"/>
  <c r="C645" i="2"/>
  <c r="D645" i="2"/>
  <c r="E645" i="2"/>
  <c r="E597" i="2"/>
  <c r="G597" i="2" s="1"/>
  <c r="C597" i="2"/>
  <c r="J597" i="2" s="1"/>
  <c r="F597" i="2"/>
  <c r="E632" i="2"/>
  <c r="F632" i="2"/>
  <c r="C632" i="2"/>
  <c r="D632" i="2"/>
  <c r="F660" i="2"/>
  <c r="C660" i="2"/>
  <c r="E660" i="2"/>
  <c r="D660" i="2"/>
  <c r="C531" i="2"/>
  <c r="E531" i="2"/>
  <c r="D531" i="2"/>
  <c r="F531" i="2"/>
  <c r="D376" i="2"/>
  <c r="G376" i="2" s="1"/>
  <c r="F376" i="2"/>
  <c r="C376" i="2"/>
  <c r="E453" i="2"/>
  <c r="F453" i="2"/>
  <c r="C453" i="2"/>
  <c r="D453" i="2"/>
  <c r="C583" i="2"/>
  <c r="E583" i="2"/>
  <c r="E516" i="2"/>
  <c r="F516" i="2"/>
  <c r="C516" i="2"/>
  <c r="D516" i="2"/>
  <c r="E315" i="2"/>
  <c r="D315" i="2"/>
  <c r="C479" i="2"/>
  <c r="D479" i="2"/>
  <c r="G479" i="2" s="1"/>
  <c r="D392" i="2"/>
  <c r="J392" i="2" s="1"/>
  <c r="E392" i="2"/>
  <c r="C605" i="2"/>
  <c r="D605" i="2"/>
  <c r="G605" i="2" s="1"/>
  <c r="E553" i="2"/>
  <c r="C553" i="2"/>
  <c r="D553" i="2"/>
  <c r="F553" i="2"/>
  <c r="E484" i="2"/>
  <c r="F484" i="2"/>
  <c r="C484" i="2"/>
  <c r="D484" i="2"/>
  <c r="C503" i="2"/>
  <c r="F503" i="2"/>
  <c r="D503" i="2"/>
  <c r="E503" i="2"/>
  <c r="E421" i="2"/>
  <c r="F421" i="2"/>
  <c r="C421" i="2"/>
  <c r="D421" i="2"/>
  <c r="F336" i="2"/>
  <c r="C336" i="2"/>
  <c r="D336" i="2"/>
  <c r="C462" i="2"/>
  <c r="E462" i="2"/>
  <c r="F462" i="2"/>
  <c r="D462" i="2"/>
  <c r="D404" i="2"/>
  <c r="C404" i="2"/>
  <c r="E404" i="2"/>
  <c r="F342" i="2"/>
  <c r="C342" i="2"/>
  <c r="D342" i="2"/>
  <c r="E342" i="2"/>
  <c r="D430" i="2"/>
  <c r="E430" i="2"/>
  <c r="F430" i="2"/>
  <c r="C430" i="2"/>
  <c r="D324" i="2"/>
  <c r="C324" i="2"/>
  <c r="E324" i="2"/>
  <c r="F324" i="2"/>
  <c r="C386" i="2"/>
  <c r="D386" i="2"/>
  <c r="E386" i="2"/>
  <c r="F386" i="2"/>
  <c r="C321" i="2"/>
  <c r="D321" i="2"/>
  <c r="E321" i="2"/>
  <c r="F321" i="2"/>
  <c r="C405" i="2"/>
  <c r="D405" i="2"/>
  <c r="F405" i="2"/>
  <c r="E405" i="2"/>
  <c r="C339" i="2"/>
  <c r="D339" i="2"/>
  <c r="G339" i="2" s="1"/>
  <c r="C122" i="5"/>
  <c r="E122" i="5"/>
  <c r="D122" i="5"/>
  <c r="F122" i="5"/>
  <c r="C116" i="5"/>
  <c r="E116" i="5"/>
  <c r="D116" i="5"/>
  <c r="F116" i="5"/>
  <c r="F109" i="5"/>
  <c r="D109" i="5"/>
  <c r="E109" i="5"/>
  <c r="C109" i="5"/>
  <c r="C66" i="5"/>
  <c r="D66" i="5"/>
  <c r="E66" i="5"/>
  <c r="F66" i="5"/>
  <c r="C130" i="5"/>
  <c r="F130" i="5"/>
  <c r="D130" i="5"/>
  <c r="E130" i="5"/>
  <c r="C60" i="5"/>
  <c r="F60" i="5"/>
  <c r="D60" i="5"/>
  <c r="E60" i="5"/>
  <c r="C124" i="5"/>
  <c r="F124" i="5"/>
  <c r="D124" i="5"/>
  <c r="E124" i="5"/>
  <c r="F53" i="5"/>
  <c r="C53" i="5"/>
  <c r="E53" i="5"/>
  <c r="D53" i="5"/>
  <c r="F117" i="5"/>
  <c r="E117" i="5"/>
  <c r="C117" i="5"/>
  <c r="D117" i="5"/>
  <c r="C46" i="5"/>
  <c r="E46" i="5"/>
  <c r="F46" i="5"/>
  <c r="D46" i="5"/>
  <c r="C110" i="5"/>
  <c r="E110" i="5"/>
  <c r="F110" i="5"/>
  <c r="D110" i="5"/>
  <c r="C40" i="5"/>
  <c r="D40" i="5"/>
  <c r="F40" i="5"/>
  <c r="E40" i="5"/>
  <c r="C104" i="5"/>
  <c r="D104" i="5"/>
  <c r="F104" i="5"/>
  <c r="E104" i="5"/>
  <c r="F11" i="2"/>
  <c r="E11" i="2"/>
  <c r="D11" i="2"/>
  <c r="C11" i="2"/>
  <c r="F181" i="2"/>
  <c r="D181" i="2"/>
  <c r="E181" i="2"/>
  <c r="C181" i="2"/>
  <c r="C47" i="5"/>
  <c r="D47" i="5"/>
  <c r="F47" i="5"/>
  <c r="E47" i="5"/>
  <c r="D121" i="2"/>
  <c r="F121" i="2"/>
  <c r="E121" i="2"/>
  <c r="C121" i="2"/>
  <c r="F291" i="2"/>
  <c r="E291" i="2"/>
  <c r="D291" i="2"/>
  <c r="C291" i="2"/>
  <c r="F59" i="2"/>
  <c r="D59" i="2"/>
  <c r="E59" i="2"/>
  <c r="C59" i="2"/>
  <c r="F229" i="2"/>
  <c r="C229" i="2"/>
  <c r="D229" i="2"/>
  <c r="E229" i="2"/>
  <c r="E105" i="5"/>
  <c r="F105" i="5"/>
  <c r="C105" i="5"/>
  <c r="D105" i="5"/>
  <c r="F41" i="5"/>
  <c r="C41" i="5"/>
  <c r="E41" i="5"/>
  <c r="D41" i="5"/>
  <c r="D119" i="5"/>
  <c r="F119" i="5"/>
  <c r="E119" i="5"/>
  <c r="C119" i="5"/>
  <c r="F169" i="2"/>
  <c r="D169" i="2"/>
  <c r="E169" i="2"/>
  <c r="C169" i="2"/>
  <c r="C31" i="5"/>
  <c r="E31" i="5"/>
  <c r="F31" i="5"/>
  <c r="D31" i="5"/>
  <c r="E91" i="5"/>
  <c r="D91" i="5"/>
  <c r="F91" i="5"/>
  <c r="C91" i="5"/>
  <c r="F149" i="2"/>
  <c r="D149" i="2"/>
  <c r="C149" i="2"/>
  <c r="E149" i="2"/>
  <c r="C306" i="2"/>
  <c r="F306" i="2"/>
  <c r="D306" i="2"/>
  <c r="E306" i="2"/>
  <c r="F242" i="2"/>
  <c r="C242" i="2"/>
  <c r="D242" i="2"/>
  <c r="E242" i="2"/>
  <c r="F178" i="2"/>
  <c r="C178" i="2"/>
  <c r="E178" i="2"/>
  <c r="D178" i="2"/>
  <c r="D114" i="2"/>
  <c r="F114" i="2"/>
  <c r="C114" i="2"/>
  <c r="E114" i="2"/>
  <c r="F50" i="2"/>
  <c r="E50" i="2"/>
  <c r="C50" i="2"/>
  <c r="D50" i="2"/>
  <c r="F288" i="2"/>
  <c r="C288" i="2"/>
  <c r="D288" i="2"/>
  <c r="E288" i="2"/>
  <c r="C224" i="2"/>
  <c r="F224" i="2"/>
  <c r="E224" i="2"/>
  <c r="D224" i="2"/>
  <c r="F160" i="2"/>
  <c r="C160" i="2"/>
  <c r="D160" i="2"/>
  <c r="E160" i="2"/>
  <c r="F96" i="2"/>
  <c r="C96" i="2"/>
  <c r="E96" i="2"/>
  <c r="D96" i="2"/>
  <c r="C32" i="2"/>
  <c r="F32" i="2"/>
  <c r="D32" i="2"/>
  <c r="E32" i="2"/>
  <c r="F279" i="2"/>
  <c r="C279" i="2"/>
  <c r="D279" i="2"/>
  <c r="E279" i="2"/>
  <c r="F215" i="2"/>
  <c r="C215" i="2"/>
  <c r="D215" i="2"/>
  <c r="E215" i="2"/>
  <c r="C151" i="2"/>
  <c r="F151" i="2"/>
  <c r="D151" i="2"/>
  <c r="E151" i="2"/>
  <c r="F87" i="2"/>
  <c r="C87" i="2"/>
  <c r="D87" i="2"/>
  <c r="E87" i="2"/>
  <c r="F23" i="2"/>
  <c r="C23" i="2"/>
  <c r="E23" i="2"/>
  <c r="D23" i="2"/>
  <c r="E270" i="2"/>
  <c r="F270" i="2"/>
  <c r="D270" i="2"/>
  <c r="C270" i="2"/>
  <c r="E206" i="2"/>
  <c r="D206" i="2"/>
  <c r="C206" i="2"/>
  <c r="F206" i="2"/>
  <c r="E142" i="2"/>
  <c r="F142" i="2"/>
  <c r="D142" i="2"/>
  <c r="C142" i="2"/>
  <c r="E78" i="2"/>
  <c r="D78" i="2"/>
  <c r="C78" i="2"/>
  <c r="F78" i="2"/>
  <c r="E14" i="2"/>
  <c r="F14" i="2"/>
  <c r="D14" i="2"/>
  <c r="C14" i="2"/>
  <c r="F260" i="2"/>
  <c r="D260" i="2"/>
  <c r="C260" i="2"/>
  <c r="E260" i="2"/>
  <c r="D196" i="2"/>
  <c r="C196" i="2"/>
  <c r="E196" i="2"/>
  <c r="F196" i="2"/>
  <c r="C132" i="2"/>
  <c r="F132" i="2"/>
  <c r="D132" i="2"/>
  <c r="E132" i="2"/>
  <c r="C68" i="2"/>
  <c r="D68" i="2"/>
  <c r="E68" i="2"/>
  <c r="F68" i="2"/>
  <c r="C4" i="2"/>
  <c r="F4" i="2"/>
  <c r="D4" i="2"/>
  <c r="E4" i="2"/>
  <c r="F173" i="2"/>
  <c r="E173" i="2"/>
  <c r="D173" i="2"/>
  <c r="C173" i="2"/>
  <c r="D103" i="5"/>
  <c r="E103" i="5"/>
  <c r="F103" i="5"/>
  <c r="C103" i="5"/>
  <c r="F51" i="2"/>
  <c r="E51" i="2"/>
  <c r="C51" i="2"/>
  <c r="D51" i="2"/>
  <c r="F29" i="2"/>
  <c r="E29" i="2"/>
  <c r="D29" i="2"/>
  <c r="C29" i="2"/>
  <c r="F45" i="2"/>
  <c r="E45" i="2"/>
  <c r="D45" i="2"/>
  <c r="C45" i="2"/>
  <c r="F283" i="2"/>
  <c r="E283" i="2"/>
  <c r="C283" i="2"/>
  <c r="D283" i="2"/>
  <c r="F317" i="2"/>
  <c r="H317" i="2" s="1"/>
  <c r="D530" i="2"/>
  <c r="G530" i="2" s="1"/>
  <c r="E490" i="2"/>
  <c r="C639" i="2"/>
  <c r="F639" i="2"/>
  <c r="E639" i="2"/>
  <c r="D639" i="2"/>
  <c r="D595" i="2"/>
  <c r="E595" i="2"/>
  <c r="C595" i="2"/>
  <c r="F595" i="2"/>
  <c r="D619" i="2"/>
  <c r="E619" i="2"/>
  <c r="C619" i="2"/>
  <c r="F619" i="2"/>
  <c r="C658" i="2"/>
  <c r="D658" i="2"/>
  <c r="F658" i="2"/>
  <c r="E658" i="2"/>
  <c r="C513" i="2"/>
  <c r="E513" i="2"/>
  <c r="G513" i="2" s="1"/>
  <c r="F644" i="2"/>
  <c r="C644" i="2"/>
  <c r="D644" i="2"/>
  <c r="E644" i="2"/>
  <c r="E561" i="2"/>
  <c r="D561" i="2"/>
  <c r="C561" i="2"/>
  <c r="F561" i="2"/>
  <c r="C369" i="2"/>
  <c r="D369" i="2"/>
  <c r="E369" i="2"/>
  <c r="F369" i="2"/>
  <c r="F576" i="2"/>
  <c r="E576" i="2"/>
  <c r="C576" i="2"/>
  <c r="D576" i="2"/>
  <c r="F508" i="2"/>
  <c r="E508" i="2"/>
  <c r="C508" i="2"/>
  <c r="D508" i="2"/>
  <c r="E604" i="2"/>
  <c r="C604" i="2"/>
  <c r="D604" i="2"/>
  <c r="F604" i="2"/>
  <c r="E540" i="2"/>
  <c r="C540" i="2"/>
  <c r="D540" i="2"/>
  <c r="F540" i="2"/>
  <c r="F472" i="2"/>
  <c r="D472" i="2"/>
  <c r="G472" i="2" s="1"/>
  <c r="C378" i="2"/>
  <c r="D378" i="2"/>
  <c r="E378" i="2"/>
  <c r="F378" i="2"/>
  <c r="C562" i="2"/>
  <c r="F562" i="2"/>
  <c r="F600" i="2"/>
  <c r="H600" i="2" s="1"/>
  <c r="D600" i="2"/>
  <c r="J600" i="2" s="1"/>
  <c r="E600" i="2"/>
  <c r="C551" i="2"/>
  <c r="E551" i="2"/>
  <c r="G551" i="2" s="1"/>
  <c r="C469" i="2"/>
  <c r="D469" i="2"/>
  <c r="E469" i="2"/>
  <c r="F469" i="2"/>
  <c r="E499" i="2"/>
  <c r="F499" i="2"/>
  <c r="C499" i="2"/>
  <c r="D499" i="2"/>
  <c r="E415" i="2"/>
  <c r="F415" i="2"/>
  <c r="D415" i="2"/>
  <c r="C415" i="2"/>
  <c r="E334" i="2"/>
  <c r="F334" i="2"/>
  <c r="C334" i="2"/>
  <c r="D334" i="2"/>
  <c r="E449" i="2"/>
  <c r="F449" i="2"/>
  <c r="H449" i="2" s="1"/>
  <c r="C389" i="2"/>
  <c r="F389" i="2"/>
  <c r="C338" i="2"/>
  <c r="E338" i="2"/>
  <c r="C365" i="2"/>
  <c r="D365" i="2"/>
  <c r="F365" i="2"/>
  <c r="E365" i="2"/>
  <c r="C318" i="2"/>
  <c r="D318" i="2"/>
  <c r="E318" i="2"/>
  <c r="F318" i="2"/>
  <c r="D460" i="2"/>
  <c r="C460" i="2"/>
  <c r="F460" i="2"/>
  <c r="E460" i="2"/>
  <c r="F383" i="2"/>
  <c r="H383" i="2" s="1"/>
  <c r="D383" i="2"/>
  <c r="E383" i="2"/>
  <c r="F434" i="2"/>
  <c r="C434" i="2"/>
  <c r="D434" i="2"/>
  <c r="G434" i="2" s="1"/>
  <c r="D39" i="5"/>
  <c r="C39" i="5"/>
  <c r="E39" i="5"/>
  <c r="F39" i="5"/>
  <c r="K757" i="2" l="1"/>
  <c r="K784" i="2"/>
  <c r="K1241" i="2"/>
  <c r="I935" i="2"/>
  <c r="K846" i="2"/>
  <c r="I1174" i="2"/>
  <c r="I1044" i="2"/>
  <c r="K1192" i="2"/>
  <c r="K1091" i="2"/>
  <c r="K1258" i="2"/>
  <c r="K1148" i="2"/>
  <c r="I405" i="5"/>
  <c r="I601" i="5"/>
  <c r="I1241" i="2"/>
  <c r="K1100" i="2"/>
  <c r="K896" i="2"/>
  <c r="I946" i="2"/>
  <c r="K955" i="2"/>
  <c r="K992" i="2"/>
  <c r="K548" i="5"/>
  <c r="I536" i="5"/>
  <c r="H835" i="2"/>
  <c r="N835" i="2"/>
  <c r="J835" i="2"/>
  <c r="K835" i="2" s="1"/>
  <c r="I761" i="2"/>
  <c r="I762" i="2"/>
  <c r="K1093" i="2"/>
  <c r="K612" i="5"/>
  <c r="G824" i="2"/>
  <c r="K771" i="2"/>
  <c r="K946" i="2"/>
  <c r="K1072" i="2"/>
  <c r="K1071" i="2"/>
  <c r="K1104" i="2"/>
  <c r="I1240" i="2"/>
  <c r="K1095" i="2"/>
  <c r="K826" i="2"/>
  <c r="K362" i="5"/>
  <c r="K379" i="5"/>
  <c r="K606" i="5"/>
  <c r="I1096" i="2"/>
  <c r="H886" i="2"/>
  <c r="N886" i="2"/>
  <c r="J886" i="2"/>
  <c r="I286" i="5"/>
  <c r="K789" i="2"/>
  <c r="K935" i="2"/>
  <c r="K827" i="2"/>
  <c r="K1248" i="2"/>
  <c r="K934" i="2"/>
  <c r="K594" i="5"/>
  <c r="K491" i="5"/>
  <c r="I422" i="5"/>
  <c r="K475" i="5"/>
  <c r="K266" i="5"/>
  <c r="I492" i="5"/>
  <c r="I427" i="5"/>
  <c r="N763" i="2"/>
  <c r="H763" i="2"/>
  <c r="I763" i="2" s="1"/>
  <c r="J763" i="2"/>
  <c r="K787" i="2"/>
  <c r="K812" i="2"/>
  <c r="K979" i="2"/>
  <c r="I1086" i="2"/>
  <c r="K1026" i="2"/>
  <c r="K802" i="2"/>
  <c r="K1037" i="2"/>
  <c r="K1147" i="2"/>
  <c r="K1010" i="2"/>
  <c r="I960" i="2"/>
  <c r="I1176" i="2"/>
  <c r="K956" i="2"/>
  <c r="K936" i="2"/>
  <c r="K1179" i="2"/>
  <c r="I599" i="5"/>
  <c r="I537" i="5"/>
  <c r="K270" i="5"/>
  <c r="K331" i="5"/>
  <c r="K1135" i="2"/>
  <c r="K944" i="2"/>
  <c r="K945" i="2"/>
  <c r="K912" i="2"/>
  <c r="K1040" i="2"/>
  <c r="K921" i="2"/>
  <c r="K866" i="2"/>
  <c r="I496" i="5"/>
  <c r="K308" i="5"/>
  <c r="I584" i="5"/>
  <c r="K603" i="5"/>
  <c r="I618" i="5"/>
  <c r="H1005" i="2"/>
  <c r="N1005" i="2"/>
  <c r="J1005" i="2"/>
  <c r="K1005" i="2" s="1"/>
  <c r="H1219" i="2"/>
  <c r="J1219" i="2"/>
  <c r="K1219" i="2" s="1"/>
  <c r="N1219" i="2"/>
  <c r="I285" i="5"/>
  <c r="K830" i="2"/>
  <c r="K974" i="2"/>
  <c r="K1025" i="2"/>
  <c r="K1125" i="2"/>
  <c r="I1190" i="2"/>
  <c r="K359" i="5"/>
  <c r="K257" i="5"/>
  <c r="K427" i="5"/>
  <c r="I386" i="5"/>
  <c r="K421" i="5"/>
  <c r="K627" i="5"/>
  <c r="K484" i="5"/>
  <c r="N1098" i="2"/>
  <c r="H1098" i="2"/>
  <c r="J1098" i="2"/>
  <c r="K1098" i="2" s="1"/>
  <c r="K1103" i="2"/>
  <c r="K303" i="5"/>
  <c r="I315" i="5"/>
  <c r="K465" i="5"/>
  <c r="I363" i="5"/>
  <c r="K476" i="5"/>
  <c r="K463" i="5"/>
  <c r="K383" i="5"/>
  <c r="K280" i="5"/>
  <c r="K422" i="5"/>
  <c r="K535" i="5"/>
  <c r="K564" i="5"/>
  <c r="K536" i="5"/>
  <c r="I755" i="2"/>
  <c r="K488" i="5"/>
  <c r="I836" i="2"/>
  <c r="H1042" i="2"/>
  <c r="J1042" i="2"/>
  <c r="N1042" i="2"/>
  <c r="N859" i="2"/>
  <c r="J859" i="2"/>
  <c r="H859" i="2"/>
  <c r="H930" i="2"/>
  <c r="H612" i="5"/>
  <c r="J1163" i="2"/>
  <c r="K1163" i="2" s="1"/>
  <c r="H1163" i="2"/>
  <c r="N1163" i="2"/>
  <c r="H862" i="2"/>
  <c r="K862" i="2" s="1"/>
  <c r="N862" i="2"/>
  <c r="N968" i="2"/>
  <c r="J968" i="2"/>
  <c r="K968" i="2" s="1"/>
  <c r="G949" i="2"/>
  <c r="I949" i="2" s="1"/>
  <c r="N1130" i="2"/>
  <c r="H1130" i="2"/>
  <c r="J1130" i="2"/>
  <c r="K1130" i="2" s="1"/>
  <c r="J778" i="2"/>
  <c r="H778" i="2"/>
  <c r="N778" i="2"/>
  <c r="J820" i="2"/>
  <c r="H820" i="2"/>
  <c r="N820" i="2"/>
  <c r="J278" i="5"/>
  <c r="H279" i="5"/>
  <c r="J279" i="5"/>
  <c r="H290" i="5"/>
  <c r="J290" i="5"/>
  <c r="H510" i="5"/>
  <c r="J510" i="5"/>
  <c r="K510" i="5" s="1"/>
  <c r="J514" i="5"/>
  <c r="H514" i="5"/>
  <c r="J562" i="5"/>
  <c r="H562" i="5"/>
  <c r="H319" i="5"/>
  <c r="K319" i="5" s="1"/>
  <c r="H527" i="5"/>
  <c r="J527" i="5"/>
  <c r="K527" i="5" s="1"/>
  <c r="J502" i="5"/>
  <c r="K502" i="5" s="1"/>
  <c r="H502" i="5"/>
  <c r="H1139" i="2"/>
  <c r="I1139" i="2" s="1"/>
  <c r="J1139" i="2"/>
  <c r="K1139" i="2" s="1"/>
  <c r="N1139" i="2"/>
  <c r="J1245" i="2"/>
  <c r="N1245" i="2"/>
  <c r="N980" i="2"/>
  <c r="J980" i="2"/>
  <c r="N903" i="2"/>
  <c r="H903" i="2"/>
  <c r="J903" i="2"/>
  <c r="K903" i="2" s="1"/>
  <c r="H864" i="2"/>
  <c r="J864" i="2"/>
  <c r="N864" i="2"/>
  <c r="J938" i="2"/>
  <c r="N938" i="2"/>
  <c r="J281" i="5"/>
  <c r="K281" i="5" s="1"/>
  <c r="H281" i="5"/>
  <c r="I281" i="5" s="1"/>
  <c r="J269" i="5"/>
  <c r="H269" i="5"/>
  <c r="K269" i="5" s="1"/>
  <c r="H461" i="5"/>
  <c r="J461" i="5"/>
  <c r="J575" i="5"/>
  <c r="K575" i="5" s="1"/>
  <c r="H575" i="5"/>
  <c r="J1112" i="2"/>
  <c r="H1112" i="2"/>
  <c r="N1112" i="2"/>
  <c r="H1169" i="2"/>
  <c r="N1169" i="2"/>
  <c r="J1169" i="2"/>
  <c r="N1189" i="2"/>
  <c r="J1189" i="2"/>
  <c r="H1189" i="2"/>
  <c r="J309" i="5"/>
  <c r="H255" i="5"/>
  <c r="I255" i="5" s="1"/>
  <c r="J255" i="5"/>
  <c r="J432" i="5"/>
  <c r="K432" i="5" s="1"/>
  <c r="H432" i="5"/>
  <c r="N967" i="2"/>
  <c r="H967" i="2"/>
  <c r="K967" i="2" s="1"/>
  <c r="J901" i="2"/>
  <c r="H901" i="2"/>
  <c r="N901" i="2"/>
  <c r="H953" i="2"/>
  <c r="N953" i="2"/>
  <c r="J1162" i="2"/>
  <c r="N1162" i="2"/>
  <c r="J336" i="5"/>
  <c r="K336" i="5" s="1"/>
  <c r="H336" i="5"/>
  <c r="I336" i="5" s="1"/>
  <c r="H477" i="5"/>
  <c r="J593" i="5"/>
  <c r="N1015" i="2"/>
  <c r="H1015" i="2"/>
  <c r="J1015" i="2"/>
  <c r="N1006" i="2"/>
  <c r="J1006" i="2"/>
  <c r="H951" i="2"/>
  <c r="N951" i="2"/>
  <c r="J951" i="2"/>
  <c r="K951" i="2" s="1"/>
  <c r="H909" i="2"/>
  <c r="J909" i="2"/>
  <c r="N909" i="2"/>
  <c r="J1003" i="2"/>
  <c r="K1003" i="2" s="1"/>
  <c r="H1003" i="2"/>
  <c r="N1003" i="2"/>
  <c r="N769" i="2"/>
  <c r="J769" i="2"/>
  <c r="K769" i="2" s="1"/>
  <c r="H769" i="2"/>
  <c r="J339" i="5"/>
  <c r="J449" i="5"/>
  <c r="J293" i="5"/>
  <c r="H293" i="5"/>
  <c r="K293" i="5" s="1"/>
  <c r="J541" i="5"/>
  <c r="K541" i="5" s="1"/>
  <c r="H541" i="5"/>
  <c r="J625" i="5"/>
  <c r="H625" i="5"/>
  <c r="J1017" i="2"/>
  <c r="G1017" i="2"/>
  <c r="H1027" i="2"/>
  <c r="I1027" i="2" s="1"/>
  <c r="J1027" i="2"/>
  <c r="K1027" i="2" s="1"/>
  <c r="N1027" i="2"/>
  <c r="N877" i="2"/>
  <c r="H877" i="2"/>
  <c r="J877" i="2"/>
  <c r="K877" i="2" s="1"/>
  <c r="N913" i="2"/>
  <c r="H913" i="2"/>
  <c r="J913" i="2"/>
  <c r="K913" i="2" s="1"/>
  <c r="J1019" i="2"/>
  <c r="N1019" i="2"/>
  <c r="H1019" i="2"/>
  <c r="H753" i="2"/>
  <c r="K753" i="2" s="1"/>
  <c r="N753" i="2"/>
  <c r="J1140" i="2"/>
  <c r="N1140" i="2"/>
  <c r="H1140" i="2"/>
  <c r="H367" i="5"/>
  <c r="J367" i="5"/>
  <c r="K367" i="5" s="1"/>
  <c r="H395" i="5"/>
  <c r="J395" i="5"/>
  <c r="H532" i="5"/>
  <c r="J532" i="5"/>
  <c r="J543" i="5"/>
  <c r="K543" i="5" s="1"/>
  <c r="H543" i="5"/>
  <c r="H512" i="5"/>
  <c r="N770" i="2"/>
  <c r="J770" i="2"/>
  <c r="N884" i="2"/>
  <c r="H884" i="2"/>
  <c r="J884" i="2"/>
  <c r="H847" i="2"/>
  <c r="J847" i="2"/>
  <c r="N847" i="2"/>
  <c r="J925" i="2"/>
  <c r="K925" i="2" s="1"/>
  <c r="N925" i="2"/>
  <c r="H925" i="2"/>
  <c r="G1118" i="2"/>
  <c r="G861" i="2"/>
  <c r="I861" i="2" s="1"/>
  <c r="J265" i="5"/>
  <c r="J401" i="5"/>
  <c r="G588" i="5"/>
  <c r="H1194" i="2"/>
  <c r="K1194" i="2" s="1"/>
  <c r="N1194" i="2"/>
  <c r="J1012" i="2"/>
  <c r="H1012" i="2"/>
  <c r="K1012" i="2" s="1"/>
  <c r="N1012" i="2"/>
  <c r="G991" i="2"/>
  <c r="H309" i="5"/>
  <c r="I310" i="5" s="1"/>
  <c r="H1205" i="2"/>
  <c r="K1205" i="2" s="1"/>
  <c r="H932" i="2"/>
  <c r="K932" i="2" s="1"/>
  <c r="J928" i="2"/>
  <c r="K928" i="2" s="1"/>
  <c r="G928" i="2"/>
  <c r="I929" i="2" s="1"/>
  <c r="H804" i="2"/>
  <c r="J804" i="2"/>
  <c r="N804" i="2"/>
  <c r="J1060" i="2"/>
  <c r="N1060" i="2"/>
  <c r="N764" i="2"/>
  <c r="H764" i="2"/>
  <c r="I765" i="2" s="1"/>
  <c r="H337" i="5"/>
  <c r="J337" i="5"/>
  <c r="H338" i="5"/>
  <c r="J338" i="5"/>
  <c r="H385" i="5"/>
  <c r="J385" i="5"/>
  <c r="J407" i="5"/>
  <c r="J624" i="5"/>
  <c r="H624" i="5"/>
  <c r="J306" i="5"/>
  <c r="H306" i="5"/>
  <c r="H428" i="5"/>
  <c r="I429" i="5" s="1"/>
  <c r="J428" i="5"/>
  <c r="K428" i="5" s="1"/>
  <c r="N1254" i="2"/>
  <c r="J1254" i="2"/>
  <c r="K1254" i="2" s="1"/>
  <c r="H783" i="2"/>
  <c r="I783" i="2" s="1"/>
  <c r="N783" i="2"/>
  <c r="J783" i="2"/>
  <c r="K783" i="2" s="1"/>
  <c r="H1036" i="2"/>
  <c r="J1036" i="2"/>
  <c r="N1036" i="2"/>
  <c r="J454" i="5"/>
  <c r="K454" i="5" s="1"/>
  <c r="H454" i="5"/>
  <c r="K1245" i="2"/>
  <c r="J1237" i="2"/>
  <c r="K1237" i="2" s="1"/>
  <c r="H1237" i="2"/>
  <c r="I1237" i="2" s="1"/>
  <c r="N1237" i="2"/>
  <c r="J1022" i="2"/>
  <c r="N1022" i="2"/>
  <c r="N800" i="2"/>
  <c r="J800" i="2"/>
  <c r="N933" i="2"/>
  <c r="J933" i="2"/>
  <c r="H933" i="2"/>
  <c r="I933" i="2" s="1"/>
  <c r="N836" i="2"/>
  <c r="H836" i="2"/>
  <c r="J836" i="2"/>
  <c r="K836" i="2" s="1"/>
  <c r="H254" i="5"/>
  <c r="J254" i="5"/>
  <c r="J481" i="5"/>
  <c r="H481" i="5"/>
  <c r="G476" i="5"/>
  <c r="J261" i="5"/>
  <c r="G340" i="5"/>
  <c r="I341" i="5" s="1"/>
  <c r="G416" i="5"/>
  <c r="J626" i="5"/>
  <c r="H626" i="5"/>
  <c r="K626" i="5" s="1"/>
  <c r="H871" i="2"/>
  <c r="I871" i="2" s="1"/>
  <c r="J871" i="2"/>
  <c r="K871" i="2" s="1"/>
  <c r="N871" i="2"/>
  <c r="J1133" i="2"/>
  <c r="K1133" i="2" s="1"/>
  <c r="N1133" i="2"/>
  <c r="H409" i="5"/>
  <c r="I409" i="5" s="1"/>
  <c r="J409" i="5"/>
  <c r="K409" i="5" s="1"/>
  <c r="J302" i="5"/>
  <c r="K302" i="5" s="1"/>
  <c r="H302" i="5"/>
  <c r="I303" i="5" s="1"/>
  <c r="G1087" i="2"/>
  <c r="I1087" i="2" s="1"/>
  <c r="N811" i="2"/>
  <c r="J811" i="2"/>
  <c r="K811" i="2" s="1"/>
  <c r="J985" i="2"/>
  <c r="H985" i="2"/>
  <c r="I985" i="2" s="1"/>
  <c r="N985" i="2"/>
  <c r="H1074" i="2"/>
  <c r="J1074" i="2"/>
  <c r="N1074" i="2"/>
  <c r="G901" i="2"/>
  <c r="J973" i="2"/>
  <c r="H973" i="2"/>
  <c r="N973" i="2"/>
  <c r="G358" i="5"/>
  <c r="G480" i="5"/>
  <c r="J573" i="5"/>
  <c r="K573" i="5" s="1"/>
  <c r="H573" i="5"/>
  <c r="H614" i="5"/>
  <c r="J614" i="5"/>
  <c r="N876" i="2"/>
  <c r="H876" i="2"/>
  <c r="J876" i="2"/>
  <c r="G793" i="2"/>
  <c r="I794" i="2" s="1"/>
  <c r="N1187" i="2"/>
  <c r="H1187" i="2"/>
  <c r="I1187" i="2" s="1"/>
  <c r="J1187" i="2"/>
  <c r="H296" i="5"/>
  <c r="I297" i="5" s="1"/>
  <c r="J296" i="5"/>
  <c r="H339" i="5"/>
  <c r="I339" i="5" s="1"/>
  <c r="J330" i="5"/>
  <c r="K330" i="5" s="1"/>
  <c r="H330" i="5"/>
  <c r="H451" i="5"/>
  <c r="J451" i="5"/>
  <c r="G509" i="5"/>
  <c r="H585" i="5"/>
  <c r="I586" i="5" s="1"/>
  <c r="J500" i="5"/>
  <c r="H500" i="5"/>
  <c r="G1073" i="2"/>
  <c r="I1074" i="2" s="1"/>
  <c r="J1018" i="2"/>
  <c r="K1018" i="2" s="1"/>
  <c r="N1018" i="2"/>
  <c r="G877" i="2"/>
  <c r="I878" i="2" s="1"/>
  <c r="J995" i="2"/>
  <c r="H995" i="2"/>
  <c r="N995" i="2"/>
  <c r="H1178" i="2"/>
  <c r="J1178" i="2"/>
  <c r="N1178" i="2"/>
  <c r="N779" i="2"/>
  <c r="J779" i="2"/>
  <c r="K779" i="2" s="1"/>
  <c r="G989" i="2"/>
  <c r="G1140" i="2"/>
  <c r="G276" i="5"/>
  <c r="H488" i="5"/>
  <c r="G606" i="5"/>
  <c r="J623" i="5"/>
  <c r="K623" i="5" s="1"/>
  <c r="H623" i="5"/>
  <c r="I624" i="5" s="1"/>
  <c r="J550" i="5"/>
  <c r="J777" i="2"/>
  <c r="K777" i="2" s="1"/>
  <c r="N777" i="2"/>
  <c r="H777" i="2"/>
  <c r="I777" i="2" s="1"/>
  <c r="J1164" i="2"/>
  <c r="H1164" i="2"/>
  <c r="N1164" i="2"/>
  <c r="H593" i="5"/>
  <c r="H855" i="2"/>
  <c r="J855" i="2"/>
  <c r="N855" i="2"/>
  <c r="G1123" i="2"/>
  <c r="N1118" i="2"/>
  <c r="J1118" i="2"/>
  <c r="J861" i="2"/>
  <c r="N861" i="2"/>
  <c r="N1141" i="2"/>
  <c r="J1141" i="2"/>
  <c r="J411" i="5"/>
  <c r="K411" i="5" s="1"/>
  <c r="G411" i="5"/>
  <c r="G271" i="5"/>
  <c r="I271" i="5" s="1"/>
  <c r="J628" i="5"/>
  <c r="J415" i="5"/>
  <c r="K415" i="5" s="1"/>
  <c r="G415" i="5"/>
  <c r="N1255" i="2"/>
  <c r="J1255" i="2"/>
  <c r="K1255" i="2" s="1"/>
  <c r="H1255" i="2"/>
  <c r="I1255" i="2" s="1"/>
  <c r="H1022" i="2"/>
  <c r="I1022" i="2" s="1"/>
  <c r="I1129" i="2"/>
  <c r="I302" i="5"/>
  <c r="I569" i="5"/>
  <c r="K582" i="5"/>
  <c r="I382" i="5"/>
  <c r="K376" i="5"/>
  <c r="K546" i="5"/>
  <c r="K464" i="5"/>
  <c r="K460" i="5"/>
  <c r="I376" i="5"/>
  <c r="K512" i="5"/>
  <c r="I277" i="5"/>
  <c r="K333" i="5"/>
  <c r="K555" i="5"/>
  <c r="K387" i="5"/>
  <c r="K583" i="5"/>
  <c r="H824" i="2"/>
  <c r="I825" i="2" s="1"/>
  <c r="N824" i="2"/>
  <c r="J824" i="2"/>
  <c r="G1098" i="2"/>
  <c r="I1098" i="2" s="1"/>
  <c r="N891" i="2"/>
  <c r="J891" i="2"/>
  <c r="K891" i="2" s="1"/>
  <c r="G1048" i="2"/>
  <c r="I1049" i="2" s="1"/>
  <c r="G1042" i="2"/>
  <c r="I1042" i="2" s="1"/>
  <c r="G804" i="2"/>
  <c r="H272" i="5"/>
  <c r="I273" i="5" s="1"/>
  <c r="J272" i="5"/>
  <c r="K272" i="5" s="1"/>
  <c r="G450" i="5"/>
  <c r="I451" i="5" s="1"/>
  <c r="H504" i="5"/>
  <c r="K504" i="5" s="1"/>
  <c r="J498" i="5"/>
  <c r="H498" i="5"/>
  <c r="K498" i="5" s="1"/>
  <c r="J865" i="2"/>
  <c r="H865" i="2"/>
  <c r="I865" i="2" s="1"/>
  <c r="N865" i="2"/>
  <c r="G1109" i="2"/>
  <c r="I1109" i="2" s="1"/>
  <c r="J1088" i="2"/>
  <c r="N1088" i="2"/>
  <c r="J1009" i="2"/>
  <c r="K1009" i="2" s="1"/>
  <c r="N1009" i="2"/>
  <c r="N1008" i="2"/>
  <c r="H1008" i="2"/>
  <c r="J1008" i="2"/>
  <c r="G1062" i="2"/>
  <c r="H1126" i="2"/>
  <c r="I1126" i="2" s="1"/>
  <c r="N1126" i="2"/>
  <c r="J1126" i="2"/>
  <c r="G780" i="2"/>
  <c r="I781" i="2" s="1"/>
  <c r="H372" i="5"/>
  <c r="J372" i="5"/>
  <c r="K372" i="5" s="1"/>
  <c r="G388" i="5"/>
  <c r="H289" i="5"/>
  <c r="I290" i="5" s="1"/>
  <c r="J289" i="5"/>
  <c r="G503" i="5"/>
  <c r="I504" i="5" s="1"/>
  <c r="H595" i="5"/>
  <c r="I595" i="5" s="1"/>
  <c r="J595" i="5"/>
  <c r="K595" i="5" s="1"/>
  <c r="G447" i="5"/>
  <c r="I448" i="5" s="1"/>
  <c r="H980" i="2"/>
  <c r="I980" i="2" s="1"/>
  <c r="N1078" i="2"/>
  <c r="J1078" i="2"/>
  <c r="H1078" i="2"/>
  <c r="I1079" i="2" s="1"/>
  <c r="J788" i="2"/>
  <c r="K788" i="2" s="1"/>
  <c r="H788" i="2"/>
  <c r="I789" i="2" s="1"/>
  <c r="N788" i="2"/>
  <c r="N1058" i="2"/>
  <c r="J1058" i="2"/>
  <c r="K1058" i="2" s="1"/>
  <c r="H1058" i="2"/>
  <c r="I1058" i="2" s="1"/>
  <c r="G1066" i="2"/>
  <c r="I1067" i="2" s="1"/>
  <c r="N1159" i="2"/>
  <c r="J1159" i="2"/>
  <c r="K1159" i="2" s="1"/>
  <c r="G1089" i="2"/>
  <c r="G269" i="5"/>
  <c r="I270" i="5" s="1"/>
  <c r="G323" i="5"/>
  <c r="G626" i="5"/>
  <c r="I626" i="5" s="1"/>
  <c r="H507" i="5"/>
  <c r="J507" i="5"/>
  <c r="J1114" i="2"/>
  <c r="K1114" i="2" s="1"/>
  <c r="N1114" i="2"/>
  <c r="G1225" i="2"/>
  <c r="G1169" i="2"/>
  <c r="G975" i="2"/>
  <c r="N1059" i="2"/>
  <c r="H1059" i="2"/>
  <c r="J1059" i="2"/>
  <c r="K1059" i="2" s="1"/>
  <c r="J1070" i="2"/>
  <c r="K1070" i="2" s="1"/>
  <c r="H1070" i="2"/>
  <c r="I1071" i="2" s="1"/>
  <c r="N1070" i="2"/>
  <c r="H972" i="2"/>
  <c r="N972" i="2"/>
  <c r="J972" i="2"/>
  <c r="K972" i="2" s="1"/>
  <c r="N805" i="2"/>
  <c r="J805" i="2"/>
  <c r="H1172" i="2"/>
  <c r="J326" i="5"/>
  <c r="H326" i="5"/>
  <c r="G413" i="5"/>
  <c r="J299" i="5"/>
  <c r="K299" i="5" s="1"/>
  <c r="H478" i="5"/>
  <c r="J478" i="5"/>
  <c r="K478" i="5" s="1"/>
  <c r="J258" i="5"/>
  <c r="H361" i="5"/>
  <c r="J361" i="5"/>
  <c r="K361" i="5" s="1"/>
  <c r="G1105" i="2"/>
  <c r="I1106" i="2" s="1"/>
  <c r="J1087" i="2"/>
  <c r="K1087" i="2" s="1"/>
  <c r="N1087" i="2"/>
  <c r="N772" i="2"/>
  <c r="H772" i="2"/>
  <c r="I772" i="2" s="1"/>
  <c r="G811" i="2"/>
  <c r="I812" i="2" s="1"/>
  <c r="J821" i="2"/>
  <c r="K821" i="2" s="1"/>
  <c r="N821" i="2"/>
  <c r="H821" i="2"/>
  <c r="G1221" i="2"/>
  <c r="I1222" i="2" s="1"/>
  <c r="H981" i="2"/>
  <c r="I982" i="2" s="1"/>
  <c r="J981" i="2"/>
  <c r="N981" i="2"/>
  <c r="G973" i="2"/>
  <c r="G318" i="5"/>
  <c r="I319" i="5" s="1"/>
  <c r="H397" i="5"/>
  <c r="I398" i="5" s="1"/>
  <c r="H358" i="5"/>
  <c r="J358" i="5"/>
  <c r="G414" i="5"/>
  <c r="H480" i="5"/>
  <c r="J480" i="5"/>
  <c r="G573" i="5"/>
  <c r="G614" i="5"/>
  <c r="H591" i="5"/>
  <c r="I592" i="5" s="1"/>
  <c r="J591" i="5"/>
  <c r="J1097" i="2"/>
  <c r="K1097" i="2" s="1"/>
  <c r="N1097" i="2"/>
  <c r="G1033" i="2"/>
  <c r="G1204" i="2"/>
  <c r="G892" i="2"/>
  <c r="N986" i="2"/>
  <c r="J986" i="2"/>
  <c r="K986" i="2" s="1"/>
  <c r="N1075" i="2"/>
  <c r="H1075" i="2"/>
  <c r="I1075" i="2" s="1"/>
  <c r="J1075" i="2"/>
  <c r="K1075" i="2" s="1"/>
  <c r="G909" i="2"/>
  <c r="I910" i="2" s="1"/>
  <c r="J793" i="2"/>
  <c r="N793" i="2"/>
  <c r="H793" i="2"/>
  <c r="N1227" i="2"/>
  <c r="J1227" i="2"/>
  <c r="K1227" i="2" s="1"/>
  <c r="H1227" i="2"/>
  <c r="I1227" i="2" s="1"/>
  <c r="G1094" i="2"/>
  <c r="J890" i="2"/>
  <c r="N890" i="2"/>
  <c r="G1149" i="2"/>
  <c r="I1149" i="2" s="1"/>
  <c r="J322" i="5"/>
  <c r="K322" i="5" s="1"/>
  <c r="J521" i="5"/>
  <c r="K521" i="5" s="1"/>
  <c r="G292" i="5"/>
  <c r="J509" i="5"/>
  <c r="H509" i="5"/>
  <c r="I625" i="5"/>
  <c r="N785" i="2"/>
  <c r="H785" i="2"/>
  <c r="K785" i="2" s="1"/>
  <c r="H941" i="2"/>
  <c r="I941" i="2" s="1"/>
  <c r="N941" i="2"/>
  <c r="J941" i="2"/>
  <c r="K941" i="2" s="1"/>
  <c r="N817" i="2"/>
  <c r="J817" i="2"/>
  <c r="K817" i="2" s="1"/>
  <c r="H983" i="2"/>
  <c r="J983" i="2"/>
  <c r="N983" i="2"/>
  <c r="G1019" i="2"/>
  <c r="G1178" i="2"/>
  <c r="G1007" i="2"/>
  <c r="H779" i="2"/>
  <c r="J276" i="5"/>
  <c r="K276" i="5" s="1"/>
  <c r="H276" i="5"/>
  <c r="G351" i="5"/>
  <c r="G324" i="5"/>
  <c r="H346" i="5"/>
  <c r="K346" i="5" s="1"/>
  <c r="G559" i="5"/>
  <c r="H556" i="5"/>
  <c r="I557" i="5" s="1"/>
  <c r="J556" i="5"/>
  <c r="K556" i="5" s="1"/>
  <c r="H550" i="5"/>
  <c r="N766" i="2"/>
  <c r="J766" i="2"/>
  <c r="H889" i="2"/>
  <c r="I889" i="2" s="1"/>
  <c r="J889" i="2"/>
  <c r="K889" i="2" s="1"/>
  <c r="N889" i="2"/>
  <c r="G927" i="2"/>
  <c r="J1121" i="2"/>
  <c r="N1121" i="2"/>
  <c r="H1121" i="2"/>
  <c r="H282" i="5"/>
  <c r="J282" i="5"/>
  <c r="J252" i="5"/>
  <c r="K252" i="5" s="1"/>
  <c r="H252" i="5"/>
  <c r="H411" i="5"/>
  <c r="H460" i="5"/>
  <c r="I460" i="5" s="1"/>
  <c r="J620" i="5"/>
  <c r="K620" i="5" s="1"/>
  <c r="H620" i="5"/>
  <c r="N991" i="2"/>
  <c r="J991" i="2"/>
  <c r="K991" i="2" s="1"/>
  <c r="H991" i="2"/>
  <c r="N878" i="2"/>
  <c r="H878" i="2"/>
  <c r="J878" i="2"/>
  <c r="H1117" i="2"/>
  <c r="J1117" i="2"/>
  <c r="N1117" i="2"/>
  <c r="H1133" i="2"/>
  <c r="I1133" i="2" s="1"/>
  <c r="H971" i="2"/>
  <c r="K971" i="2" s="1"/>
  <c r="H863" i="2"/>
  <c r="K863" i="2" s="1"/>
  <c r="H938" i="2"/>
  <c r="H1157" i="2"/>
  <c r="K1157" i="2" s="1"/>
  <c r="J1146" i="2"/>
  <c r="G1146" i="2"/>
  <c r="H542" i="5"/>
  <c r="I542" i="5" s="1"/>
  <c r="J542" i="5"/>
  <c r="J450" i="5"/>
  <c r="K450" i="5" s="1"/>
  <c r="H450" i="5"/>
  <c r="H574" i="5"/>
  <c r="J574" i="5"/>
  <c r="H316" i="5"/>
  <c r="I317" i="5" s="1"/>
  <c r="J316" i="5"/>
  <c r="K316" i="5" s="1"/>
  <c r="J520" i="5"/>
  <c r="H520" i="5"/>
  <c r="J523" i="5"/>
  <c r="H829" i="2"/>
  <c r="I830" i="2" s="1"/>
  <c r="N829" i="2"/>
  <c r="J829" i="2"/>
  <c r="K829" i="2" s="1"/>
  <c r="H1062" i="2"/>
  <c r="N1062" i="2"/>
  <c r="J1062" i="2"/>
  <c r="H900" i="2"/>
  <c r="J900" i="2"/>
  <c r="N900" i="2"/>
  <c r="N1158" i="2"/>
  <c r="H1158" i="2"/>
  <c r="J1158" i="2"/>
  <c r="J895" i="2"/>
  <c r="K895" i="2" s="1"/>
  <c r="N895" i="2"/>
  <c r="H780" i="2"/>
  <c r="J780" i="2"/>
  <c r="N780" i="2"/>
  <c r="J388" i="5"/>
  <c r="K388" i="5" s="1"/>
  <c r="J544" i="5"/>
  <c r="H544" i="5"/>
  <c r="K544" i="5" s="1"/>
  <c r="J503" i="5"/>
  <c r="K503" i="5" s="1"/>
  <c r="J344" i="5"/>
  <c r="H344" i="5"/>
  <c r="H391" i="5"/>
  <c r="N1165" i="2"/>
  <c r="H1165" i="2"/>
  <c r="K1165" i="2" s="1"/>
  <c r="G903" i="2"/>
  <c r="G837" i="2"/>
  <c r="G937" i="2"/>
  <c r="I937" i="2" s="1"/>
  <c r="G957" i="2"/>
  <c r="J1066" i="2"/>
  <c r="N1066" i="2"/>
  <c r="G1159" i="2"/>
  <c r="H798" i="2"/>
  <c r="I798" i="2" s="1"/>
  <c r="N798" i="2"/>
  <c r="J798" i="2"/>
  <c r="H1089" i="2"/>
  <c r="J1089" i="2"/>
  <c r="N1089" i="2"/>
  <c r="G373" i="5"/>
  <c r="G546" i="5"/>
  <c r="I546" i="5" s="1"/>
  <c r="G396" i="5"/>
  <c r="I397" i="5" s="1"/>
  <c r="J519" i="5"/>
  <c r="K519" i="5" s="1"/>
  <c r="H873" i="2"/>
  <c r="I874" i="2" s="1"/>
  <c r="N873" i="2"/>
  <c r="J873" i="2"/>
  <c r="H1225" i="2"/>
  <c r="N1225" i="2"/>
  <c r="J1225" i="2"/>
  <c r="G831" i="2"/>
  <c r="I831" i="2" s="1"/>
  <c r="H867" i="2"/>
  <c r="I867" i="2" s="1"/>
  <c r="N867" i="2"/>
  <c r="N975" i="2"/>
  <c r="J975" i="2"/>
  <c r="H975" i="2"/>
  <c r="K975" i="2" s="1"/>
  <c r="J839" i="2"/>
  <c r="K839" i="2" s="1"/>
  <c r="N839" i="2"/>
  <c r="N1068" i="2"/>
  <c r="H1068" i="2"/>
  <c r="I1068" i="2" s="1"/>
  <c r="J1068" i="2"/>
  <c r="K1068" i="2" s="1"/>
  <c r="G1150" i="2"/>
  <c r="G326" i="5"/>
  <c r="I326" i="5" s="1"/>
  <c r="J419" i="5"/>
  <c r="K419" i="5" s="1"/>
  <c r="H419" i="5"/>
  <c r="I419" i="5" s="1"/>
  <c r="H413" i="5"/>
  <c r="J413" i="5"/>
  <c r="K413" i="5" s="1"/>
  <c r="J285" i="5"/>
  <c r="K285" i="5" s="1"/>
  <c r="J436" i="5"/>
  <c r="K436" i="5" s="1"/>
  <c r="H436" i="5"/>
  <c r="I437" i="5" s="1"/>
  <c r="J490" i="5"/>
  <c r="G490" i="5"/>
  <c r="I491" i="5" s="1"/>
  <c r="H576" i="5"/>
  <c r="J576" i="5"/>
  <c r="G361" i="5"/>
  <c r="I362" i="5" s="1"/>
  <c r="J589" i="5"/>
  <c r="K589" i="5" s="1"/>
  <c r="H589" i="5"/>
  <c r="J1110" i="2"/>
  <c r="H1110" i="2"/>
  <c r="I1110" i="2" s="1"/>
  <c r="N1110" i="2"/>
  <c r="H1087" i="2"/>
  <c r="N1161" i="2"/>
  <c r="J1161" i="2"/>
  <c r="K1161" i="2" s="1"/>
  <c r="H1161" i="2"/>
  <c r="I1161" i="2" s="1"/>
  <c r="G828" i="2"/>
  <c r="G1046" i="2"/>
  <c r="G821" i="2"/>
  <c r="I821" i="2" s="1"/>
  <c r="J962" i="2"/>
  <c r="K962" i="2" s="1"/>
  <c r="N962" i="2"/>
  <c r="N1221" i="2"/>
  <c r="J1221" i="2"/>
  <c r="K1221" i="2" s="1"/>
  <c r="H1221" i="2"/>
  <c r="G1257" i="2"/>
  <c r="J318" i="5"/>
  <c r="H318" i="5"/>
  <c r="K318" i="5" s="1"/>
  <c r="G529" i="5"/>
  <c r="H288" i="5"/>
  <c r="J288" i="5"/>
  <c r="K288" i="5" s="1"/>
  <c r="G291" i="5"/>
  <c r="J431" i="5"/>
  <c r="K431" i="5" s="1"/>
  <c r="G431" i="5"/>
  <c r="I431" i="5" s="1"/>
  <c r="G551" i="5"/>
  <c r="H790" i="2"/>
  <c r="I790" i="2" s="1"/>
  <c r="N790" i="2"/>
  <c r="H853" i="2"/>
  <c r="N853" i="2"/>
  <c r="J853" i="2"/>
  <c r="H882" i="2"/>
  <c r="I882" i="2" s="1"/>
  <c r="J882" i="2"/>
  <c r="K882" i="2" s="1"/>
  <c r="N882" i="2"/>
  <c r="N768" i="2"/>
  <c r="H768" i="2"/>
  <c r="J768" i="2"/>
  <c r="K768" i="2" s="1"/>
  <c r="J1204" i="2"/>
  <c r="N1204" i="2"/>
  <c r="J807" i="2"/>
  <c r="N807" i="2"/>
  <c r="N892" i="2"/>
  <c r="H892" i="2"/>
  <c r="J892" i="2"/>
  <c r="K892" i="2" s="1"/>
  <c r="G986" i="2"/>
  <c r="I986" i="2" s="1"/>
  <c r="N976" i="2"/>
  <c r="H976" i="2"/>
  <c r="J976" i="2"/>
  <c r="H759" i="2"/>
  <c r="N1094" i="2"/>
  <c r="J1094" i="2"/>
  <c r="N990" i="2"/>
  <c r="J990" i="2"/>
  <c r="K990" i="2" s="1"/>
  <c r="H1149" i="2"/>
  <c r="J1149" i="2"/>
  <c r="K1149" i="2" s="1"/>
  <c r="N1149" i="2"/>
  <c r="G1229" i="2"/>
  <c r="G462" i="5"/>
  <c r="I462" i="5" s="1"/>
  <c r="G330" i="5"/>
  <c r="G482" i="5"/>
  <c r="J486" i="5"/>
  <c r="G494" i="5"/>
  <c r="G500" i="5"/>
  <c r="N1191" i="2"/>
  <c r="J1191" i="2"/>
  <c r="K1191" i="2" s="1"/>
  <c r="G791" i="2"/>
  <c r="I791" i="2" s="1"/>
  <c r="J1065" i="2"/>
  <c r="N1065" i="2"/>
  <c r="H1065" i="2"/>
  <c r="I1065" i="2" s="1"/>
  <c r="N850" i="2"/>
  <c r="J850" i="2"/>
  <c r="H1038" i="2"/>
  <c r="N1038" i="2"/>
  <c r="J1038" i="2"/>
  <c r="J1007" i="2"/>
  <c r="H1007" i="2"/>
  <c r="N1007" i="2"/>
  <c r="H894" i="2"/>
  <c r="J894" i="2"/>
  <c r="N894" i="2"/>
  <c r="J1193" i="2"/>
  <c r="H1193" i="2"/>
  <c r="N1193" i="2"/>
  <c r="J351" i="5"/>
  <c r="K351" i="5" s="1"/>
  <c r="H351" i="5"/>
  <c r="H430" i="5"/>
  <c r="H352" i="5"/>
  <c r="J352" i="5"/>
  <c r="H384" i="5"/>
  <c r="K384" i="5" s="1"/>
  <c r="J300" i="5"/>
  <c r="G300" i="5"/>
  <c r="H559" i="5"/>
  <c r="J559" i="5"/>
  <c r="K559" i="5" s="1"/>
  <c r="G1185" i="2"/>
  <c r="G1248" i="2"/>
  <c r="J809" i="2"/>
  <c r="N809" i="2"/>
  <c r="N902" i="2"/>
  <c r="H902" i="2"/>
  <c r="J902" i="2"/>
  <c r="G855" i="2"/>
  <c r="J927" i="2"/>
  <c r="H927" i="2"/>
  <c r="I928" i="2" s="1"/>
  <c r="N927" i="2"/>
  <c r="G925" i="2"/>
  <c r="I925" i="2" s="1"/>
  <c r="N1123" i="2"/>
  <c r="H1123" i="2"/>
  <c r="J1123" i="2"/>
  <c r="H861" i="2"/>
  <c r="G467" i="5"/>
  <c r="J499" i="5"/>
  <c r="H312" i="5"/>
  <c r="H458" i="5"/>
  <c r="K458" i="5" s="1"/>
  <c r="N997" i="2"/>
  <c r="H997" i="2"/>
  <c r="K997" i="2" s="1"/>
  <c r="H278" i="5"/>
  <c r="H1188" i="2"/>
  <c r="K1188" i="2" s="1"/>
  <c r="H1168" i="2"/>
  <c r="K1168" i="2" s="1"/>
  <c r="H1191" i="2"/>
  <c r="I1192" i="2" s="1"/>
  <c r="H809" i="2"/>
  <c r="K809" i="2" s="1"/>
  <c r="H1118" i="2"/>
  <c r="H800" i="2"/>
  <c r="H947" i="2"/>
  <c r="K947" i="2" s="1"/>
  <c r="H1006" i="2"/>
  <c r="K1006" i="2" s="1"/>
  <c r="H770" i="2"/>
  <c r="H852" i="2"/>
  <c r="J852" i="2"/>
  <c r="N852" i="2"/>
  <c r="G891" i="2"/>
  <c r="I891" i="2" s="1"/>
  <c r="N1048" i="2"/>
  <c r="J1048" i="2"/>
  <c r="K1048" i="2" s="1"/>
  <c r="N1146" i="2"/>
  <c r="H1146" i="2"/>
  <c r="H1034" i="2"/>
  <c r="N1034" i="2"/>
  <c r="J1034" i="2"/>
  <c r="K1034" i="2" s="1"/>
  <c r="J1142" i="2"/>
  <c r="K1142" i="2" s="1"/>
  <c r="N1142" i="2"/>
  <c r="J267" i="5"/>
  <c r="K267" i="5" s="1"/>
  <c r="H267" i="5"/>
  <c r="I267" i="5" s="1"/>
  <c r="G466" i="5"/>
  <c r="G489" i="5"/>
  <c r="G574" i="5"/>
  <c r="J1002" i="2"/>
  <c r="N1109" i="2"/>
  <c r="J1109" i="2"/>
  <c r="K1109" i="2" s="1"/>
  <c r="N914" i="2"/>
  <c r="J914" i="2"/>
  <c r="K914" i="2" s="1"/>
  <c r="N1035" i="2"/>
  <c r="J1035" i="2"/>
  <c r="K1035" i="2" s="1"/>
  <c r="H1035" i="2"/>
  <c r="N1198" i="2"/>
  <c r="H1198" i="2"/>
  <c r="J1198" i="2"/>
  <c r="H1051" i="2"/>
  <c r="J1051" i="2"/>
  <c r="N1051" i="2"/>
  <c r="G410" i="5"/>
  <c r="I410" i="5" s="1"/>
  <c r="H283" i="5"/>
  <c r="I284" i="5" s="1"/>
  <c r="J283" i="5"/>
  <c r="K283" i="5" s="1"/>
  <c r="H1057" i="2"/>
  <c r="I1057" i="2" s="1"/>
  <c r="N1057" i="2"/>
  <c r="J1057" i="2"/>
  <c r="J1171" i="2"/>
  <c r="N1171" i="2"/>
  <c r="N819" i="2"/>
  <c r="J819" i="2"/>
  <c r="K819" i="2" s="1"/>
  <c r="H837" i="2"/>
  <c r="J837" i="2"/>
  <c r="N837" i="2"/>
  <c r="J937" i="2"/>
  <c r="K937" i="2" s="1"/>
  <c r="H937" i="2"/>
  <c r="N937" i="2"/>
  <c r="K1066" i="2"/>
  <c r="H305" i="5"/>
  <c r="I305" i="5" s="1"/>
  <c r="J305" i="5"/>
  <c r="H323" i="5"/>
  <c r="J323" i="5"/>
  <c r="K323" i="5" s="1"/>
  <c r="H604" i="5"/>
  <c r="K604" i="5" s="1"/>
  <c r="H1180" i="2"/>
  <c r="I1180" i="2" s="1"/>
  <c r="N1180" i="2"/>
  <c r="J1180" i="2"/>
  <c r="K1180" i="2" s="1"/>
  <c r="H1230" i="2"/>
  <c r="J1230" i="2"/>
  <c r="N1230" i="2"/>
  <c r="J1167" i="2"/>
  <c r="N1167" i="2"/>
  <c r="H1167" i="2"/>
  <c r="K1167" i="2" s="1"/>
  <c r="H1150" i="2"/>
  <c r="J1150" i="2"/>
  <c r="K1150" i="2" s="1"/>
  <c r="N1150" i="2"/>
  <c r="J1083" i="2"/>
  <c r="H1083" i="2"/>
  <c r="I1083" i="2" s="1"/>
  <c r="N1083" i="2"/>
  <c r="H1206" i="2"/>
  <c r="N1206" i="2"/>
  <c r="J1206" i="2"/>
  <c r="K1206" i="2" s="1"/>
  <c r="H828" i="2"/>
  <c r="I829" i="2" s="1"/>
  <c r="N828" i="2"/>
  <c r="J828" i="2"/>
  <c r="K828" i="2" s="1"/>
  <c r="J1046" i="2"/>
  <c r="N1046" i="2"/>
  <c r="N987" i="2"/>
  <c r="J987" i="2"/>
  <c r="N1257" i="2"/>
  <c r="J1257" i="2"/>
  <c r="K1257" i="2" s="1"/>
  <c r="H1257" i="2"/>
  <c r="H1092" i="2"/>
  <c r="I1092" i="2" s="1"/>
  <c r="J1092" i="2"/>
  <c r="N1092" i="2"/>
  <c r="H529" i="5"/>
  <c r="J529" i="5"/>
  <c r="H291" i="5"/>
  <c r="J291" i="5"/>
  <c r="H374" i="5"/>
  <c r="I375" i="5" s="1"/>
  <c r="J374" i="5"/>
  <c r="H551" i="5"/>
  <c r="J551" i="5"/>
  <c r="H1082" i="2"/>
  <c r="J1082" i="2"/>
  <c r="N1082" i="2"/>
  <c r="N841" i="2"/>
  <c r="H841" i="2"/>
  <c r="J841" i="2"/>
  <c r="K841" i="2" s="1"/>
  <c r="J833" i="2"/>
  <c r="K833" i="2" s="1"/>
  <c r="N833" i="2"/>
  <c r="J966" i="2"/>
  <c r="N966" i="2"/>
  <c r="H966" i="2"/>
  <c r="I966" i="2" s="1"/>
  <c r="H1229" i="2"/>
  <c r="N1229" i="2"/>
  <c r="J1229" i="2"/>
  <c r="K1229" i="2" s="1"/>
  <c r="J482" i="5"/>
  <c r="K482" i="5" s="1"/>
  <c r="H482" i="5"/>
  <c r="J494" i="5"/>
  <c r="H494" i="5"/>
  <c r="K494" i="5" s="1"/>
  <c r="J433" i="5"/>
  <c r="K433" i="5" s="1"/>
  <c r="H433" i="5"/>
  <c r="I590" i="5"/>
  <c r="H1252" i="2"/>
  <c r="J1252" i="2"/>
  <c r="N1252" i="2"/>
  <c r="N1197" i="2"/>
  <c r="H1197" i="2"/>
  <c r="J1197" i="2"/>
  <c r="K1197" i="2" s="1"/>
  <c r="N1212" i="2"/>
  <c r="H1212" i="2"/>
  <c r="I1212" i="2" s="1"/>
  <c r="N842" i="2"/>
  <c r="H842" i="2"/>
  <c r="K842" i="2" s="1"/>
  <c r="N834" i="2"/>
  <c r="H834" i="2"/>
  <c r="J834" i="2"/>
  <c r="N952" i="2"/>
  <c r="H952" i="2"/>
  <c r="I952" i="2" s="1"/>
  <c r="J952" i="2"/>
  <c r="K952" i="2" s="1"/>
  <c r="G1038" i="2"/>
  <c r="G1228" i="2"/>
  <c r="I1228" i="2" s="1"/>
  <c r="G894" i="2"/>
  <c r="I895" i="2" s="1"/>
  <c r="N854" i="2"/>
  <c r="H854" i="2"/>
  <c r="I854" i="2" s="1"/>
  <c r="J854" i="2"/>
  <c r="K854" i="2" s="1"/>
  <c r="N1108" i="2"/>
  <c r="J1108" i="2"/>
  <c r="K1108" i="2" s="1"/>
  <c r="H1108" i="2"/>
  <c r="G464" i="5"/>
  <c r="I465" i="5" s="1"/>
  <c r="G545" i="5"/>
  <c r="H300" i="5"/>
  <c r="G369" i="5"/>
  <c r="I369" i="5" s="1"/>
  <c r="H1185" i="2"/>
  <c r="J1185" i="2"/>
  <c r="K1185" i="2" s="1"/>
  <c r="N1185" i="2"/>
  <c r="H1253" i="2"/>
  <c r="I1254" i="2" s="1"/>
  <c r="N1253" i="2"/>
  <c r="J1253" i="2"/>
  <c r="K1253" i="2" s="1"/>
  <c r="G809" i="2"/>
  <c r="G1004" i="2"/>
  <c r="G1030" i="2"/>
  <c r="N1210" i="2"/>
  <c r="J1210" i="2"/>
  <c r="G253" i="5"/>
  <c r="I254" i="5" s="1"/>
  <c r="H467" i="5"/>
  <c r="J467" i="5"/>
  <c r="K467" i="5" s="1"/>
  <c r="J611" i="5"/>
  <c r="K611" i="5" s="1"/>
  <c r="H611" i="5"/>
  <c r="N774" i="2"/>
  <c r="J774" i="2"/>
  <c r="K774" i="2" s="1"/>
  <c r="G942" i="2"/>
  <c r="I942" i="2" s="1"/>
  <c r="I1199" i="2"/>
  <c r="H1182" i="2"/>
  <c r="I1182" i="2" s="1"/>
  <c r="H1088" i="2"/>
  <c r="H490" i="5"/>
  <c r="I490" i="5" s="1"/>
  <c r="H1181" i="2"/>
  <c r="H890" i="2"/>
  <c r="H1141" i="2"/>
  <c r="H926" i="2"/>
  <c r="K926" i="2" s="1"/>
  <c r="H805" i="2"/>
  <c r="H807" i="2"/>
  <c r="N930" i="2"/>
  <c r="J930" i="2"/>
  <c r="K930" i="2" s="1"/>
  <c r="H378" i="5"/>
  <c r="I378" i="5" s="1"/>
  <c r="J378" i="5"/>
  <c r="K378" i="5" s="1"/>
  <c r="H466" i="5"/>
  <c r="J466" i="5"/>
  <c r="K466" i="5" s="1"/>
  <c r="H425" i="5"/>
  <c r="I426" i="5" s="1"/>
  <c r="J578" i="5"/>
  <c r="K578" i="5" s="1"/>
  <c r="H1002" i="2"/>
  <c r="N1002" i="2"/>
  <c r="H856" i="2"/>
  <c r="J856" i="2"/>
  <c r="K856" i="2" s="1"/>
  <c r="N856" i="2"/>
  <c r="J1234" i="2"/>
  <c r="N1234" i="2"/>
  <c r="J307" i="5"/>
  <c r="H307" i="5"/>
  <c r="K307" i="5" s="1"/>
  <c r="H410" i="5"/>
  <c r="J410" i="5"/>
  <c r="H453" i="5"/>
  <c r="K453" i="5" s="1"/>
  <c r="J447" i="5"/>
  <c r="K447" i="5" s="1"/>
  <c r="H572" i="5"/>
  <c r="J572" i="5"/>
  <c r="K572" i="5" s="1"/>
  <c r="G391" i="5"/>
  <c r="N1116" i="2"/>
  <c r="J1116" i="2"/>
  <c r="H1116" i="2"/>
  <c r="J898" i="2"/>
  <c r="N898" i="2"/>
  <c r="H898" i="2"/>
  <c r="J879" i="2"/>
  <c r="K879" i="2" s="1"/>
  <c r="G879" i="2"/>
  <c r="G1243" i="2"/>
  <c r="I1244" i="2" s="1"/>
  <c r="G904" i="2"/>
  <c r="H1214" i="2"/>
  <c r="I1215" i="2" s="1"/>
  <c r="N1214" i="2"/>
  <c r="H264" i="5"/>
  <c r="I264" i="5" s="1"/>
  <c r="J264" i="5"/>
  <c r="K264" i="5" s="1"/>
  <c r="J396" i="5"/>
  <c r="H396" i="5"/>
  <c r="J579" i="5"/>
  <c r="K579" i="5" s="1"/>
  <c r="H508" i="5"/>
  <c r="I508" i="5" s="1"/>
  <c r="J508" i="5"/>
  <c r="K508" i="5" s="1"/>
  <c r="H608" i="5"/>
  <c r="J608" i="5"/>
  <c r="K608" i="5" s="1"/>
  <c r="J552" i="5"/>
  <c r="H552" i="5"/>
  <c r="K552" i="5" s="1"/>
  <c r="G1238" i="2"/>
  <c r="I1238" i="2" s="1"/>
  <c r="G767" i="2"/>
  <c r="I768" i="2" s="1"/>
  <c r="N868" i="2"/>
  <c r="J868" i="2"/>
  <c r="K868" i="2" s="1"/>
  <c r="H831" i="2"/>
  <c r="J831" i="2"/>
  <c r="K831" i="2" s="1"/>
  <c r="N831" i="2"/>
  <c r="G961" i="2"/>
  <c r="G948" i="2"/>
  <c r="N1054" i="2"/>
  <c r="J1054" i="2"/>
  <c r="K1054" i="2" s="1"/>
  <c r="H1054" i="2"/>
  <c r="I1054" i="2" s="1"/>
  <c r="J1172" i="2"/>
  <c r="N1172" i="2"/>
  <c r="H353" i="5"/>
  <c r="I353" i="5" s="1"/>
  <c r="J353" i="5"/>
  <c r="K353" i="5" s="1"/>
  <c r="G511" i="5"/>
  <c r="I511" i="5" s="1"/>
  <c r="G444" i="5"/>
  <c r="I445" i="5" s="1"/>
  <c r="H394" i="5"/>
  <c r="I394" i="5" s="1"/>
  <c r="J394" i="5"/>
  <c r="K394" i="5" s="1"/>
  <c r="G470" i="5"/>
  <c r="I471" i="5" s="1"/>
  <c r="H530" i="5"/>
  <c r="J530" i="5"/>
  <c r="K530" i="5" s="1"/>
  <c r="G432" i="5"/>
  <c r="H622" i="5"/>
  <c r="J622" i="5"/>
  <c r="G570" i="5"/>
  <c r="I570" i="5" s="1"/>
  <c r="N857" i="2"/>
  <c r="J857" i="2"/>
  <c r="K857" i="2" s="1"/>
  <c r="N874" i="2"/>
  <c r="J874" i="2"/>
  <c r="K874" i="2" s="1"/>
  <c r="J940" i="2"/>
  <c r="K940" i="2" s="1"/>
  <c r="N940" i="2"/>
  <c r="H1046" i="2"/>
  <c r="N1031" i="2"/>
  <c r="H1031" i="2"/>
  <c r="I1032" i="2" s="1"/>
  <c r="J1031" i="2"/>
  <c r="K1031" i="2" s="1"/>
  <c r="G987" i="2"/>
  <c r="J970" i="2"/>
  <c r="N970" i="2"/>
  <c r="H885" i="2"/>
  <c r="J885" i="2"/>
  <c r="K885" i="2" s="1"/>
  <c r="N885" i="2"/>
  <c r="G1195" i="2"/>
  <c r="I1195" i="2" s="1"/>
  <c r="G275" i="5"/>
  <c r="I275" i="5" s="1"/>
  <c r="G420" i="5"/>
  <c r="H533" i="5"/>
  <c r="K533" i="5" s="1"/>
  <c r="G506" i="5"/>
  <c r="I506" i="5" s="1"/>
  <c r="J586" i="5"/>
  <c r="K586" i="5" s="1"/>
  <c r="H1256" i="2"/>
  <c r="I1256" i="2" s="1"/>
  <c r="J1256" i="2"/>
  <c r="N1256" i="2"/>
  <c r="H813" i="2"/>
  <c r="N813" i="2"/>
  <c r="J813" i="2"/>
  <c r="K813" i="2" s="1"/>
  <c r="G759" i="2"/>
  <c r="J1137" i="2"/>
  <c r="H1137" i="2"/>
  <c r="I1138" i="2" s="1"/>
  <c r="N1137" i="2"/>
  <c r="J399" i="5"/>
  <c r="K399" i="5" s="1"/>
  <c r="H399" i="5"/>
  <c r="I399" i="5" s="1"/>
  <c r="H424" i="5"/>
  <c r="K424" i="5" s="1"/>
  <c r="H531" i="5"/>
  <c r="K531" i="5" s="1"/>
  <c r="G449" i="5"/>
  <c r="I449" i="5" s="1"/>
  <c r="G526" i="5"/>
  <c r="I526" i="5" s="1"/>
  <c r="G389" i="5"/>
  <c r="G558" i="5"/>
  <c r="H590" i="5"/>
  <c r="J590" i="5"/>
  <c r="K590" i="5" s="1"/>
  <c r="G1157" i="2"/>
  <c r="H920" i="2"/>
  <c r="I920" i="2" s="1"/>
  <c r="N1122" i="2"/>
  <c r="H1122" i="2"/>
  <c r="J1122" i="2"/>
  <c r="J1228" i="2"/>
  <c r="K1228" i="2" s="1"/>
  <c r="N1228" i="2"/>
  <c r="G367" i="5"/>
  <c r="I367" i="5" s="1"/>
  <c r="G430" i="5"/>
  <c r="I430" i="5" s="1"/>
  <c r="G532" i="5"/>
  <c r="I532" i="5" s="1"/>
  <c r="J545" i="5"/>
  <c r="H545" i="5"/>
  <c r="H369" i="5"/>
  <c r="J369" i="5"/>
  <c r="K369" i="5" s="1"/>
  <c r="H1235" i="2"/>
  <c r="K1235" i="2" s="1"/>
  <c r="N1235" i="2"/>
  <c r="H993" i="2"/>
  <c r="I994" i="2" s="1"/>
  <c r="N993" i="2"/>
  <c r="J993" i="2"/>
  <c r="G955" i="2"/>
  <c r="I956" i="2" s="1"/>
  <c r="N1044" i="2"/>
  <c r="J1044" i="2"/>
  <c r="K1044" i="2" s="1"/>
  <c r="J1030" i="2"/>
  <c r="N1030" i="2"/>
  <c r="H1030" i="2"/>
  <c r="H1016" i="2"/>
  <c r="J1016" i="2"/>
  <c r="N1016" i="2"/>
  <c r="G1251" i="2"/>
  <c r="I1251" i="2" s="1"/>
  <c r="G342" i="5"/>
  <c r="G329" i="5"/>
  <c r="G328" i="5"/>
  <c r="H253" i="5"/>
  <c r="J253" i="5"/>
  <c r="H371" i="5"/>
  <c r="H393" i="5"/>
  <c r="I393" i="5" s="1"/>
  <c r="J393" i="5"/>
  <c r="G607" i="5"/>
  <c r="I607" i="5" s="1"/>
  <c r="J423" i="5"/>
  <c r="N1102" i="2"/>
  <c r="H1102" i="2"/>
  <c r="J1102" i="2"/>
  <c r="K1102" i="2" s="1"/>
  <c r="N1249" i="2"/>
  <c r="J1249" i="2"/>
  <c r="K1249" i="2" s="1"/>
  <c r="H523" i="5"/>
  <c r="I524" i="5" s="1"/>
  <c r="H1162" i="2"/>
  <c r="H258" i="5"/>
  <c r="H628" i="5"/>
  <c r="I628" i="5" s="1"/>
  <c r="H1094" i="2"/>
  <c r="H766" i="2"/>
  <c r="H833" i="2"/>
  <c r="J917" i="2"/>
  <c r="K917" i="2" s="1"/>
  <c r="N917" i="2"/>
  <c r="H818" i="2"/>
  <c r="K818" i="2" s="1"/>
  <c r="N818" i="2"/>
  <c r="N931" i="2"/>
  <c r="J931" i="2"/>
  <c r="N1160" i="2"/>
  <c r="J1160" i="2"/>
  <c r="K1160" i="2" s="1"/>
  <c r="G349" i="5"/>
  <c r="I349" i="5" s="1"/>
  <c r="H412" i="5"/>
  <c r="J412" i="5"/>
  <c r="H407" i="5"/>
  <c r="G452" i="5"/>
  <c r="I453" i="5" s="1"/>
  <c r="J563" i="5"/>
  <c r="H563" i="5"/>
  <c r="I564" i="5" s="1"/>
  <c r="H489" i="5"/>
  <c r="J489" i="5"/>
  <c r="G306" i="5"/>
  <c r="H561" i="5"/>
  <c r="I561" i="5" s="1"/>
  <c r="J561" i="5"/>
  <c r="K561" i="5" s="1"/>
  <c r="G1163" i="2"/>
  <c r="N1063" i="2"/>
  <c r="J1063" i="2"/>
  <c r="H1063" i="2"/>
  <c r="K1063" i="2" s="1"/>
  <c r="J1233" i="2"/>
  <c r="N1233" i="2"/>
  <c r="H1233" i="2"/>
  <c r="H888" i="2"/>
  <c r="I888" i="2" s="1"/>
  <c r="N888" i="2"/>
  <c r="J888" i="2"/>
  <c r="K888" i="2" s="1"/>
  <c r="N1024" i="2"/>
  <c r="J1024" i="2"/>
  <c r="K1024" i="2" s="1"/>
  <c r="H822" i="2"/>
  <c r="N822" i="2"/>
  <c r="H949" i="2"/>
  <c r="N949" i="2"/>
  <c r="J949" i="2"/>
  <c r="J1132" i="2"/>
  <c r="K1132" i="2" s="1"/>
  <c r="N1132" i="2"/>
  <c r="G1081" i="2"/>
  <c r="G350" i="5"/>
  <c r="H577" i="5"/>
  <c r="I578" i="5" s="1"/>
  <c r="J577" i="5"/>
  <c r="K577" i="5" s="1"/>
  <c r="J391" i="5"/>
  <c r="K391" i="5" s="1"/>
  <c r="J906" i="2"/>
  <c r="N906" i="2"/>
  <c r="J1184" i="2"/>
  <c r="K1184" i="2" s="1"/>
  <c r="N1184" i="2"/>
  <c r="N843" i="2"/>
  <c r="H843" i="2"/>
  <c r="K843" i="2" s="1"/>
  <c r="H969" i="2"/>
  <c r="K969" i="2" s="1"/>
  <c r="N969" i="2"/>
  <c r="H957" i="2"/>
  <c r="J957" i="2"/>
  <c r="K957" i="2" s="1"/>
  <c r="N957" i="2"/>
  <c r="H879" i="2"/>
  <c r="N879" i="2"/>
  <c r="J1243" i="2"/>
  <c r="H1243" i="2"/>
  <c r="N1243" i="2"/>
  <c r="J390" i="5"/>
  <c r="H390" i="5"/>
  <c r="J340" i="5"/>
  <c r="K340" i="5" s="1"/>
  <c r="H340" i="5"/>
  <c r="G608" i="5"/>
  <c r="I608" i="5" s="1"/>
  <c r="H621" i="5"/>
  <c r="I621" i="5" s="1"/>
  <c r="J621" i="5"/>
  <c r="J767" i="2"/>
  <c r="H767" i="2"/>
  <c r="N767" i="2"/>
  <c r="H1113" i="2"/>
  <c r="J1113" i="2"/>
  <c r="K1113" i="2" s="1"/>
  <c r="N1113" i="2"/>
  <c r="I1167" i="2"/>
  <c r="G939" i="2"/>
  <c r="G1218" i="2"/>
  <c r="I1219" i="2" s="1"/>
  <c r="G313" i="5"/>
  <c r="I314" i="5" s="1"/>
  <c r="J444" i="5"/>
  <c r="H444" i="5"/>
  <c r="J470" i="5"/>
  <c r="H470" i="5"/>
  <c r="H613" i="5"/>
  <c r="J613" i="5"/>
  <c r="J1216" i="2"/>
  <c r="H1216" i="2"/>
  <c r="N1216" i="2"/>
  <c r="G857" i="2"/>
  <c r="I858" i="2" s="1"/>
  <c r="G970" i="2"/>
  <c r="I970" i="2" s="1"/>
  <c r="G885" i="2"/>
  <c r="J275" i="5"/>
  <c r="K275" i="5" s="1"/>
  <c r="H275" i="5"/>
  <c r="H420" i="5"/>
  <c r="J420" i="5"/>
  <c r="K420" i="5" s="1"/>
  <c r="H445" i="5"/>
  <c r="J445" i="5"/>
  <c r="J518" i="5"/>
  <c r="K518" i="5" s="1"/>
  <c r="H518" i="5"/>
  <c r="I519" i="5" s="1"/>
  <c r="H348" i="5"/>
  <c r="I348" i="5" s="1"/>
  <c r="J348" i="5"/>
  <c r="J506" i="5"/>
  <c r="H506" i="5"/>
  <c r="J1196" i="2"/>
  <c r="N1196" i="2"/>
  <c r="H1196" i="2"/>
  <c r="I853" i="2"/>
  <c r="N755" i="2"/>
  <c r="J755" i="2"/>
  <c r="K755" i="2" s="1"/>
  <c r="J1154" i="2"/>
  <c r="N1154" i="2"/>
  <c r="G813" i="2"/>
  <c r="I814" i="2" s="1"/>
  <c r="N1106" i="2"/>
  <c r="H1106" i="2"/>
  <c r="I1107" i="2" s="1"/>
  <c r="J759" i="2"/>
  <c r="K759" i="2" s="1"/>
  <c r="N759" i="2"/>
  <c r="J982" i="2"/>
  <c r="K982" i="2" s="1"/>
  <c r="N982" i="2"/>
  <c r="G332" i="5"/>
  <c r="I332" i="5" s="1"/>
  <c r="H449" i="5"/>
  <c r="H526" i="5"/>
  <c r="J526" i="5"/>
  <c r="H619" i="5"/>
  <c r="K619" i="5" s="1"/>
  <c r="J389" i="5"/>
  <c r="H389" i="5"/>
  <c r="I389" i="5" s="1"/>
  <c r="H558" i="5"/>
  <c r="I558" i="5" s="1"/>
  <c r="J558" i="5"/>
  <c r="I434" i="5"/>
  <c r="G954" i="2"/>
  <c r="I954" i="2" s="1"/>
  <c r="N887" i="2"/>
  <c r="H887" i="2"/>
  <c r="I887" i="2" s="1"/>
  <c r="N920" i="2"/>
  <c r="J920" i="2"/>
  <c r="J989" i="2"/>
  <c r="K989" i="2" s="1"/>
  <c r="N989" i="2"/>
  <c r="H989" i="2"/>
  <c r="H370" i="5"/>
  <c r="K370" i="5" s="1"/>
  <c r="J430" i="5"/>
  <c r="K430" i="5" s="1"/>
  <c r="G547" i="5"/>
  <c r="G479" i="5"/>
  <c r="J1153" i="2"/>
  <c r="N1153" i="2"/>
  <c r="H1153" i="2"/>
  <c r="G993" i="2"/>
  <c r="I993" i="2" s="1"/>
  <c r="J924" i="2"/>
  <c r="K924" i="2" s="1"/>
  <c r="N924" i="2"/>
  <c r="J1004" i="2"/>
  <c r="N1004" i="2"/>
  <c r="H1004" i="2"/>
  <c r="N806" i="2"/>
  <c r="J806" i="2"/>
  <c r="K806" i="2" s="1"/>
  <c r="H1251" i="2"/>
  <c r="J1251" i="2"/>
  <c r="K1251" i="2" s="1"/>
  <c r="N1251" i="2"/>
  <c r="J342" i="5"/>
  <c r="H342" i="5"/>
  <c r="J329" i="5"/>
  <c r="K329" i="5" s="1"/>
  <c r="H329" i="5"/>
  <c r="J328" i="5"/>
  <c r="K328" i="5" s="1"/>
  <c r="H328" i="5"/>
  <c r="J312" i="5"/>
  <c r="K312" i="5" s="1"/>
  <c r="G312" i="5"/>
  <c r="I312" i="5" s="1"/>
  <c r="H607" i="5"/>
  <c r="J607" i="5"/>
  <c r="H485" i="5"/>
  <c r="I485" i="5" s="1"/>
  <c r="J485" i="5"/>
  <c r="K485" i="5" s="1"/>
  <c r="G774" i="2"/>
  <c r="I775" i="2" s="1"/>
  <c r="G1145" i="2"/>
  <c r="I1145" i="2" s="1"/>
  <c r="G1102" i="2"/>
  <c r="I1103" i="2" s="1"/>
  <c r="G1249" i="2"/>
  <c r="I1250" i="2" s="1"/>
  <c r="H442" i="5"/>
  <c r="K442" i="5" s="1"/>
  <c r="H261" i="5"/>
  <c r="I261" i="5" s="1"/>
  <c r="H1154" i="2"/>
  <c r="I1155" i="2" s="1"/>
  <c r="H401" i="5"/>
  <c r="I401" i="5" s="1"/>
  <c r="H499" i="5"/>
  <c r="I499" i="5" s="1"/>
  <c r="H1204" i="2"/>
  <c r="K1204" i="2" s="1"/>
  <c r="H1234" i="2"/>
  <c r="H1210" i="2"/>
  <c r="H1060" i="2"/>
  <c r="I1060" i="2" s="1"/>
  <c r="H857" i="2"/>
  <c r="H1029" i="2"/>
  <c r="I1029" i="2" s="1"/>
  <c r="H850" i="2"/>
  <c r="G1093" i="2"/>
  <c r="I1093" i="2" s="1"/>
  <c r="N849" i="2"/>
  <c r="H849" i="2"/>
  <c r="I849" i="2" s="1"/>
  <c r="J849" i="2"/>
  <c r="K849" i="2" s="1"/>
  <c r="J996" i="2"/>
  <c r="K996" i="2" s="1"/>
  <c r="H996" i="2"/>
  <c r="I996" i="2" s="1"/>
  <c r="N996" i="2"/>
  <c r="G931" i="2"/>
  <c r="G1232" i="2"/>
  <c r="I1232" i="2" s="1"/>
  <c r="G930" i="2"/>
  <c r="I930" i="2" s="1"/>
  <c r="H349" i="5"/>
  <c r="J349" i="5"/>
  <c r="K349" i="5" s="1"/>
  <c r="G337" i="5"/>
  <c r="I337" i="5" s="1"/>
  <c r="G407" i="5"/>
  <c r="I407" i="5" s="1"/>
  <c r="H452" i="5"/>
  <c r="J452" i="5"/>
  <c r="K452" i="5" s="1"/>
  <c r="H587" i="5"/>
  <c r="I587" i="5" s="1"/>
  <c r="J587" i="5"/>
  <c r="K587" i="5" s="1"/>
  <c r="G1002" i="2"/>
  <c r="G1063" i="2"/>
  <c r="I1063" i="2" s="1"/>
  <c r="N922" i="2"/>
  <c r="J922" i="2"/>
  <c r="K922" i="2" s="1"/>
  <c r="G968" i="2"/>
  <c r="I969" i="2" s="1"/>
  <c r="N929" i="2"/>
  <c r="H929" i="2"/>
  <c r="K929" i="2" s="1"/>
  <c r="G1130" i="2"/>
  <c r="I1131" i="2" s="1"/>
  <c r="G778" i="2"/>
  <c r="I778" i="2" s="1"/>
  <c r="G1051" i="2"/>
  <c r="I1052" i="2" s="1"/>
  <c r="H1081" i="2"/>
  <c r="J1081" i="2"/>
  <c r="K1081" i="2" s="1"/>
  <c r="N1081" i="2"/>
  <c r="N1209" i="2"/>
  <c r="H1209" i="2"/>
  <c r="I1209" i="2" s="1"/>
  <c r="J1209" i="2"/>
  <c r="H350" i="5"/>
  <c r="J350" i="5"/>
  <c r="G279" i="5"/>
  <c r="I279" i="5" s="1"/>
  <c r="J474" i="5"/>
  <c r="K474" i="5" s="1"/>
  <c r="H438" i="5"/>
  <c r="I438" i="5" s="1"/>
  <c r="J438" i="5"/>
  <c r="G514" i="5"/>
  <c r="I515" i="5" s="1"/>
  <c r="H402" i="5"/>
  <c r="I402" i="5" s="1"/>
  <c r="J402" i="5"/>
  <c r="G527" i="5"/>
  <c r="G502" i="5"/>
  <c r="I502" i="5" s="1"/>
  <c r="H605" i="5"/>
  <c r="I605" i="5" s="1"/>
  <c r="G1116" i="2"/>
  <c r="I1116" i="2" s="1"/>
  <c r="N1061" i="2"/>
  <c r="H1061" i="2"/>
  <c r="I1061" i="2" s="1"/>
  <c r="J1061" i="2"/>
  <c r="H906" i="2"/>
  <c r="H799" i="2"/>
  <c r="I799" i="2" s="1"/>
  <c r="J799" i="2"/>
  <c r="N799" i="2"/>
  <c r="G938" i="2"/>
  <c r="I938" i="2" s="1"/>
  <c r="J1056" i="2"/>
  <c r="K1056" i="2" s="1"/>
  <c r="N1056" i="2"/>
  <c r="H904" i="2"/>
  <c r="J904" i="2"/>
  <c r="N904" i="2"/>
  <c r="H355" i="5"/>
  <c r="K355" i="5" s="1"/>
  <c r="J321" i="5"/>
  <c r="K321" i="5" s="1"/>
  <c r="H321" i="5"/>
  <c r="I322" i="5" s="1"/>
  <c r="H298" i="5"/>
  <c r="K298" i="5" s="1"/>
  <c r="G575" i="5"/>
  <c r="I576" i="5" s="1"/>
  <c r="G868" i="2"/>
  <c r="I868" i="2" s="1"/>
  <c r="G1230" i="2"/>
  <c r="N939" i="2"/>
  <c r="H939" i="2"/>
  <c r="J939" i="2"/>
  <c r="K939" i="2" s="1"/>
  <c r="J1045" i="2"/>
  <c r="K1045" i="2" s="1"/>
  <c r="H1045" i="2"/>
  <c r="N1045" i="2"/>
  <c r="N961" i="2"/>
  <c r="J961" i="2"/>
  <c r="H961" i="2"/>
  <c r="N1020" i="2"/>
  <c r="J1020" i="2"/>
  <c r="K1020" i="2" s="1"/>
  <c r="H1020" i="2"/>
  <c r="I1021" i="2" s="1"/>
  <c r="J978" i="2"/>
  <c r="K978" i="2" s="1"/>
  <c r="N978" i="2"/>
  <c r="J1218" i="2"/>
  <c r="K1218" i="2" s="1"/>
  <c r="H1218" i="2"/>
  <c r="N1218" i="2"/>
  <c r="J1222" i="2"/>
  <c r="K1222" i="2" s="1"/>
  <c r="N1222" i="2"/>
  <c r="H313" i="5"/>
  <c r="J313" i="5"/>
  <c r="K313" i="5" s="1"/>
  <c r="G299" i="5"/>
  <c r="G478" i="5"/>
  <c r="H327" i="5"/>
  <c r="K327" i="5" s="1"/>
  <c r="H609" i="5"/>
  <c r="I610" i="5" s="1"/>
  <c r="J609" i="5"/>
  <c r="J549" i="5"/>
  <c r="K549" i="5" s="1"/>
  <c r="H549" i="5"/>
  <c r="I549" i="5" s="1"/>
  <c r="H616" i="5"/>
  <c r="I617" i="5" s="1"/>
  <c r="J616" i="5"/>
  <c r="H441" i="5"/>
  <c r="I441" i="5" s="1"/>
  <c r="G613" i="5"/>
  <c r="G1216" i="2"/>
  <c r="I1216" i="2" s="1"/>
  <c r="J1175" i="2"/>
  <c r="K1175" i="2" s="1"/>
  <c r="N1175" i="2"/>
  <c r="G1206" i="2"/>
  <c r="I1207" i="2" s="1"/>
  <c r="I1162" i="2"/>
  <c r="K970" i="2"/>
  <c r="J1224" i="2"/>
  <c r="N1224" i="2"/>
  <c r="H1224" i="2"/>
  <c r="I1224" i="2" s="1"/>
  <c r="J414" i="5"/>
  <c r="H414" i="5"/>
  <c r="H459" i="5"/>
  <c r="I459" i="5" s="1"/>
  <c r="J459" i="5"/>
  <c r="H418" i="5"/>
  <c r="K418" i="5" s="1"/>
  <c r="J477" i="5"/>
  <c r="K477" i="5" s="1"/>
  <c r="G477" i="5"/>
  <c r="I477" i="5" s="1"/>
  <c r="H1033" i="2"/>
  <c r="N1033" i="2"/>
  <c r="J1033" i="2"/>
  <c r="H1170" i="2"/>
  <c r="I1170" i="2" s="1"/>
  <c r="J1170" i="2"/>
  <c r="N1170" i="2"/>
  <c r="I1007" i="2"/>
  <c r="H1217" i="2"/>
  <c r="K1217" i="2" s="1"/>
  <c r="N1217" i="2"/>
  <c r="G876" i="2"/>
  <c r="I876" i="2" s="1"/>
  <c r="H977" i="2"/>
  <c r="I978" i="2" s="1"/>
  <c r="N977" i="2"/>
  <c r="I531" i="5"/>
  <c r="H292" i="5"/>
  <c r="J292" i="5"/>
  <c r="J554" i="5"/>
  <c r="K554" i="5" s="1"/>
  <c r="G1252" i="2"/>
  <c r="I1252" i="2" s="1"/>
  <c r="N1017" i="2"/>
  <c r="H1017" i="2"/>
  <c r="I1017" i="2" s="1"/>
  <c r="N954" i="2"/>
  <c r="H954" i="2"/>
  <c r="J954" i="2"/>
  <c r="G1197" i="2"/>
  <c r="I1197" i="2" s="1"/>
  <c r="G1018" i="2"/>
  <c r="I1018" i="2" s="1"/>
  <c r="N883" i="2"/>
  <c r="H883" i="2"/>
  <c r="I883" i="2" s="1"/>
  <c r="J883" i="2"/>
  <c r="N893" i="2"/>
  <c r="J893" i="2"/>
  <c r="K893" i="2" s="1"/>
  <c r="J1080" i="2"/>
  <c r="H1080" i="2"/>
  <c r="I1080" i="2" s="1"/>
  <c r="N1080" i="2"/>
  <c r="G913" i="2"/>
  <c r="N915" i="2"/>
  <c r="H915" i="2"/>
  <c r="I916" i="2" s="1"/>
  <c r="J915" i="2"/>
  <c r="K915" i="2" s="1"/>
  <c r="G779" i="2"/>
  <c r="I779" i="2" s="1"/>
  <c r="H999" i="2"/>
  <c r="I999" i="2" s="1"/>
  <c r="J999" i="2"/>
  <c r="K999" i="2" s="1"/>
  <c r="N999" i="2"/>
  <c r="J324" i="5"/>
  <c r="K324" i="5" s="1"/>
  <c r="I396" i="5"/>
  <c r="I395" i="5"/>
  <c r="J434" i="5"/>
  <c r="K434" i="5" s="1"/>
  <c r="J439" i="5"/>
  <c r="H439" i="5"/>
  <c r="G543" i="5"/>
  <c r="H547" i="5"/>
  <c r="J547" i="5"/>
  <c r="K547" i="5" s="1"/>
  <c r="J479" i="5"/>
  <c r="H479" i="5"/>
  <c r="I479" i="5" s="1"/>
  <c r="G1164" i="2"/>
  <c r="I1164" i="2" s="1"/>
  <c r="G1153" i="2"/>
  <c r="G847" i="2"/>
  <c r="N998" i="2"/>
  <c r="J998" i="2"/>
  <c r="K998" i="2" s="1"/>
  <c r="H998" i="2"/>
  <c r="I998" i="2" s="1"/>
  <c r="H1156" i="2"/>
  <c r="N1156" i="2"/>
  <c r="J1156" i="2"/>
  <c r="K1156" i="2" s="1"/>
  <c r="J1119" i="2"/>
  <c r="K1119" i="2" s="1"/>
  <c r="H1119" i="2"/>
  <c r="I1120" i="2" s="1"/>
  <c r="N1119" i="2"/>
  <c r="G282" i="5"/>
  <c r="I282" i="5" s="1"/>
  <c r="H265" i="5"/>
  <c r="I266" i="5" s="1"/>
  <c r="H534" i="5"/>
  <c r="I534" i="5" s="1"/>
  <c r="H446" i="5"/>
  <c r="K446" i="5" s="1"/>
  <c r="H588" i="5"/>
  <c r="J588" i="5"/>
  <c r="K588" i="5" s="1"/>
  <c r="N1145" i="2"/>
  <c r="H1145" i="2"/>
  <c r="I1146" i="2" s="1"/>
  <c r="J1145" i="2"/>
  <c r="K1145" i="2" s="1"/>
  <c r="H423" i="5"/>
  <c r="I423" i="5" s="1"/>
  <c r="H486" i="5"/>
  <c r="K486" i="5" s="1"/>
  <c r="H1171" i="2"/>
  <c r="I1171" i="2" s="1"/>
  <c r="H987" i="2"/>
  <c r="J822" i="2"/>
  <c r="I764" i="2"/>
  <c r="H931" i="2"/>
  <c r="I345" i="5"/>
  <c r="I505" i="5"/>
  <c r="I497" i="5"/>
  <c r="I566" i="5"/>
  <c r="I571" i="5"/>
  <c r="I572" i="5"/>
  <c r="K310" i="5"/>
  <c r="K501" i="5"/>
  <c r="I476" i="5"/>
  <c r="I364" i="5"/>
  <c r="K386" i="5"/>
  <c r="I603" i="5"/>
  <c r="K448" i="5"/>
  <c r="I518" i="5"/>
  <c r="I596" i="5"/>
  <c r="I513" i="5"/>
  <c r="K392" i="5"/>
  <c r="I272" i="5"/>
  <c r="I365" i="5"/>
  <c r="I464" i="5"/>
  <c r="I377" i="5"/>
  <c r="I295" i="5"/>
  <c r="K347" i="5"/>
  <c r="K505" i="5"/>
  <c r="I327" i="5"/>
  <c r="I368" i="5"/>
  <c r="I495" i="5"/>
  <c r="K493" i="5"/>
  <c r="K492" i="5"/>
  <c r="K286" i="5"/>
  <c r="I404" i="5"/>
  <c r="I347" i="5"/>
  <c r="I383" i="5"/>
  <c r="I516" i="5"/>
  <c r="K408" i="5"/>
  <c r="I604" i="5"/>
  <c r="I535" i="5"/>
  <c r="I301" i="5"/>
  <c r="I568" i="5"/>
  <c r="I256" i="5"/>
  <c r="K580" i="5"/>
  <c r="K287" i="5"/>
  <c r="I565" i="5"/>
  <c r="I425" i="5"/>
  <c r="I512" i="5"/>
  <c r="I366" i="5"/>
  <c r="I620" i="5"/>
  <c r="I619" i="5"/>
  <c r="I304" i="5"/>
  <c r="K403" i="5"/>
  <c r="I278" i="5"/>
  <c r="I268" i="5"/>
  <c r="I269" i="5"/>
  <c r="I583" i="5"/>
  <c r="I316" i="5"/>
  <c r="I392" i="5"/>
  <c r="I311" i="5"/>
  <c r="I540" i="5"/>
  <c r="I541" i="5"/>
  <c r="K304" i="5"/>
  <c r="I263" i="5"/>
  <c r="K472" i="5"/>
  <c r="I387" i="5"/>
  <c r="I388" i="5"/>
  <c r="K262" i="5"/>
  <c r="K537" i="5"/>
  <c r="K429" i="5"/>
  <c r="I528" i="5"/>
  <c r="I529" i="5"/>
  <c r="I580" i="5"/>
  <c r="K277" i="5"/>
  <c r="I360" i="5"/>
  <c r="I361" i="5"/>
  <c r="K295" i="5"/>
  <c r="I318" i="5"/>
  <c r="I288" i="5"/>
  <c r="I611" i="5"/>
  <c r="K405" i="5"/>
  <c r="K517" i="5"/>
  <c r="K565" i="5"/>
  <c r="I274" i="5"/>
  <c r="I468" i="5"/>
  <c r="I472" i="5"/>
  <c r="I473" i="5"/>
  <c r="K360" i="5"/>
  <c r="I556" i="5"/>
  <c r="K469" i="5"/>
  <c r="I539" i="5"/>
  <c r="I615" i="5"/>
  <c r="I379" i="5"/>
  <c r="K455" i="5"/>
  <c r="K375" i="5"/>
  <c r="I296" i="5"/>
  <c r="I384" i="5"/>
  <c r="I385" i="5"/>
  <c r="I333" i="5"/>
  <c r="K440" i="5"/>
  <c r="I418" i="5"/>
  <c r="K539" i="5"/>
  <c r="I257" i="5"/>
  <c r="K567" i="5"/>
  <c r="I553" i="5"/>
  <c r="K341" i="5"/>
  <c r="I435" i="5"/>
  <c r="I436" i="5"/>
  <c r="K515" i="5"/>
  <c r="K268" i="5"/>
  <c r="I406" i="5"/>
  <c r="I581" i="5"/>
  <c r="I323" i="5"/>
  <c r="K256" i="5"/>
  <c r="K570" i="5"/>
  <c r="K473" i="5"/>
  <c r="K513" i="5"/>
  <c r="I308" i="5"/>
  <c r="I461" i="5"/>
  <c r="I403" i="5"/>
  <c r="K528" i="5"/>
  <c r="I446" i="5"/>
  <c r="K366" i="5"/>
  <c r="I547" i="5"/>
  <c r="K320" i="5"/>
  <c r="K443" i="5"/>
  <c r="I346" i="5"/>
  <c r="K356" i="5"/>
  <c r="I298" i="5"/>
  <c r="I299" i="5"/>
  <c r="K571" i="5"/>
  <c r="I602" i="5"/>
  <c r="K495" i="5"/>
  <c r="I493" i="5"/>
  <c r="I494" i="5"/>
  <c r="I600" i="5"/>
  <c r="K332" i="5"/>
  <c r="I488" i="5"/>
  <c r="I489" i="5"/>
  <c r="K610" i="5"/>
  <c r="K511" i="5"/>
  <c r="I498" i="5"/>
  <c r="K1247" i="2"/>
  <c r="I792" i="2"/>
  <c r="I793" i="2"/>
  <c r="I815" i="2"/>
  <c r="I1001" i="2"/>
  <c r="I1002" i="2"/>
  <c r="K959" i="2"/>
  <c r="K872" i="2"/>
  <c r="K858" i="2"/>
  <c r="K1174" i="2"/>
  <c r="K918" i="2"/>
  <c r="K960" i="2"/>
  <c r="I810" i="2"/>
  <c r="K907" i="2"/>
  <c r="K1129" i="2"/>
  <c r="I921" i="2"/>
  <c r="I922" i="2"/>
  <c r="K1151" i="2"/>
  <c r="I1151" i="2"/>
  <c r="K1244" i="2"/>
  <c r="I840" i="2"/>
  <c r="I841" i="2"/>
  <c r="K1195" i="2"/>
  <c r="I832" i="2"/>
  <c r="I833" i="2"/>
  <c r="I1055" i="2"/>
  <c r="I1217" i="2"/>
  <c r="I1218" i="2"/>
  <c r="I1043" i="2"/>
  <c r="I1050" i="2"/>
  <c r="I1105" i="2"/>
  <c r="I926" i="2"/>
  <c r="I927" i="2"/>
  <c r="K1085" i="2"/>
  <c r="K1099" i="2"/>
  <c r="K1096" i="2"/>
  <c r="I905" i="2"/>
  <c r="I906" i="2"/>
  <c r="I1191" i="2"/>
  <c r="K1090" i="2"/>
  <c r="K1213" i="2"/>
  <c r="I869" i="2"/>
  <c r="I1091" i="2"/>
  <c r="K1079" i="2"/>
  <c r="I936" i="2"/>
  <c r="I917" i="2"/>
  <c r="K964" i="2"/>
  <c r="K965" i="2"/>
  <c r="K1023" i="2"/>
  <c r="K1055" i="2"/>
  <c r="I1094" i="2"/>
  <c r="I897" i="2"/>
  <c r="I898" i="2"/>
  <c r="I950" i="2"/>
  <c r="I951" i="2"/>
  <c r="I947" i="2"/>
  <c r="I948" i="2"/>
  <c r="K1186" i="2"/>
  <c r="I919" i="2"/>
  <c r="K1039" i="2"/>
  <c r="I1214" i="2"/>
  <c r="I1239" i="2"/>
  <c r="I967" i="2"/>
  <c r="I968" i="2"/>
  <c r="I1223" i="2"/>
  <c r="I1041" i="2"/>
  <c r="I1073" i="2"/>
  <c r="I995" i="2"/>
  <c r="I945" i="2"/>
  <c r="I965" i="2"/>
  <c r="K1052" i="2"/>
  <c r="K1084" i="2"/>
  <c r="I860" i="2"/>
  <c r="K1049" i="2"/>
  <c r="K1041" i="2"/>
  <c r="K1220" i="2"/>
  <c r="I873" i="2"/>
  <c r="K1013" i="2"/>
  <c r="I816" i="2"/>
  <c r="I1115" i="2"/>
  <c r="I1148" i="2"/>
  <c r="I900" i="2"/>
  <c r="I1069" i="2"/>
  <c r="I1070" i="2"/>
  <c r="I846" i="2"/>
  <c r="I823" i="2"/>
  <c r="I824" i="2"/>
  <c r="I1189" i="2"/>
  <c r="I881" i="2"/>
  <c r="K1207" i="2"/>
  <c r="K1105" i="2"/>
  <c r="K869" i="2"/>
  <c r="I959" i="2"/>
  <c r="I851" i="2"/>
  <c r="I852" i="2"/>
  <c r="I1128" i="2"/>
  <c r="K994" i="2"/>
  <c r="I907" i="2"/>
  <c r="K860" i="2"/>
  <c r="K1053" i="2"/>
  <c r="I1108" i="2"/>
  <c r="I1023" i="2"/>
  <c r="I1247" i="2"/>
  <c r="I1248" i="2"/>
  <c r="I1077" i="2"/>
  <c r="I1078" i="2"/>
  <c r="I1011" i="2"/>
  <c r="I1012" i="2"/>
  <c r="K1236" i="2"/>
  <c r="K1000" i="2"/>
  <c r="K910" i="2"/>
  <c r="I1053" i="2"/>
  <c r="I1025" i="2"/>
  <c r="K845" i="2"/>
  <c r="I1177" i="2"/>
  <c r="I1220" i="2"/>
  <c r="I1221" i="2"/>
  <c r="I795" i="2"/>
  <c r="K875" i="2"/>
  <c r="K1201" i="2"/>
  <c r="K1183" i="2"/>
  <c r="I1193" i="2"/>
  <c r="I1152" i="2"/>
  <c r="I1047" i="2"/>
  <c r="I1048" i="2"/>
  <c r="I1127" i="2"/>
  <c r="I1144" i="2"/>
  <c r="I1156" i="2"/>
  <c r="I971" i="2"/>
  <c r="I972" i="2"/>
  <c r="I958" i="2"/>
  <c r="I1101" i="2"/>
  <c r="I1102" i="2"/>
  <c r="K1073" i="2"/>
  <c r="K1064" i="2"/>
  <c r="I1111" i="2"/>
  <c r="I1112" i="2"/>
  <c r="K832" i="2"/>
  <c r="K1240" i="2"/>
  <c r="I1202" i="2"/>
  <c r="K1136" i="2"/>
  <c r="I1085" i="2"/>
  <c r="K1215" i="2"/>
  <c r="I908" i="2"/>
  <c r="I1203" i="2"/>
  <c r="I943" i="2"/>
  <c r="K1086" i="2"/>
  <c r="I827" i="2"/>
  <c r="I828" i="2"/>
  <c r="K958" i="2"/>
  <c r="K988" i="2"/>
  <c r="K1232" i="2"/>
  <c r="I923" i="2"/>
  <c r="I924" i="2"/>
  <c r="K948" i="2"/>
  <c r="I838" i="2"/>
  <c r="I839" i="2"/>
  <c r="I803" i="2"/>
  <c r="I804" i="2"/>
  <c r="I1135" i="2"/>
  <c r="I1136" i="2"/>
  <c r="K1127" i="2"/>
  <c r="I1243" i="2"/>
  <c r="I1242" i="2"/>
  <c r="K919" i="2"/>
  <c r="K1246" i="2"/>
  <c r="K916" i="2"/>
  <c r="K803" i="2"/>
  <c r="I826" i="2"/>
  <c r="I787" i="2"/>
  <c r="K781" i="2"/>
  <c r="K782" i="2"/>
  <c r="I769" i="2"/>
  <c r="I770" i="2"/>
  <c r="I773" i="2"/>
  <c r="I774" i="2"/>
  <c r="I782" i="2"/>
  <c r="I785" i="2"/>
  <c r="I771" i="2"/>
  <c r="K761" i="2"/>
  <c r="G244" i="5"/>
  <c r="G90" i="5"/>
  <c r="H162" i="2"/>
  <c r="J38" i="2"/>
  <c r="H105" i="5"/>
  <c r="G177" i="5"/>
  <c r="J620" i="2"/>
  <c r="H18" i="2"/>
  <c r="G135" i="2"/>
  <c r="J205" i="5"/>
  <c r="K205" i="5" s="1"/>
  <c r="H744" i="2"/>
  <c r="K744" i="2" s="1"/>
  <c r="H620" i="2"/>
  <c r="G239" i="2"/>
  <c r="G705" i="2"/>
  <c r="H253" i="2"/>
  <c r="J84" i="2"/>
  <c r="J696" i="2"/>
  <c r="G668" i="2"/>
  <c r="J141" i="5"/>
  <c r="G53" i="5"/>
  <c r="H534" i="2"/>
  <c r="H141" i="5"/>
  <c r="J705" i="2"/>
  <c r="K705" i="2" s="1"/>
  <c r="G228" i="2"/>
  <c r="G572" i="2"/>
  <c r="G243" i="2"/>
  <c r="J138" i="2"/>
  <c r="G100" i="5"/>
  <c r="J668" i="2"/>
  <c r="K668" i="2" s="1"/>
  <c r="J615" i="2"/>
  <c r="J246" i="5"/>
  <c r="J191" i="5"/>
  <c r="J153" i="2"/>
  <c r="J542" i="2"/>
  <c r="G141" i="5"/>
  <c r="G727" i="2"/>
  <c r="H615" i="2"/>
  <c r="J85" i="5"/>
  <c r="G190" i="5"/>
  <c r="H191" i="5"/>
  <c r="H287" i="2"/>
  <c r="G116" i="5"/>
  <c r="H678" i="2"/>
  <c r="K727" i="2"/>
  <c r="H26" i="2"/>
  <c r="J672" i="2"/>
  <c r="G537" i="2"/>
  <c r="G411" i="2"/>
  <c r="G166" i="2"/>
  <c r="J266" i="2"/>
  <c r="G80" i="5"/>
  <c r="G106" i="5"/>
  <c r="G253" i="2"/>
  <c r="H250" i="2"/>
  <c r="G133" i="2"/>
  <c r="G205" i="5"/>
  <c r="G689" i="2"/>
  <c r="G137" i="5"/>
  <c r="H696" i="2"/>
  <c r="G494" i="2"/>
  <c r="H214" i="2"/>
  <c r="J750" i="2"/>
  <c r="K750" i="2" s="1"/>
  <c r="H193" i="5"/>
  <c r="G65" i="5"/>
  <c r="G429" i="2"/>
  <c r="G750" i="2"/>
  <c r="J736" i="2"/>
  <c r="H223" i="5"/>
  <c r="J718" i="2"/>
  <c r="H707" i="2"/>
  <c r="H103" i="5"/>
  <c r="G41" i="5"/>
  <c r="J220" i="2"/>
  <c r="H111" i="2"/>
  <c r="H275" i="2"/>
  <c r="G207" i="2"/>
  <c r="J19" i="5"/>
  <c r="H674" i="2"/>
  <c r="K674" i="2" s="1"/>
  <c r="J689" i="2"/>
  <c r="K689" i="2" s="1"/>
  <c r="G371" i="2"/>
  <c r="J498" i="2"/>
  <c r="G622" i="2"/>
  <c r="J411" i="2"/>
  <c r="J573" i="2"/>
  <c r="J176" i="5"/>
  <c r="J193" i="5"/>
  <c r="G147" i="5"/>
  <c r="H542" i="2"/>
  <c r="G651" i="2"/>
  <c r="G509" i="2"/>
  <c r="G735" i="2"/>
  <c r="G40" i="2"/>
  <c r="G119" i="2"/>
  <c r="H35" i="2"/>
  <c r="J75" i="2"/>
  <c r="G154" i="2"/>
  <c r="J13" i="5"/>
  <c r="G542" i="2"/>
  <c r="G120" i="2"/>
  <c r="G42" i="5"/>
  <c r="H525" i="2"/>
  <c r="G263" i="2"/>
  <c r="G488" i="2"/>
  <c r="G211" i="2"/>
  <c r="K165" i="5"/>
  <c r="H215" i="2"/>
  <c r="G99" i="2"/>
  <c r="G111" i="2"/>
  <c r="G93" i="5"/>
  <c r="H466" i="2"/>
  <c r="J235" i="2"/>
  <c r="H145" i="2"/>
  <c r="H194" i="2"/>
  <c r="J482" i="2"/>
  <c r="J128" i="2"/>
  <c r="G235" i="2"/>
  <c r="G8" i="5"/>
  <c r="G519" i="2"/>
  <c r="J157" i="2"/>
  <c r="J101" i="5"/>
  <c r="G346" i="2"/>
  <c r="G455" i="2"/>
  <c r="K695" i="2"/>
  <c r="G250" i="5"/>
  <c r="G8" i="2"/>
  <c r="G322" i="2"/>
  <c r="H739" i="2"/>
  <c r="K739" i="2" s="1"/>
  <c r="J344" i="2"/>
  <c r="G110" i="2"/>
  <c r="J67" i="2"/>
  <c r="H535" i="2"/>
  <c r="K244" i="5"/>
  <c r="H198" i="5"/>
  <c r="G363" i="2"/>
  <c r="J485" i="2"/>
  <c r="K485" i="2" s="1"/>
  <c r="G138" i="5"/>
  <c r="G667" i="2"/>
  <c r="H306" i="2"/>
  <c r="G86" i="2"/>
  <c r="J236" i="2"/>
  <c r="J71" i="2"/>
  <c r="G407" i="2"/>
  <c r="K673" i="2"/>
  <c r="K743" i="2"/>
  <c r="G350" i="2"/>
  <c r="H131" i="5"/>
  <c r="G210" i="2"/>
  <c r="H328" i="2"/>
  <c r="G706" i="2"/>
  <c r="G512" i="2"/>
  <c r="H679" i="2"/>
  <c r="G695" i="2"/>
  <c r="G635" i="2"/>
  <c r="K490" i="2"/>
  <c r="G610" i="2"/>
  <c r="J237" i="2"/>
  <c r="H158" i="2"/>
  <c r="G105" i="2"/>
  <c r="G289" i="2"/>
  <c r="J70" i="2"/>
  <c r="H135" i="2"/>
  <c r="H111" i="5"/>
  <c r="G208" i="2"/>
  <c r="H216" i="2"/>
  <c r="G12" i="5"/>
  <c r="G189" i="2"/>
  <c r="J25" i="5"/>
  <c r="H90" i="5"/>
  <c r="H206" i="2"/>
  <c r="G96" i="2"/>
  <c r="G229" i="2"/>
  <c r="G20" i="2"/>
  <c r="H308" i="2"/>
  <c r="J579" i="2"/>
  <c r="G717" i="2"/>
  <c r="H314" i="2"/>
  <c r="G670" i="2"/>
  <c r="J667" i="2"/>
  <c r="H573" i="2"/>
  <c r="J196" i="2"/>
  <c r="H87" i="2"/>
  <c r="H288" i="2"/>
  <c r="G195" i="2"/>
  <c r="H211" i="2"/>
  <c r="K681" i="2"/>
  <c r="K622" i="2"/>
  <c r="G185" i="5"/>
  <c r="J72" i="2"/>
  <c r="G139" i="5"/>
  <c r="G144" i="5"/>
  <c r="H510" i="2"/>
  <c r="K510" i="2" s="1"/>
  <c r="H173" i="5"/>
  <c r="J277" i="2"/>
  <c r="G24" i="5"/>
  <c r="G134" i="2"/>
  <c r="H272" i="2"/>
  <c r="J225" i="2"/>
  <c r="J290" i="2"/>
  <c r="G27" i="2"/>
  <c r="H550" i="2"/>
  <c r="H170" i="2"/>
  <c r="H601" i="2"/>
  <c r="J563" i="2"/>
  <c r="G681" i="2"/>
  <c r="H373" i="2"/>
  <c r="H222" i="2"/>
  <c r="G112" i="2"/>
  <c r="G293" i="2"/>
  <c r="H86" i="2"/>
  <c r="J186" i="2"/>
  <c r="J49" i="5"/>
  <c r="G222" i="2"/>
  <c r="H112" i="2"/>
  <c r="G277" i="2"/>
  <c r="G290" i="2"/>
  <c r="H27" i="2"/>
  <c r="J280" i="2"/>
  <c r="G170" i="2"/>
  <c r="G580" i="2"/>
  <c r="H667" i="2"/>
  <c r="G443" i="2"/>
  <c r="G617" i="2"/>
  <c r="J439" i="2"/>
  <c r="G132" i="2"/>
  <c r="G23" i="2"/>
  <c r="G224" i="2"/>
  <c r="G39" i="2"/>
  <c r="H249" i="2"/>
  <c r="G84" i="5"/>
  <c r="H606" i="2"/>
  <c r="K606" i="2" s="1"/>
  <c r="G79" i="2"/>
  <c r="H666" i="2"/>
  <c r="K666" i="2" s="1"/>
  <c r="J651" i="2"/>
  <c r="K651" i="2" s="1"/>
  <c r="H219" i="2"/>
  <c r="H232" i="2"/>
  <c r="G446" i="2"/>
  <c r="G55" i="5"/>
  <c r="G248" i="2"/>
  <c r="G131" i="5"/>
  <c r="G10" i="5"/>
  <c r="G30" i="2"/>
  <c r="H124" i="2"/>
  <c r="H56" i="5"/>
  <c r="G95" i="5"/>
  <c r="G18" i="5"/>
  <c r="G127" i="5"/>
  <c r="H672" i="2"/>
  <c r="G391" i="2"/>
  <c r="J363" i="2"/>
  <c r="K363" i="2" s="1"/>
  <c r="H115" i="2"/>
  <c r="J635" i="2"/>
  <c r="K635" i="2" s="1"/>
  <c r="J241" i="2"/>
  <c r="G295" i="2"/>
  <c r="H653" i="2"/>
  <c r="K653" i="2" s="1"/>
  <c r="H34" i="5"/>
  <c r="H41" i="5"/>
  <c r="J75" i="5"/>
  <c r="J307" i="2"/>
  <c r="H10" i="2"/>
  <c r="H9" i="5"/>
  <c r="J72" i="5"/>
  <c r="G246" i="2"/>
  <c r="J136" i="2"/>
  <c r="J51" i="5"/>
  <c r="H19" i="2"/>
  <c r="K646" i="2"/>
  <c r="J189" i="5"/>
  <c r="J534" i="2"/>
  <c r="H173" i="2"/>
  <c r="G6" i="2"/>
  <c r="G155" i="2"/>
  <c r="G98" i="2"/>
  <c r="J445" i="2"/>
  <c r="K445" i="2" s="1"/>
  <c r="G694" i="2"/>
  <c r="H32" i="2"/>
  <c r="H22" i="2"/>
  <c r="J158" i="2"/>
  <c r="G238" i="2"/>
  <c r="H6" i="2"/>
  <c r="G190" i="2"/>
  <c r="H155" i="2"/>
  <c r="H16" i="2"/>
  <c r="H529" i="2"/>
  <c r="G708" i="2"/>
  <c r="J198" i="2"/>
  <c r="G686" i="2"/>
  <c r="H677" i="2"/>
  <c r="G266" i="2"/>
  <c r="H549" i="2"/>
  <c r="K549" i="2" s="1"/>
  <c r="G579" i="2"/>
  <c r="J437" i="2"/>
  <c r="K437" i="2" s="1"/>
  <c r="H113" i="2"/>
  <c r="H186" i="5"/>
  <c r="H551" i="2"/>
  <c r="J678" i="2"/>
  <c r="H196" i="2"/>
  <c r="G31" i="5"/>
  <c r="G117" i="5"/>
  <c r="J349" i="2"/>
  <c r="K456" i="2"/>
  <c r="H200" i="5"/>
  <c r="G379" i="2"/>
  <c r="G121" i="2"/>
  <c r="J168" i="2"/>
  <c r="G157" i="2"/>
  <c r="J212" i="2"/>
  <c r="G103" i="2"/>
  <c r="G77" i="2"/>
  <c r="G101" i="5"/>
  <c r="G230" i="2"/>
  <c r="G54" i="2"/>
  <c r="H154" i="2"/>
  <c r="G13" i="5"/>
  <c r="J152" i="5"/>
  <c r="G725" i="2"/>
  <c r="H349" i="2"/>
  <c r="H213" i="5"/>
  <c r="G547" i="2"/>
  <c r="G729" i="2"/>
  <c r="J729" i="2"/>
  <c r="J535" i="2"/>
  <c r="G110" i="5"/>
  <c r="J109" i="5"/>
  <c r="G67" i="5"/>
  <c r="J25" i="2"/>
  <c r="G216" i="2"/>
  <c r="H25" i="5"/>
  <c r="J125" i="5"/>
  <c r="G359" i="2"/>
  <c r="G176" i="5"/>
  <c r="J265" i="2"/>
  <c r="H164" i="2"/>
  <c r="H256" i="2"/>
  <c r="J99" i="5"/>
  <c r="G248" i="5"/>
  <c r="H614" i="2"/>
  <c r="G492" i="2"/>
  <c r="H359" i="2"/>
  <c r="H36" i="5"/>
  <c r="G149" i="5"/>
  <c r="G418" i="2"/>
  <c r="J17" i="5"/>
  <c r="G262" i="2"/>
  <c r="G53" i="2"/>
  <c r="J711" i="2"/>
  <c r="G351" i="2"/>
  <c r="H447" i="2"/>
  <c r="G387" i="2"/>
  <c r="G92" i="2"/>
  <c r="H115" i="5"/>
  <c r="H189" i="5"/>
  <c r="G704" i="2"/>
  <c r="G337" i="2"/>
  <c r="H583" i="2"/>
  <c r="H294" i="2"/>
  <c r="H184" i="2"/>
  <c r="G86" i="5"/>
  <c r="H98" i="5"/>
  <c r="G46" i="2"/>
  <c r="G98" i="5"/>
  <c r="G15" i="2"/>
  <c r="G61" i="5"/>
  <c r="G62" i="5"/>
  <c r="G68" i="5"/>
  <c r="G662" i="2"/>
  <c r="G478" i="2"/>
  <c r="K638" i="2"/>
  <c r="G663" i="2"/>
  <c r="J533" i="2"/>
  <c r="J379" i="2"/>
  <c r="K379" i="2" s="1"/>
  <c r="H455" i="2"/>
  <c r="H381" i="2"/>
  <c r="K381" i="2" s="1"/>
  <c r="G465" i="2"/>
  <c r="J371" i="2"/>
  <c r="K371" i="2" s="1"/>
  <c r="G170" i="5"/>
  <c r="J518" i="2"/>
  <c r="K518" i="2" s="1"/>
  <c r="H251" i="5"/>
  <c r="J214" i="5"/>
  <c r="H647" i="2"/>
  <c r="K647" i="2" s="1"/>
  <c r="H187" i="5"/>
  <c r="K187" i="5" s="1"/>
  <c r="J370" i="2"/>
  <c r="H439" i="2"/>
  <c r="H730" i="2"/>
  <c r="K730" i="2" s="1"/>
  <c r="G711" i="2"/>
  <c r="H230" i="5"/>
  <c r="G703" i="2"/>
  <c r="H661" i="2"/>
  <c r="K661" i="2" s="1"/>
  <c r="J715" i="2"/>
  <c r="G627" i="2"/>
  <c r="H505" i="2"/>
  <c r="G344" i="2"/>
  <c r="J362" i="2"/>
  <c r="H477" i="2"/>
  <c r="G29" i="2"/>
  <c r="J260" i="2"/>
  <c r="H90" i="2"/>
  <c r="H198" i="2"/>
  <c r="J21" i="2"/>
  <c r="H251" i="2"/>
  <c r="G42" i="2"/>
  <c r="G238" i="5"/>
  <c r="G714" i="2"/>
  <c r="J697" i="2"/>
  <c r="H720" i="2"/>
  <c r="H188" i="5"/>
  <c r="J59" i="5"/>
  <c r="J601" i="2"/>
  <c r="J314" i="2"/>
  <c r="J173" i="5"/>
  <c r="H725" i="2"/>
  <c r="J200" i="5"/>
  <c r="G603" i="2"/>
  <c r="G34" i="5"/>
  <c r="G737" i="2"/>
  <c r="G133" i="5"/>
  <c r="J123" i="5"/>
  <c r="J322" i="2"/>
  <c r="J186" i="5"/>
  <c r="G370" i="2"/>
  <c r="J74" i="5"/>
  <c r="J82" i="5"/>
  <c r="H262" i="2"/>
  <c r="G241" i="5"/>
  <c r="H547" i="2"/>
  <c r="K170" i="5"/>
  <c r="G341" i="2"/>
  <c r="J686" i="2"/>
  <c r="K686" i="2" s="1"/>
  <c r="J2" i="5"/>
  <c r="H74" i="5"/>
  <c r="H82" i="5"/>
  <c r="J171" i="2"/>
  <c r="G741" i="2"/>
  <c r="J547" i="2"/>
  <c r="J746" i="2"/>
  <c r="H2" i="2"/>
  <c r="G710" i="2"/>
  <c r="J720" i="2"/>
  <c r="J663" i="2"/>
  <c r="K663" i="2" s="1"/>
  <c r="G33" i="5"/>
  <c r="J517" i="2"/>
  <c r="H286" i="2"/>
  <c r="H176" i="2"/>
  <c r="H17" i="2"/>
  <c r="H65" i="5"/>
  <c r="G36" i="5"/>
  <c r="H367" i="2"/>
  <c r="K367" i="2" s="1"/>
  <c r="J217" i="2"/>
  <c r="H172" i="2"/>
  <c r="H67" i="5"/>
  <c r="G13" i="2"/>
  <c r="G529" i="2"/>
  <c r="H361" i="2"/>
  <c r="J703" i="2"/>
  <c r="G630" i="2"/>
  <c r="J642" i="2"/>
  <c r="K642" i="2" s="1"/>
  <c r="H736" i="2"/>
  <c r="H355" i="2"/>
  <c r="K355" i="2" s="1"/>
  <c r="G439" i="2"/>
  <c r="J114" i="5"/>
  <c r="G24" i="2"/>
  <c r="H33" i="5"/>
  <c r="G34" i="2"/>
  <c r="H281" i="2"/>
  <c r="K281" i="2" s="1"/>
  <c r="J241" i="5"/>
  <c r="K241" i="5" s="1"/>
  <c r="G751" i="2"/>
  <c r="I752" i="2" s="1"/>
  <c r="J328" i="2"/>
  <c r="J206" i="2"/>
  <c r="J197" i="2"/>
  <c r="G298" i="2"/>
  <c r="H126" i="2"/>
  <c r="G162" i="5"/>
  <c r="J251" i="5"/>
  <c r="H433" i="2"/>
  <c r="G181" i="2"/>
  <c r="H697" i="2"/>
  <c r="G220" i="5"/>
  <c r="G702" i="2"/>
  <c r="G566" i="2"/>
  <c r="H325" i="2"/>
  <c r="K325" i="2" s="1"/>
  <c r="G518" i="2"/>
  <c r="G178" i="5"/>
  <c r="H353" i="2"/>
  <c r="K353" i="2" s="1"/>
  <c r="G428" i="2"/>
  <c r="H280" i="2"/>
  <c r="J230" i="5"/>
  <c r="H323" i="2"/>
  <c r="G654" i="2"/>
  <c r="G208" i="5"/>
  <c r="G690" i="2"/>
  <c r="G738" i="2"/>
  <c r="G743" i="2"/>
  <c r="I744" i="2" s="1"/>
  <c r="J133" i="5"/>
  <c r="H728" i="2"/>
  <c r="K728" i="2" s="1"/>
  <c r="J213" i="5"/>
  <c r="G556" i="2"/>
  <c r="G545" i="2"/>
  <c r="H136" i="2"/>
  <c r="G175" i="5"/>
  <c r="K478" i="2"/>
  <c r="K545" i="2"/>
  <c r="J124" i="5"/>
  <c r="J694" i="2"/>
  <c r="K694" i="2" s="1"/>
  <c r="J351" i="2"/>
  <c r="K351" i="2" s="1"/>
  <c r="J86" i="5"/>
  <c r="J537" i="2"/>
  <c r="G317" i="2"/>
  <c r="G354" i="2"/>
  <c r="J719" i="2"/>
  <c r="G642" i="2"/>
  <c r="H411" i="2"/>
  <c r="H357" i="2"/>
  <c r="G578" i="2"/>
  <c r="J526" i="2"/>
  <c r="H574" i="2"/>
  <c r="H102" i="5"/>
  <c r="H382" i="2"/>
  <c r="H608" i="2"/>
  <c r="G191" i="2"/>
  <c r="G723" i="2"/>
  <c r="G432" i="2"/>
  <c r="J375" i="2"/>
  <c r="G664" i="2"/>
  <c r="K706" i="2"/>
  <c r="H24" i="5"/>
  <c r="J113" i="2"/>
  <c r="G456" i="2"/>
  <c r="G228" i="5"/>
  <c r="H693" i="2"/>
  <c r="K693" i="2" s="1"/>
  <c r="J716" i="2"/>
  <c r="K716" i="2" s="1"/>
  <c r="G682" i="2"/>
  <c r="G502" i="2"/>
  <c r="H533" i="2"/>
  <c r="G349" i="2"/>
  <c r="H624" i="2"/>
  <c r="J659" i="2"/>
  <c r="K659" i="2" s="1"/>
  <c r="H322" i="2"/>
  <c r="J47" i="5"/>
  <c r="H140" i="2"/>
  <c r="H59" i="5"/>
  <c r="G269" i="2"/>
  <c r="G66" i="2"/>
  <c r="J309" i="2"/>
  <c r="G28" i="2"/>
  <c r="G82" i="2"/>
  <c r="H83" i="2"/>
  <c r="G89" i="2"/>
  <c r="G61" i="2"/>
  <c r="H120" i="5"/>
  <c r="H335" i="2"/>
  <c r="K335" i="2" s="1"/>
  <c r="J341" i="2"/>
  <c r="G232" i="5"/>
  <c r="G659" i="2"/>
  <c r="K654" i="2"/>
  <c r="G234" i="2"/>
  <c r="G514" i="2"/>
  <c r="H541" i="2"/>
  <c r="G140" i="2"/>
  <c r="G59" i="5"/>
  <c r="H269" i="2"/>
  <c r="G259" i="2"/>
  <c r="G167" i="2"/>
  <c r="H183" i="2"/>
  <c r="H191" i="2"/>
  <c r="H75" i="2"/>
  <c r="G331" i="2"/>
  <c r="J42" i="2"/>
  <c r="G118" i="5"/>
  <c r="G76" i="5"/>
  <c r="H97" i="5"/>
  <c r="G207" i="5"/>
  <c r="K509" i="2"/>
  <c r="H563" i="2"/>
  <c r="J337" i="2"/>
  <c r="K337" i="2" s="1"/>
  <c r="H12" i="5"/>
  <c r="H128" i="5"/>
  <c r="J738" i="2"/>
  <c r="K738" i="2" s="1"/>
  <c r="G505" i="2"/>
  <c r="G582" i="2"/>
  <c r="G307" i="2"/>
  <c r="J134" i="5"/>
  <c r="G4" i="5"/>
  <c r="G121" i="5"/>
  <c r="H26" i="5"/>
  <c r="G29" i="5"/>
  <c r="J690" i="2"/>
  <c r="K690" i="2" s="1"/>
  <c r="H72" i="5"/>
  <c r="G587" i="2"/>
  <c r="G601" i="2"/>
  <c r="G437" i="2"/>
  <c r="G145" i="2"/>
  <c r="H8" i="5"/>
  <c r="H64" i="5"/>
  <c r="J480" i="2"/>
  <c r="J505" i="2"/>
  <c r="J175" i="5"/>
  <c r="K175" i="5" s="1"/>
  <c r="J432" i="2"/>
  <c r="J625" i="2"/>
  <c r="J702" i="2"/>
  <c r="K702" i="2" s="1"/>
  <c r="K735" i="2"/>
  <c r="J22" i="5"/>
  <c r="J44" i="5"/>
  <c r="J401" i="2"/>
  <c r="J11" i="5"/>
  <c r="G533" i="2"/>
  <c r="H630" i="2"/>
  <c r="J551" i="2"/>
  <c r="J751" i="2"/>
  <c r="K751" i="2" s="1"/>
  <c r="G50" i="5"/>
  <c r="J170" i="2"/>
  <c r="H526" i="2"/>
  <c r="H341" i="2"/>
  <c r="K717" i="2"/>
  <c r="G673" i="2"/>
  <c r="H375" i="2"/>
  <c r="H12" i="2"/>
  <c r="J104" i="2"/>
  <c r="J209" i="2"/>
  <c r="H202" i="2"/>
  <c r="H43" i="5"/>
  <c r="J83" i="5"/>
  <c r="G51" i="5"/>
  <c r="G691" i="2"/>
  <c r="G183" i="2"/>
  <c r="J71" i="5"/>
  <c r="J550" i="2"/>
  <c r="G128" i="5"/>
  <c r="H625" i="2"/>
  <c r="H519" i="2"/>
  <c r="J68" i="2"/>
  <c r="H432" i="2"/>
  <c r="G157" i="5"/>
  <c r="J220" i="5"/>
  <c r="K220" i="5" s="1"/>
  <c r="H459" i="2"/>
  <c r="G49" i="5"/>
  <c r="H474" i="2"/>
  <c r="K474" i="2" s="1"/>
  <c r="J34" i="5"/>
  <c r="H683" i="2"/>
  <c r="H506" i="2"/>
  <c r="J288" i="2"/>
  <c r="G338" i="2"/>
  <c r="H370" i="2"/>
  <c r="J662" i="2"/>
  <c r="K662" i="2" s="1"/>
  <c r="H472" i="2"/>
  <c r="G47" i="5"/>
  <c r="H475" i="2"/>
  <c r="K475" i="2" s="1"/>
  <c r="G589" i="2"/>
  <c r="G32" i="5"/>
  <c r="G102" i="2"/>
  <c r="G202" i="2"/>
  <c r="J65" i="2"/>
  <c r="G83" i="5"/>
  <c r="G489" i="2"/>
  <c r="J221" i="5"/>
  <c r="G204" i="5"/>
  <c r="G546" i="2"/>
  <c r="G636" i="2"/>
  <c r="H710" i="2"/>
  <c r="G162" i="2"/>
  <c r="J701" i="2"/>
  <c r="J267" i="2"/>
  <c r="G125" i="5"/>
  <c r="G225" i="2"/>
  <c r="G638" i="2"/>
  <c r="G222" i="5"/>
  <c r="J627" i="2"/>
  <c r="K627" i="2" s="1"/>
  <c r="G343" i="2"/>
  <c r="G445" i="2"/>
  <c r="G21" i="5"/>
  <c r="G272" i="2"/>
  <c r="G594" i="2"/>
  <c r="J223" i="2"/>
  <c r="J255" i="2"/>
  <c r="J97" i="5"/>
  <c r="G161" i="2"/>
  <c r="G54" i="5"/>
  <c r="H537" i="2"/>
  <c r="H48" i="5"/>
  <c r="J664" i="2"/>
  <c r="K664" i="2" s="1"/>
  <c r="J708" i="2"/>
  <c r="K708" i="2" s="1"/>
  <c r="H409" i="2"/>
  <c r="K409" i="2" s="1"/>
  <c r="G51" i="2"/>
  <c r="H14" i="2"/>
  <c r="G114" i="2"/>
  <c r="J119" i="5"/>
  <c r="H181" i="2"/>
  <c r="G278" i="2"/>
  <c r="G37" i="2"/>
  <c r="G166" i="5"/>
  <c r="H207" i="2"/>
  <c r="H101" i="2"/>
  <c r="J92" i="2"/>
  <c r="G688" i="2"/>
  <c r="J447" i="2"/>
  <c r="J594" i="2"/>
  <c r="K594" i="2" s="1"/>
  <c r="H125" i="5"/>
  <c r="J87" i="5"/>
  <c r="H28" i="5"/>
  <c r="G380" i="2"/>
  <c r="K556" i="2"/>
  <c r="H209" i="5"/>
  <c r="G113" i="5"/>
  <c r="J389" i="2"/>
  <c r="H718" i="2"/>
  <c r="J361" i="2"/>
  <c r="G449" i="2"/>
  <c r="H51" i="2"/>
  <c r="J114" i="2"/>
  <c r="G583" i="2"/>
  <c r="G168" i="2"/>
  <c r="G102" i="5"/>
  <c r="G249" i="2"/>
  <c r="G30" i="5"/>
  <c r="G507" i="2"/>
  <c r="H166" i="2"/>
  <c r="G56" i="2"/>
  <c r="H266" i="2"/>
  <c r="G713" i="2"/>
  <c r="G719" i="2"/>
  <c r="J391" i="2"/>
  <c r="J147" i="5"/>
  <c r="G394" i="2"/>
  <c r="K394" i="2"/>
  <c r="G707" i="2"/>
  <c r="G62" i="2"/>
  <c r="J232" i="5"/>
  <c r="K232" i="5" s="1"/>
  <c r="H147" i="5"/>
  <c r="G746" i="2"/>
  <c r="H338" i="2"/>
  <c r="G658" i="2"/>
  <c r="J285" i="2"/>
  <c r="G150" i="2"/>
  <c r="H114" i="5"/>
  <c r="G473" i="2"/>
  <c r="H131" i="2"/>
  <c r="H110" i="2"/>
  <c r="H210" i="2"/>
  <c r="J73" i="5"/>
  <c r="G28" i="5"/>
  <c r="J111" i="5"/>
  <c r="K138" i="5"/>
  <c r="G226" i="5"/>
  <c r="H749" i="2"/>
  <c r="G155" i="5"/>
  <c r="G75" i="5"/>
  <c r="H517" i="2"/>
  <c r="J198" i="5"/>
  <c r="J250" i="2"/>
  <c r="J101" i="2"/>
  <c r="J223" i="5"/>
  <c r="G641" i="2"/>
  <c r="J250" i="5"/>
  <c r="K250" i="5" s="1"/>
  <c r="J155" i="5"/>
  <c r="K155" i="5" s="1"/>
  <c r="G352" i="2"/>
  <c r="J73" i="2"/>
  <c r="H5" i="2"/>
  <c r="K5" i="2" s="1"/>
  <c r="H491" i="2"/>
  <c r="G745" i="2"/>
  <c r="H417" i="2"/>
  <c r="K417" i="2" s="1"/>
  <c r="G76" i="2"/>
  <c r="H60" i="2"/>
  <c r="J7" i="2"/>
  <c r="J228" i="5"/>
  <c r="K228" i="5" s="1"/>
  <c r="J587" i="2"/>
  <c r="K587" i="2" s="1"/>
  <c r="H512" i="2"/>
  <c r="J519" i="2"/>
  <c r="J43" i="5"/>
  <c r="G451" i="2"/>
  <c r="J262" i="2"/>
  <c r="J53" i="2"/>
  <c r="J9" i="2"/>
  <c r="H144" i="2"/>
  <c r="J160" i="5"/>
  <c r="G558" i="2"/>
  <c r="G441" i="2"/>
  <c r="H579" i="2"/>
  <c r="G477" i="2"/>
  <c r="J9" i="5"/>
  <c r="J127" i="5"/>
  <c r="J222" i="5"/>
  <c r="K222" i="5" s="1"/>
  <c r="J630" i="2"/>
  <c r="G399" i="2"/>
  <c r="G598" i="2"/>
  <c r="G219" i="5"/>
  <c r="J525" i="2"/>
  <c r="J502" i="2"/>
  <c r="K502" i="2" s="1"/>
  <c r="J107" i="2"/>
  <c r="J208" i="5"/>
  <c r="K208" i="5" s="1"/>
  <c r="J359" i="2"/>
  <c r="G69" i="5"/>
  <c r="G243" i="5"/>
  <c r="G3" i="2"/>
  <c r="J567" i="2"/>
  <c r="G525" i="2"/>
  <c r="H133" i="5"/>
  <c r="J69" i="5"/>
  <c r="G217" i="5"/>
  <c r="J491" i="2"/>
  <c r="J219" i="5"/>
  <c r="J128" i="5"/>
  <c r="H122" i="2"/>
  <c r="G241" i="2"/>
  <c r="G614" i="2"/>
  <c r="G452" i="2"/>
  <c r="J61" i="2"/>
  <c r="G692" i="2"/>
  <c r="J50" i="5"/>
  <c r="H527" i="2"/>
  <c r="H134" i="5"/>
  <c r="J589" i="2"/>
  <c r="K589" i="2" s="1"/>
  <c r="H60" i="5"/>
  <c r="H297" i="2"/>
  <c r="J226" i="2"/>
  <c r="J192" i="2"/>
  <c r="J159" i="5"/>
  <c r="J459" i="2"/>
  <c r="J31" i="2"/>
  <c r="H6" i="5"/>
  <c r="J95" i="5"/>
  <c r="J12" i="5"/>
  <c r="J16" i="5"/>
  <c r="G20" i="5"/>
  <c r="H22" i="5"/>
  <c r="G72" i="5"/>
  <c r="H657" i="2"/>
  <c r="K657" i="2" s="1"/>
  <c r="J159" i="2"/>
  <c r="G184" i="2"/>
  <c r="G165" i="5"/>
  <c r="G646" i="2"/>
  <c r="G548" i="2"/>
  <c r="G506" i="2"/>
  <c r="J580" i="2"/>
  <c r="H235" i="5"/>
  <c r="H726" i="2"/>
  <c r="J93" i="5"/>
  <c r="G154" i="5"/>
  <c r="G25" i="5"/>
  <c r="J203" i="2"/>
  <c r="H75" i="5"/>
  <c r="H38" i="5"/>
  <c r="H567" i="2"/>
  <c r="J56" i="5"/>
  <c r="J37" i="5"/>
  <c r="J495" i="2"/>
  <c r="G490" i="2"/>
  <c r="G305" i="2"/>
  <c r="K416" i="2"/>
  <c r="H742" i="2"/>
  <c r="K742" i="2" s="1"/>
  <c r="J548" i="2"/>
  <c r="G721" i="2"/>
  <c r="H121" i="5"/>
  <c r="H719" i="2"/>
  <c r="G563" i="2"/>
  <c r="G577" i="2"/>
  <c r="H746" i="2"/>
  <c r="G448" i="2"/>
  <c r="H255" i="2"/>
  <c r="J61" i="5"/>
  <c r="H729" i="2"/>
  <c r="J433" i="2"/>
  <c r="G495" i="2"/>
  <c r="J257" i="2"/>
  <c r="G14" i="5"/>
  <c r="G85" i="2"/>
  <c r="K457" i="2"/>
  <c r="H193" i="2"/>
  <c r="J737" i="2"/>
  <c r="H183" i="5"/>
  <c r="J94" i="2"/>
  <c r="J194" i="5"/>
  <c r="K194" i="5" s="1"/>
  <c r="G517" i="2"/>
  <c r="H734" i="2"/>
  <c r="J54" i="5"/>
  <c r="H400" i="2"/>
  <c r="G129" i="5"/>
  <c r="G567" i="2"/>
  <c r="G56" i="5"/>
  <c r="J165" i="2"/>
  <c r="J407" i="2"/>
  <c r="K407" i="2" s="1"/>
  <c r="J65" i="5"/>
  <c r="J48" i="5"/>
  <c r="H160" i="2"/>
  <c r="G564" i="2"/>
  <c r="G47" i="2"/>
  <c r="H248" i="2"/>
  <c r="G22" i="5"/>
  <c r="G88" i="2"/>
  <c r="H613" i="2"/>
  <c r="G643" i="2"/>
  <c r="J468" i="2"/>
  <c r="H492" i="2"/>
  <c r="G585" i="2"/>
  <c r="H120" i="2"/>
  <c r="H110" i="5"/>
  <c r="G23" i="5"/>
  <c r="H87" i="5"/>
  <c r="G58" i="5"/>
  <c r="G227" i="2"/>
  <c r="G368" i="2"/>
  <c r="G132" i="5"/>
  <c r="J207" i="5"/>
  <c r="K207" i="5" s="1"/>
  <c r="G215" i="5"/>
  <c r="G195" i="5"/>
  <c r="G748" i="2"/>
  <c r="J347" i="2"/>
  <c r="J80" i="5"/>
  <c r="H104" i="5"/>
  <c r="H152" i="5"/>
  <c r="G37" i="5"/>
  <c r="K149" i="5"/>
  <c r="G85" i="5"/>
  <c r="J41" i="5"/>
  <c r="G38" i="5"/>
  <c r="G6" i="5"/>
  <c r="G104" i="5"/>
  <c r="H68" i="5"/>
  <c r="J64" i="5"/>
  <c r="H20" i="5"/>
  <c r="H16" i="5"/>
  <c r="J23" i="5"/>
  <c r="H132" i="5"/>
  <c r="J33" i="5"/>
  <c r="J235" i="5"/>
  <c r="G92" i="5"/>
  <c r="J188" i="5"/>
  <c r="J110" i="5"/>
  <c r="H92" i="5"/>
  <c r="J31" i="5"/>
  <c r="H122" i="5"/>
  <c r="K157" i="5"/>
  <c r="J167" i="5"/>
  <c r="G73" i="5"/>
  <c r="H47" i="5"/>
  <c r="J89" i="5"/>
  <c r="J79" i="5"/>
  <c r="H176" i="5"/>
  <c r="J100" i="5"/>
  <c r="J70" i="5"/>
  <c r="J63" i="5"/>
  <c r="J120" i="5"/>
  <c r="J30" i="5"/>
  <c r="H4" i="5"/>
  <c r="H106" i="5"/>
  <c r="J78" i="5"/>
  <c r="J130" i="5"/>
  <c r="H42" i="5"/>
  <c r="G99" i="5"/>
  <c r="H37" i="5"/>
  <c r="G52" i="5"/>
  <c r="J98" i="5"/>
  <c r="J68" i="5"/>
  <c r="G87" i="5"/>
  <c r="G46" i="5"/>
  <c r="J7" i="5"/>
  <c r="G199" i="5"/>
  <c r="H219" i="5"/>
  <c r="H109" i="5"/>
  <c r="H29" i="5"/>
  <c r="J28" i="5"/>
  <c r="J6" i="5"/>
  <c r="J151" i="5"/>
  <c r="H99" i="5"/>
  <c r="H3" i="5"/>
  <c r="J183" i="5"/>
  <c r="J90" i="5"/>
  <c r="G120" i="5"/>
  <c r="J195" i="5"/>
  <c r="K195" i="5" s="1"/>
  <c r="G39" i="5"/>
  <c r="H27" i="5"/>
  <c r="G81" i="5"/>
  <c r="H118" i="5"/>
  <c r="J76" i="5"/>
  <c r="G214" i="5"/>
  <c r="G105" i="5"/>
  <c r="H35" i="5"/>
  <c r="H14" i="5"/>
  <c r="J115" i="5"/>
  <c r="K211" i="5"/>
  <c r="H86" i="5"/>
  <c r="H95" i="5"/>
  <c r="H112" i="5"/>
  <c r="J91" i="5"/>
  <c r="G134" i="5"/>
  <c r="J117" i="5"/>
  <c r="G114" i="5"/>
  <c r="G88" i="5"/>
  <c r="G111" i="5"/>
  <c r="H146" i="5"/>
  <c r="H77" i="5"/>
  <c r="J42" i="5"/>
  <c r="J96" i="5"/>
  <c r="H11" i="5"/>
  <c r="J106" i="5"/>
  <c r="H71" i="5"/>
  <c r="H168" i="5"/>
  <c r="G94" i="5"/>
  <c r="J36" i="5"/>
  <c r="H96" i="5"/>
  <c r="H49" i="5"/>
  <c r="J27" i="5"/>
  <c r="H192" i="2"/>
  <c r="J357" i="2"/>
  <c r="J636" i="2"/>
  <c r="K636" i="2" s="1"/>
  <c r="G9" i="2"/>
  <c r="H106" i="2"/>
  <c r="H737" i="2"/>
  <c r="J286" i="2"/>
  <c r="G71" i="2"/>
  <c r="J624" i="2"/>
  <c r="H548" i="2"/>
  <c r="H49" i="2"/>
  <c r="H156" i="2"/>
  <c r="G124" i="2"/>
  <c r="G144" i="2"/>
  <c r="G244" i="2"/>
  <c r="J613" i="2"/>
  <c r="G156" i="2"/>
  <c r="J707" i="2"/>
  <c r="J48" i="2"/>
  <c r="J258" i="2"/>
  <c r="H9" i="2"/>
  <c r="J734" i="2"/>
  <c r="J558" i="2"/>
  <c r="K558" i="2" s="1"/>
  <c r="G10" i="2"/>
  <c r="G701" i="2"/>
  <c r="H165" i="2"/>
  <c r="J614" i="2"/>
  <c r="G187" i="2"/>
  <c r="G220" i="2"/>
  <c r="G310" i="2"/>
  <c r="J185" i="2"/>
  <c r="G126" i="2"/>
  <c r="K641" i="2"/>
  <c r="H701" i="2"/>
  <c r="J112" i="2"/>
  <c r="J399" i="2"/>
  <c r="K399" i="2" s="1"/>
  <c r="H11" i="2"/>
  <c r="H486" i="2"/>
  <c r="J20" i="2"/>
  <c r="G284" i="2"/>
  <c r="H74" i="2"/>
  <c r="J105" i="2"/>
  <c r="J41" i="2"/>
  <c r="J682" i="2"/>
  <c r="K682" i="2" s="1"/>
  <c r="G749" i="2"/>
  <c r="J585" i="2"/>
  <c r="K585" i="2" s="1"/>
  <c r="G209" i="2"/>
  <c r="G197" i="2"/>
  <c r="G74" i="2"/>
  <c r="G716" i="2"/>
  <c r="K665" i="2"/>
  <c r="J749" i="2"/>
  <c r="J122" i="2"/>
  <c r="J55" i="2"/>
  <c r="G256" i="2"/>
  <c r="J382" i="2"/>
  <c r="H733" i="2"/>
  <c r="K733" i="2" s="1"/>
  <c r="J87" i="2"/>
  <c r="J27" i="2"/>
  <c r="H724" i="2"/>
  <c r="K670" i="2"/>
  <c r="H85" i="2"/>
  <c r="H580" i="2"/>
  <c r="J463" i="2"/>
  <c r="H347" i="2"/>
  <c r="G675" i="2"/>
  <c r="J574" i="2"/>
  <c r="G32" i="2"/>
  <c r="H346" i="2"/>
  <c r="J380" i="2"/>
  <c r="K380" i="2" s="1"/>
  <c r="J352" i="2"/>
  <c r="K352" i="2" s="1"/>
  <c r="J243" i="2"/>
  <c r="J117" i="2"/>
  <c r="J577" i="2"/>
  <c r="J194" i="2"/>
  <c r="H138" i="2"/>
  <c r="H7" i="2"/>
  <c r="H703" i="2"/>
  <c r="G236" i="2"/>
  <c r="H711" i="2"/>
  <c r="G362" i="2"/>
  <c r="H70" i="2"/>
  <c r="H31" i="2"/>
  <c r="H241" i="2"/>
  <c r="G212" i="2"/>
  <c r="G75" i="2"/>
  <c r="J578" i="2"/>
  <c r="K578" i="2" s="1"/>
  <c r="J529" i="2"/>
  <c r="J598" i="2"/>
  <c r="K598" i="2" s="1"/>
  <c r="H220" i="2"/>
  <c r="H237" i="2"/>
  <c r="J455" i="2"/>
  <c r="H575" i="2"/>
  <c r="K575" i="2" s="1"/>
  <c r="J191" i="2"/>
  <c r="H226" i="2"/>
  <c r="J643" i="2"/>
  <c r="K643" i="2" s="1"/>
  <c r="H391" i="2"/>
  <c r="H291" i="2"/>
  <c r="H159" i="2"/>
  <c r="H128" i="2"/>
  <c r="G280" i="2"/>
  <c r="H468" i="2"/>
  <c r="G60" i="2"/>
  <c r="J710" i="2"/>
  <c r="G55" i="2"/>
  <c r="H91" i="2"/>
  <c r="J143" i="2"/>
  <c r="G33" i="2"/>
  <c r="J691" i="2"/>
  <c r="H362" i="2"/>
  <c r="G306" i="2"/>
  <c r="H344" i="2"/>
  <c r="J4" i="2"/>
  <c r="H504" i="2"/>
  <c r="J546" i="2"/>
  <c r="H68" i="2"/>
  <c r="H94" i="2"/>
  <c r="J477" i="2"/>
  <c r="J400" i="2"/>
  <c r="H36" i="2"/>
  <c r="J506" i="2"/>
  <c r="J30" i="2"/>
  <c r="H38" i="2"/>
  <c r="K38" i="2" s="1"/>
  <c r="G138" i="2"/>
  <c r="H117" i="2"/>
  <c r="J492" i="2"/>
  <c r="H740" i="2"/>
  <c r="G570" i="2"/>
  <c r="J512" i="2"/>
  <c r="H223" i="2"/>
  <c r="J570" i="2"/>
  <c r="G565" i="2"/>
  <c r="J346" i="2"/>
  <c r="J723" i="2"/>
  <c r="K723" i="2" s="1"/>
  <c r="H92" i="2"/>
  <c r="J251" i="2"/>
  <c r="J514" i="2"/>
  <c r="K514" i="2" s="1"/>
  <c r="K721" i="2"/>
  <c r="J323" i="2"/>
  <c r="H134" i="2"/>
  <c r="J62" i="2"/>
  <c r="G223" i="2"/>
  <c r="G122" i="2"/>
  <c r="G633" i="2"/>
  <c r="H30" i="2"/>
  <c r="J130" i="2"/>
  <c r="G139" i="2"/>
  <c r="H495" i="2"/>
  <c r="G401" i="2"/>
  <c r="G308" i="2"/>
  <c r="J725" i="2"/>
  <c r="H80" i="5"/>
  <c r="G145" i="5"/>
  <c r="G66" i="5"/>
  <c r="J38" i="5"/>
  <c r="H19" i="5"/>
  <c r="H143" i="5"/>
  <c r="H83" i="5"/>
  <c r="J102" i="5"/>
  <c r="H40" i="5"/>
  <c r="H164" i="5"/>
  <c r="G216" i="5"/>
  <c r="K178" i="5"/>
  <c r="G152" i="5"/>
  <c r="H221" i="5"/>
  <c r="G196" i="5"/>
  <c r="G40" i="5"/>
  <c r="G179" i="5"/>
  <c r="J132" i="5"/>
  <c r="G109" i="5"/>
  <c r="J45" i="5"/>
  <c r="H101" i="5"/>
  <c r="G82" i="5"/>
  <c r="H91" i="5"/>
  <c r="G89" i="5"/>
  <c r="H238" i="5"/>
  <c r="G229" i="5"/>
  <c r="G182" i="5"/>
  <c r="G251" i="5"/>
  <c r="I252" i="5" s="1"/>
  <c r="G174" i="5"/>
  <c r="H2" i="5"/>
  <c r="H46" i="5"/>
  <c r="H73" i="5"/>
  <c r="H78" i="5"/>
  <c r="H63" i="5"/>
  <c r="J46" i="5"/>
  <c r="H89" i="5"/>
  <c r="G97" i="5"/>
  <c r="H23" i="5"/>
  <c r="G227" i="5"/>
  <c r="J168" i="5"/>
  <c r="H76" i="5"/>
  <c r="G27" i="5"/>
  <c r="H113" i="5"/>
  <c r="G96" i="5"/>
  <c r="H240" i="5"/>
  <c r="K240" i="5" s="1"/>
  <c r="G212" i="5"/>
  <c r="H214" i="5"/>
  <c r="G169" i="5"/>
  <c r="J143" i="5"/>
  <c r="J26" i="5"/>
  <c r="J146" i="5"/>
  <c r="G136" i="5"/>
  <c r="H127" i="5"/>
  <c r="H30" i="5"/>
  <c r="H39" i="5"/>
  <c r="J32" i="5"/>
  <c r="J40" i="5"/>
  <c r="J8" i="5"/>
  <c r="H117" i="5"/>
  <c r="J162" i="5"/>
  <c r="K162" i="5" s="1"/>
  <c r="H130" i="5"/>
  <c r="H119" i="5"/>
  <c r="J121" i="5"/>
  <c r="H51" i="5"/>
  <c r="G202" i="5"/>
  <c r="G194" i="5"/>
  <c r="J35" i="5"/>
  <c r="H50" i="5"/>
  <c r="H123" i="5"/>
  <c r="G206" i="5"/>
  <c r="H58" i="5"/>
  <c r="G237" i="5"/>
  <c r="G218" i="5"/>
  <c r="J14" i="5"/>
  <c r="H31" i="5"/>
  <c r="J67" i="5"/>
  <c r="H17" i="5"/>
  <c r="J20" i="5"/>
  <c r="J105" i="5"/>
  <c r="K105" i="5" s="1"/>
  <c r="G130" i="5"/>
  <c r="J236" i="5"/>
  <c r="H254" i="2"/>
  <c r="J254" i="2"/>
  <c r="G106" i="2"/>
  <c r="J106" i="2"/>
  <c r="H282" i="2"/>
  <c r="J282" i="2"/>
  <c r="J47" i="2"/>
  <c r="H47" i="2"/>
  <c r="G568" i="2"/>
  <c r="H67" i="2"/>
  <c r="G182" i="2"/>
  <c r="H72" i="2"/>
  <c r="H123" i="2"/>
  <c r="J15" i="2"/>
  <c r="H15" i="2"/>
  <c r="G656" i="2"/>
  <c r="J124" i="2"/>
  <c r="J234" i="2"/>
  <c r="H234" i="2"/>
  <c r="H543" i="2"/>
  <c r="J543" i="2"/>
  <c r="G557" i="2"/>
  <c r="J557" i="2"/>
  <c r="K557" i="2" s="1"/>
  <c r="J213" i="2"/>
  <c r="H213" i="2"/>
  <c r="G226" i="2"/>
  <c r="H656" i="2"/>
  <c r="J44" i="2"/>
  <c r="H44" i="2"/>
  <c r="G213" i="2"/>
  <c r="H188" i="2"/>
  <c r="J263" i="2"/>
  <c r="J155" i="2"/>
  <c r="H78" i="2"/>
  <c r="J12" i="2"/>
  <c r="H104" i="2"/>
  <c r="H364" i="2"/>
  <c r="H236" i="2"/>
  <c r="H577" i="2"/>
  <c r="J78" i="2"/>
  <c r="J279" i="2"/>
  <c r="J178" i="2"/>
  <c r="G11" i="2"/>
  <c r="G421" i="2"/>
  <c r="H129" i="2"/>
  <c r="H20" i="2"/>
  <c r="G454" i="2"/>
  <c r="J26" i="2"/>
  <c r="J139" i="2"/>
  <c r="H278" i="2"/>
  <c r="J37" i="2"/>
  <c r="H37" i="2"/>
  <c r="H142" i="2"/>
  <c r="J76" i="2"/>
  <c r="G273" i="2"/>
  <c r="G199" i="2"/>
  <c r="H199" i="2"/>
  <c r="J19" i="2"/>
  <c r="J207" i="2"/>
  <c r="H179" i="2"/>
  <c r="J179" i="2"/>
  <c r="G245" i="2"/>
  <c r="H212" i="2"/>
  <c r="H304" i="2"/>
  <c r="H77" i="2"/>
  <c r="H500" i="2"/>
  <c r="H300" i="2"/>
  <c r="J300" i="2"/>
  <c r="H153" i="2"/>
  <c r="H59" i="2"/>
  <c r="J274" i="2"/>
  <c r="H147" i="2"/>
  <c r="J147" i="2"/>
  <c r="G300" i="2"/>
  <c r="H274" i="2"/>
  <c r="H265" i="2"/>
  <c r="J132" i="2"/>
  <c r="J52" i="2"/>
  <c r="H52" i="2"/>
  <c r="H675" i="2"/>
  <c r="J675" i="2"/>
  <c r="H243" i="2"/>
  <c r="H239" i="2"/>
  <c r="J63" i="2"/>
  <c r="H63" i="2"/>
  <c r="J461" i="2"/>
  <c r="J233" i="2"/>
  <c r="H233" i="2"/>
  <c r="G180" i="2"/>
  <c r="H127" i="2"/>
  <c r="J127" i="2"/>
  <c r="J303" i="2"/>
  <c r="G233" i="2"/>
  <c r="H157" i="2"/>
  <c r="H103" i="2"/>
  <c r="J297" i="2"/>
  <c r="H177" i="2"/>
  <c r="J177" i="2"/>
  <c r="J271" i="2"/>
  <c r="H149" i="2"/>
  <c r="G115" i="2"/>
  <c r="J90" i="2"/>
  <c r="G90" i="2"/>
  <c r="J189" i="2"/>
  <c r="H476" i="2"/>
  <c r="J476" i="2"/>
  <c r="H61" i="2"/>
  <c r="J135" i="2"/>
  <c r="H189" i="2"/>
  <c r="H121" i="2"/>
  <c r="J121" i="2"/>
  <c r="J129" i="2"/>
  <c r="G175" i="2"/>
  <c r="H263" i="2"/>
  <c r="H62" i="2"/>
  <c r="G329" i="2"/>
  <c r="G4" i="2"/>
  <c r="H84" i="2"/>
  <c r="G286" i="2"/>
  <c r="G176" i="2"/>
  <c r="H107" i="2"/>
  <c r="G17" i="2"/>
  <c r="G137" i="2"/>
  <c r="J82" i="2"/>
  <c r="G267" i="2"/>
  <c r="J310" i="2"/>
  <c r="J34" i="2"/>
  <c r="J145" i="2"/>
  <c r="J96" i="2"/>
  <c r="G117" i="2"/>
  <c r="H137" i="2"/>
  <c r="H267" i="2"/>
  <c r="H143" i="2"/>
  <c r="H33" i="2"/>
  <c r="J154" i="2"/>
  <c r="J269" i="2"/>
  <c r="J608" i="2"/>
  <c r="G221" i="2"/>
  <c r="H204" i="2"/>
  <c r="G95" i="2"/>
  <c r="G296" i="2"/>
  <c r="J240" i="2"/>
  <c r="J97" i="2"/>
  <c r="G52" i="2"/>
  <c r="G19" i="2"/>
  <c r="G254" i="2"/>
  <c r="H680" i="2"/>
  <c r="G231" i="2"/>
  <c r="J50" i="2"/>
  <c r="J134" i="2"/>
  <c r="J169" i="2"/>
  <c r="J83" i="2"/>
  <c r="H401" i="2"/>
  <c r="J287" i="2"/>
  <c r="J49" i="2"/>
  <c r="H227" i="2"/>
  <c r="G302" i="2"/>
  <c r="H65" i="2"/>
  <c r="H163" i="2"/>
  <c r="G21" i="2"/>
  <c r="J208" i="2"/>
  <c r="J28" i="2"/>
  <c r="G260" i="2"/>
  <c r="G50" i="2"/>
  <c r="K745" i="2"/>
  <c r="G198" i="2"/>
  <c r="H73" i="2"/>
  <c r="J295" i="2"/>
  <c r="G12" i="2"/>
  <c r="G214" i="2"/>
  <c r="G104" i="2"/>
  <c r="H209" i="2"/>
  <c r="G528" i="2"/>
  <c r="G205" i="2"/>
  <c r="G118" i="2"/>
  <c r="H218" i="2"/>
  <c r="J487" i="2"/>
  <c r="H81" i="2"/>
  <c r="G18" i="2"/>
  <c r="J18" i="2"/>
  <c r="J35" i="2"/>
  <c r="H569" i="2"/>
  <c r="J569" i="2"/>
  <c r="H119" i="2"/>
  <c r="J284" i="2"/>
  <c r="H284" i="2"/>
  <c r="J79" i="2"/>
  <c r="H79" i="2"/>
  <c r="H24" i="2"/>
  <c r="J24" i="2"/>
  <c r="J252" i="2"/>
  <c r="H252" i="2"/>
  <c r="G91" i="2"/>
  <c r="G648" i="2"/>
  <c r="H330" i="2"/>
  <c r="J330" i="2"/>
  <c r="J108" i="2"/>
  <c r="H108" i="2"/>
  <c r="J109" i="2"/>
  <c r="H41" i="2"/>
  <c r="J343" i="2"/>
  <c r="K343" i="2" s="1"/>
  <c r="H109" i="2"/>
  <c r="K699" i="2"/>
  <c r="J91" i="2"/>
  <c r="H34" i="2"/>
  <c r="H82" i="2"/>
  <c r="J74" i="2"/>
  <c r="H691" i="2"/>
  <c r="J609" i="2"/>
  <c r="H609" i="2"/>
  <c r="G539" i="2"/>
  <c r="J539" i="2"/>
  <c r="K539" i="2" s="1"/>
  <c r="H200" i="2"/>
  <c r="J200" i="2"/>
  <c r="G188" i="2"/>
  <c r="J188" i="2"/>
  <c r="J211" i="2"/>
  <c r="H496" i="2"/>
  <c r="J496" i="2"/>
  <c r="G116" i="2"/>
  <c r="H148" i="2"/>
  <c r="J148" i="2"/>
  <c r="G724" i="2"/>
  <c r="J724" i="2"/>
  <c r="G185" i="2"/>
  <c r="J296" i="2"/>
  <c r="H296" i="2"/>
  <c r="J126" i="2"/>
  <c r="J149" i="2"/>
  <c r="G149" i="2"/>
  <c r="G204" i="2"/>
  <c r="J102" i="2"/>
  <c r="H102" i="2"/>
  <c r="G324" i="2"/>
  <c r="H268" i="2"/>
  <c r="J268" i="2"/>
  <c r="J283" i="2"/>
  <c r="J23" i="2"/>
  <c r="G291" i="2"/>
  <c r="H259" i="2"/>
  <c r="J259" i="2"/>
  <c r="H240" i="2"/>
  <c r="H224" i="2"/>
  <c r="J137" i="2"/>
  <c r="H513" i="2"/>
  <c r="J513" i="2"/>
  <c r="H228" i="2"/>
  <c r="J228" i="2"/>
  <c r="G683" i="2"/>
  <c r="J683" i="2"/>
  <c r="J93" i="2"/>
  <c r="H93" i="2"/>
  <c r="J298" i="2"/>
  <c r="H298" i="2"/>
  <c r="J292" i="2"/>
  <c r="H292" i="2"/>
  <c r="G108" i="2"/>
  <c r="H43" i="2"/>
  <c r="J43" i="2"/>
  <c r="J423" i="2"/>
  <c r="H423" i="2"/>
  <c r="G372" i="2"/>
  <c r="J372" i="2"/>
  <c r="K372" i="2" s="1"/>
  <c r="H116" i="2"/>
  <c r="J116" i="2"/>
  <c r="H388" i="2"/>
  <c r="J388" i="2"/>
  <c r="J99" i="2"/>
  <c r="H99" i="2"/>
  <c r="G252" i="2"/>
  <c r="J221" i="2"/>
  <c r="H221" i="2"/>
  <c r="G148" i="2"/>
  <c r="J39" i="2"/>
  <c r="G59" i="2"/>
  <c r="J59" i="2"/>
  <c r="H95" i="2"/>
  <c r="H305" i="2"/>
  <c r="J305" i="2"/>
  <c r="J58" i="2"/>
  <c r="H58" i="2"/>
  <c r="H276" i="2"/>
  <c r="J276" i="2"/>
  <c r="H283" i="2"/>
  <c r="H299" i="2"/>
  <c r="J299" i="2"/>
  <c r="G676" i="2"/>
  <c r="J676" i="2"/>
  <c r="K676" i="2" s="1"/>
  <c r="J465" i="2"/>
  <c r="K465" i="2" s="1"/>
  <c r="G466" i="2"/>
  <c r="J466" i="2"/>
  <c r="G496" i="2"/>
  <c r="H8" i="2"/>
  <c r="J8" i="2"/>
  <c r="J193" i="2"/>
  <c r="J315" i="2"/>
  <c r="K315" i="2" s="1"/>
  <c r="J100" i="2"/>
  <c r="H100" i="2"/>
  <c r="G218" i="2"/>
  <c r="J172" i="2"/>
  <c r="J199" i="2"/>
  <c r="G73" i="2"/>
  <c r="G169" i="2"/>
  <c r="G275" i="2"/>
  <c r="G282" i="2"/>
  <c r="H80" i="2"/>
  <c r="J80" i="2"/>
  <c r="J218" i="2"/>
  <c r="J374" i="2"/>
  <c r="H374" i="2"/>
  <c r="J57" i="2"/>
  <c r="H57" i="2"/>
  <c r="G265" i="2"/>
  <c r="G164" i="2"/>
  <c r="G67" i="2"/>
  <c r="H244" i="2"/>
  <c r="G247" i="2"/>
  <c r="J273" i="2"/>
  <c r="H273" i="2"/>
  <c r="J13" i="2"/>
  <c r="G650" i="2"/>
  <c r="H42" i="2"/>
  <c r="G591" i="2"/>
  <c r="H167" i="2"/>
  <c r="J167" i="2"/>
  <c r="G172" i="2"/>
  <c r="H245" i="2"/>
  <c r="J245" i="2"/>
  <c r="J190" i="2"/>
  <c r="H190" i="2"/>
  <c r="H152" i="2"/>
  <c r="J152" i="2"/>
  <c r="H21" i="2"/>
  <c r="H354" i="2"/>
  <c r="J354" i="2"/>
  <c r="J6" i="2"/>
  <c r="J677" i="2"/>
  <c r="J2" i="2"/>
  <c r="G16" i="2"/>
  <c r="J166" i="2"/>
  <c r="J131" i="2"/>
  <c r="J40" i="2"/>
  <c r="H40" i="2"/>
  <c r="G301" i="2"/>
  <c r="H231" i="2"/>
  <c r="J231" i="2"/>
  <c r="H139" i="2"/>
  <c r="H114" i="2"/>
  <c r="G274" i="2"/>
  <c r="J81" i="2"/>
  <c r="G165" i="2"/>
  <c r="K565" i="2"/>
  <c r="H66" i="2"/>
  <c r="J66" i="2"/>
  <c r="G179" i="2"/>
  <c r="G303" i="2"/>
  <c r="H146" i="2"/>
  <c r="J146" i="2"/>
  <c r="H264" i="2"/>
  <c r="J264" i="2"/>
  <c r="H88" i="2"/>
  <c r="G309" i="2"/>
  <c r="J88" i="2"/>
  <c r="G276" i="2"/>
  <c r="G217" i="2"/>
  <c r="H301" i="2"/>
  <c r="J301" i="2"/>
  <c r="H56" i="2"/>
  <c r="J56" i="2"/>
  <c r="J201" i="2"/>
  <c r="H201" i="2"/>
  <c r="J180" i="2"/>
  <c r="H180" i="2"/>
  <c r="H260" i="2"/>
  <c r="H50" i="2"/>
  <c r="J98" i="2"/>
  <c r="G611" i="2"/>
  <c r="H130" i="2"/>
  <c r="G201" i="2"/>
  <c r="H150" i="2"/>
  <c r="J150" i="2"/>
  <c r="H257" i="2"/>
  <c r="J64" i="2"/>
  <c r="J86" i="2"/>
  <c r="H55" i="2"/>
  <c r="G178" i="2"/>
  <c r="J462" i="2"/>
  <c r="G285" i="2"/>
  <c r="H559" i="2"/>
  <c r="J559" i="2"/>
  <c r="J45" i="2"/>
  <c r="G435" i="2"/>
  <c r="J216" i="2"/>
  <c r="G22" i="2"/>
  <c r="G44" i="2"/>
  <c r="J77" i="2"/>
  <c r="H76" i="2"/>
  <c r="G360" i="2"/>
  <c r="J242" i="2"/>
  <c r="G425" i="2"/>
  <c r="H28" i="2"/>
  <c r="H424" i="2"/>
  <c r="G487" i="2"/>
  <c r="G158" i="2"/>
  <c r="H171" i="2"/>
  <c r="H208" i="2"/>
  <c r="G740" i="2"/>
  <c r="J306" i="2"/>
  <c r="K317" i="2"/>
  <c r="H429" i="2"/>
  <c r="H295" i="2"/>
  <c r="H168" i="2"/>
  <c r="G321" i="2"/>
  <c r="G237" i="2"/>
  <c r="J229" i="2"/>
  <c r="J222" i="2"/>
  <c r="H277" i="2"/>
  <c r="H39" i="2"/>
  <c r="H270" i="2"/>
  <c r="G484" i="2"/>
  <c r="G25" i="2"/>
  <c r="H242" i="2"/>
  <c r="H48" i="2"/>
  <c r="J740" i="2"/>
  <c r="H271" i="2"/>
  <c r="K368" i="2"/>
  <c r="G318" i="2"/>
  <c r="G396" i="2"/>
  <c r="G251" i="2"/>
  <c r="K392" i="2"/>
  <c r="J17" i="2"/>
  <c r="G404" i="2"/>
  <c r="G31" i="2"/>
  <c r="G287" i="2"/>
  <c r="G232" i="2"/>
  <c r="H186" i="2"/>
  <c r="G147" i="2"/>
  <c r="G15" i="5"/>
  <c r="G197" i="5"/>
  <c r="J197" i="5"/>
  <c r="K197" i="5" s="1"/>
  <c r="J243" i="5"/>
  <c r="H243" i="5"/>
  <c r="J237" i="5"/>
  <c r="H237" i="5"/>
  <c r="G405" i="2"/>
  <c r="G219" i="2"/>
  <c r="J204" i="2"/>
  <c r="H307" i="2"/>
  <c r="J293" i="2"/>
  <c r="K441" i="2"/>
  <c r="G469" i="2"/>
  <c r="H562" i="2"/>
  <c r="G644" i="2"/>
  <c r="G595" i="2"/>
  <c r="G660" i="2"/>
  <c r="H446" i="2"/>
  <c r="J103" i="2"/>
  <c r="K607" i="2"/>
  <c r="K448" i="2"/>
  <c r="H540" i="2"/>
  <c r="G639" i="2"/>
  <c r="H482" i="2"/>
  <c r="J140" i="2"/>
  <c r="J304" i="2"/>
  <c r="G499" i="2"/>
  <c r="J633" i="2"/>
  <c r="H633" i="2"/>
  <c r="J234" i="5"/>
  <c r="H234" i="5"/>
  <c r="G334" i="2"/>
  <c r="H45" i="5"/>
  <c r="J176" i="2"/>
  <c r="H258" i="2"/>
  <c r="H94" i="5"/>
  <c r="G422" i="2"/>
  <c r="H285" i="2"/>
  <c r="J22" i="2"/>
  <c r="J214" i="2"/>
  <c r="J39" i="5"/>
  <c r="J95" i="2"/>
  <c r="J113" i="5"/>
  <c r="J10" i="5"/>
  <c r="H29" i="2"/>
  <c r="G103" i="5"/>
  <c r="H4" i="2"/>
  <c r="H132" i="2"/>
  <c r="H23" i="2"/>
  <c r="H151" i="2"/>
  <c r="H279" i="2"/>
  <c r="H96" i="2"/>
  <c r="J224" i="2"/>
  <c r="H178" i="2"/>
  <c r="G91" i="5"/>
  <c r="H169" i="2"/>
  <c r="H229" i="2"/>
  <c r="H116" i="5"/>
  <c r="G503" i="2"/>
  <c r="G632" i="2"/>
  <c r="G645" i="2"/>
  <c r="H136" i="5"/>
  <c r="J136" i="5"/>
  <c r="J747" i="2"/>
  <c r="H747" i="2"/>
  <c r="G49" i="2"/>
  <c r="G400" i="2"/>
  <c r="G127" i="2"/>
  <c r="G255" i="2"/>
  <c r="G123" i="2"/>
  <c r="H185" i="2"/>
  <c r="K203" i="5"/>
  <c r="H648" i="2"/>
  <c r="J648" i="2"/>
  <c r="H215" i="5"/>
  <c r="J215" i="5"/>
  <c r="H171" i="5"/>
  <c r="J171" i="5"/>
  <c r="H245" i="5"/>
  <c r="I245" i="5" s="1"/>
  <c r="J245" i="5"/>
  <c r="H247" i="5"/>
  <c r="J247" i="5"/>
  <c r="H167" i="5"/>
  <c r="H148" i="5"/>
  <c r="J669" i="2"/>
  <c r="K669" i="2" s="1"/>
  <c r="H142" i="5"/>
  <c r="J142" i="5"/>
  <c r="G731" i="2"/>
  <c r="J227" i="5"/>
  <c r="H227" i="5"/>
  <c r="H246" i="5"/>
  <c r="H216" i="5"/>
  <c r="J216" i="5"/>
  <c r="G72" i="2"/>
  <c r="G200" i="2"/>
  <c r="H463" i="2"/>
  <c r="G93" i="2"/>
  <c r="G5" i="5"/>
  <c r="G523" i="2"/>
  <c r="J169" i="5"/>
  <c r="H202" i="5"/>
  <c r="J202" i="5"/>
  <c r="H249" i="5"/>
  <c r="K249" i="5" s="1"/>
  <c r="H731" i="2"/>
  <c r="J731" i="2"/>
  <c r="J181" i="5"/>
  <c r="J190" i="5"/>
  <c r="H190" i="5"/>
  <c r="J712" i="2"/>
  <c r="H712" i="2"/>
  <c r="G150" i="5"/>
  <c r="J217" i="5"/>
  <c r="K217" i="5" s="1"/>
  <c r="G700" i="2"/>
  <c r="H182" i="5"/>
  <c r="J182" i="5"/>
  <c r="G416" i="2"/>
  <c r="J153" i="5"/>
  <c r="H153" i="5"/>
  <c r="G186" i="2"/>
  <c r="G107" i="5"/>
  <c r="G83" i="2"/>
  <c r="G64" i="5"/>
  <c r="G313" i="2"/>
  <c r="J443" i="2"/>
  <c r="K443" i="2" s="1"/>
  <c r="G414" i="2"/>
  <c r="G621" i="2"/>
  <c r="G71" i="5"/>
  <c r="J60" i="2"/>
  <c r="H141" i="2"/>
  <c r="G626" i="2"/>
  <c r="J209" i="5"/>
  <c r="J184" i="5"/>
  <c r="H184" i="5"/>
  <c r="G163" i="5"/>
  <c r="G181" i="5"/>
  <c r="J238" i="5"/>
  <c r="G161" i="5"/>
  <c r="H181" i="5"/>
  <c r="G203" i="5"/>
  <c r="G239" i="5"/>
  <c r="G236" i="5"/>
  <c r="J704" i="2"/>
  <c r="H704" i="2"/>
  <c r="J196" i="5"/>
  <c r="H196" i="5"/>
  <c r="G142" i="5"/>
  <c r="H242" i="5"/>
  <c r="J242" i="5"/>
  <c r="G158" i="5"/>
  <c r="J204" i="5"/>
  <c r="H204" i="5"/>
  <c r="G246" i="5"/>
  <c r="G734" i="2"/>
  <c r="G177" i="2"/>
  <c r="H100" i="5"/>
  <c r="G385" i="2"/>
  <c r="J364" i="2"/>
  <c r="G131" i="2"/>
  <c r="H480" i="2"/>
  <c r="G485" i="2"/>
  <c r="H217" i="2"/>
  <c r="G442" i="2"/>
  <c r="H538" i="2"/>
  <c r="J544" i="2"/>
  <c r="G2" i="5"/>
  <c r="G629" i="2"/>
  <c r="G41" i="2"/>
  <c r="H570" i="2"/>
  <c r="J139" i="5"/>
  <c r="K139" i="5" s="1"/>
  <c r="G184" i="5"/>
  <c r="G210" i="5"/>
  <c r="H163" i="5"/>
  <c r="J163" i="5"/>
  <c r="J144" i="5"/>
  <c r="K144" i="5" s="1"/>
  <c r="G192" i="5"/>
  <c r="H161" i="5"/>
  <c r="J161" i="5"/>
  <c r="G242" i="5"/>
  <c r="H180" i="5"/>
  <c r="H239" i="5"/>
  <c r="J239" i="5"/>
  <c r="H236" i="5"/>
  <c r="G699" i="2"/>
  <c r="J158" i="5"/>
  <c r="H158" i="5"/>
  <c r="H159" i="5"/>
  <c r="J224" i="5"/>
  <c r="H224" i="5"/>
  <c r="H212" i="5"/>
  <c r="J212" i="5"/>
  <c r="J225" i="5"/>
  <c r="K225" i="5" s="1"/>
  <c r="G26" i="5"/>
  <c r="G395" i="2"/>
  <c r="H544" i="2"/>
  <c r="J493" i="2"/>
  <c r="G70" i="2"/>
  <c r="G7" i="2"/>
  <c r="G35" i="5"/>
  <c r="J164" i="5"/>
  <c r="J210" i="5"/>
  <c r="H210" i="5"/>
  <c r="G637" i="2"/>
  <c r="H192" i="5"/>
  <c r="J192" i="5"/>
  <c r="H233" i="5"/>
  <c r="J233" i="5"/>
  <c r="H151" i="5"/>
  <c r="G698" i="2"/>
  <c r="G201" i="5"/>
  <c r="H684" i="2"/>
  <c r="G211" i="5"/>
  <c r="H160" i="5"/>
  <c r="H231" i="5"/>
  <c r="H722" i="2"/>
  <c r="J722" i="2"/>
  <c r="H135" i="5"/>
  <c r="J135" i="5"/>
  <c r="J179" i="5"/>
  <c r="K179" i="5" s="1"/>
  <c r="G225" i="5"/>
  <c r="H177" i="5"/>
  <c r="J177" i="5"/>
  <c r="G607" i="2"/>
  <c r="G671" i="2"/>
  <c r="G19" i="5"/>
  <c r="G588" i="2"/>
  <c r="H185" i="5"/>
  <c r="J185" i="5"/>
  <c r="H698" i="2"/>
  <c r="J698" i="2"/>
  <c r="H201" i="5"/>
  <c r="J201" i="5"/>
  <c r="J709" i="2"/>
  <c r="H709" i="2"/>
  <c r="J166" i="5"/>
  <c r="H166" i="5"/>
  <c r="H137" i="5"/>
  <c r="J137" i="5"/>
  <c r="G665" i="2"/>
  <c r="G173" i="2"/>
  <c r="G196" i="2"/>
  <c r="G14" i="2"/>
  <c r="G142" i="2"/>
  <c r="G270" i="2"/>
  <c r="G87" i="2"/>
  <c r="G215" i="2"/>
  <c r="J32" i="2"/>
  <c r="G160" i="2"/>
  <c r="G288" i="2"/>
  <c r="G242" i="2"/>
  <c r="J404" i="2"/>
  <c r="G45" i="5"/>
  <c r="H377" i="2"/>
  <c r="K377" i="2" s="1"/>
  <c r="H546" i="2"/>
  <c r="K637" i="2"/>
  <c r="G130" i="2"/>
  <c r="G258" i="2"/>
  <c r="G440" i="2"/>
  <c r="J603" i="2"/>
  <c r="G261" i="2"/>
  <c r="J195" i="2"/>
  <c r="J115" i="2"/>
  <c r="H174" i="2"/>
  <c r="H302" i="2"/>
  <c r="H247" i="2"/>
  <c r="G64" i="2"/>
  <c r="G192" i="2"/>
  <c r="G65" i="2"/>
  <c r="J253" i="2"/>
  <c r="G9" i="5"/>
  <c r="H97" i="2"/>
  <c r="H85" i="5"/>
  <c r="K688" i="2"/>
  <c r="G571" i="2"/>
  <c r="H452" i="2"/>
  <c r="G631" i="2"/>
  <c r="G63" i="5"/>
  <c r="G271" i="2"/>
  <c r="G81" i="2"/>
  <c r="H69" i="5"/>
  <c r="G123" i="5"/>
  <c r="G153" i="2"/>
  <c r="H203" i="2"/>
  <c r="K154" i="5"/>
  <c r="H715" i="2"/>
  <c r="H169" i="5"/>
  <c r="J732" i="2"/>
  <c r="H206" i="5"/>
  <c r="J206" i="5"/>
  <c r="H140" i="5"/>
  <c r="K140" i="5" s="1"/>
  <c r="H732" i="2"/>
  <c r="J199" i="5"/>
  <c r="K199" i="5" s="1"/>
  <c r="H741" i="2"/>
  <c r="J741" i="2"/>
  <c r="J156" i="5"/>
  <c r="H156" i="5"/>
  <c r="H145" i="5"/>
  <c r="J145" i="5"/>
  <c r="H172" i="5"/>
  <c r="G247" i="5"/>
  <c r="J248" i="5"/>
  <c r="H248" i="5"/>
  <c r="H229" i="5"/>
  <c r="J229" i="5"/>
  <c r="H150" i="5"/>
  <c r="J150" i="5"/>
  <c r="H174" i="5"/>
  <c r="J174" i="5"/>
  <c r="G669" i="2"/>
  <c r="G685" i="2"/>
  <c r="J685" i="2"/>
  <c r="K685" i="2" s="1"/>
  <c r="H226" i="5"/>
  <c r="J226" i="5"/>
  <c r="J218" i="5"/>
  <c r="H218" i="5"/>
  <c r="H748" i="2"/>
  <c r="J748" i="2"/>
  <c r="J656" i="2"/>
  <c r="H714" i="2"/>
  <c r="J714" i="2"/>
  <c r="G234" i="5"/>
  <c r="G153" i="5"/>
  <c r="H649" i="2"/>
  <c r="G45" i="2"/>
  <c r="H444" i="2"/>
  <c r="J444" i="2"/>
  <c r="J58" i="5"/>
  <c r="J103" i="5"/>
  <c r="J151" i="2"/>
  <c r="J111" i="2"/>
  <c r="J232" i="2"/>
  <c r="H195" i="2"/>
  <c r="J562" i="2"/>
  <c r="J583" i="2"/>
  <c r="H469" i="2"/>
  <c r="J469" i="2"/>
  <c r="G369" i="2"/>
  <c r="G383" i="2"/>
  <c r="J383" i="2"/>
  <c r="K383" i="2" s="1"/>
  <c r="J160" i="2"/>
  <c r="J51" i="2"/>
  <c r="J540" i="2"/>
  <c r="G540" i="2"/>
  <c r="H658" i="2"/>
  <c r="J658" i="2"/>
  <c r="J142" i="2"/>
  <c r="K449" i="2"/>
  <c r="J460" i="2"/>
  <c r="H460" i="2"/>
  <c r="G365" i="2"/>
  <c r="J586" i="2"/>
  <c r="H586" i="2"/>
  <c r="J219" i="2"/>
  <c r="J14" i="2"/>
  <c r="J15" i="5"/>
  <c r="K566" i="2"/>
  <c r="J472" i="2"/>
  <c r="J338" i="2"/>
  <c r="J396" i="2"/>
  <c r="K393" i="2"/>
  <c r="J452" i="2"/>
  <c r="J4" i="5"/>
  <c r="H321" i="2"/>
  <c r="J321" i="2"/>
  <c r="J479" i="2"/>
  <c r="H479" i="2"/>
  <c r="J84" i="5"/>
  <c r="H84" i="5"/>
  <c r="H501" i="2"/>
  <c r="J501" i="2"/>
  <c r="H554" i="2"/>
  <c r="J554" i="2"/>
  <c r="J339" i="2"/>
  <c r="H339" i="2"/>
  <c r="J336" i="2"/>
  <c r="G336" i="2"/>
  <c r="J173" i="2"/>
  <c r="K600" i="2"/>
  <c r="G561" i="2"/>
  <c r="G486" i="2"/>
  <c r="J486" i="2"/>
  <c r="H595" i="2"/>
  <c r="J595" i="2"/>
  <c r="H671" i="2"/>
  <c r="J671" i="2"/>
  <c r="J415" i="2"/>
  <c r="H415" i="2"/>
  <c r="J581" i="2"/>
  <c r="H581" i="2"/>
  <c r="H390" i="2"/>
  <c r="J390" i="2"/>
  <c r="H458" i="2"/>
  <c r="J458" i="2"/>
  <c r="H331" i="2"/>
  <c r="J331" i="2"/>
  <c r="H572" i="2"/>
  <c r="J572" i="2"/>
  <c r="J592" i="2"/>
  <c r="H592" i="2"/>
  <c r="J215" i="2"/>
  <c r="J508" i="2"/>
  <c r="H508" i="2"/>
  <c r="H107" i="5"/>
  <c r="J107" i="5"/>
  <c r="H473" i="2"/>
  <c r="J473" i="2"/>
  <c r="H5" i="5"/>
  <c r="J5" i="5"/>
  <c r="K692" i="2"/>
  <c r="H318" i="2"/>
  <c r="J318" i="2"/>
  <c r="H389" i="2"/>
  <c r="G415" i="2"/>
  <c r="G508" i="2"/>
  <c r="J270" i="2"/>
  <c r="J430" i="2"/>
  <c r="H430" i="2"/>
  <c r="H336" i="2"/>
  <c r="H503" i="2"/>
  <c r="H553" i="2"/>
  <c r="J553" i="2"/>
  <c r="G315" i="2"/>
  <c r="G453" i="2"/>
  <c r="G531" i="2"/>
  <c r="J632" i="2"/>
  <c r="H632" i="2"/>
  <c r="J645" i="2"/>
  <c r="H645" i="2"/>
  <c r="G58" i="2"/>
  <c r="G299" i="2"/>
  <c r="G326" i="2"/>
  <c r="H470" i="2"/>
  <c r="G438" i="2"/>
  <c r="H348" i="2"/>
  <c r="G555" i="2"/>
  <c r="H591" i="2"/>
  <c r="J591" i="2"/>
  <c r="H528" i="2"/>
  <c r="J528" i="2"/>
  <c r="J446" i="2"/>
  <c r="G84" i="2"/>
  <c r="G48" i="2"/>
  <c r="G107" i="2"/>
  <c r="G70" i="5"/>
  <c r="G426" i="2"/>
  <c r="J481" i="2"/>
  <c r="H481" i="2"/>
  <c r="H402" i="2"/>
  <c r="G345" i="2"/>
  <c r="J425" i="2"/>
  <c r="K425" i="2" s="1"/>
  <c r="J454" i="2"/>
  <c r="H454" i="2"/>
  <c r="J507" i="2"/>
  <c r="H507" i="2"/>
  <c r="G501" i="2"/>
  <c r="H593" i="2"/>
  <c r="J593" i="2"/>
  <c r="G444" i="2"/>
  <c r="G413" i="2"/>
  <c r="G410" i="2"/>
  <c r="H568" i="2"/>
  <c r="J568" i="2"/>
  <c r="J511" i="2"/>
  <c r="K511" i="2" s="1"/>
  <c r="G511" i="2"/>
  <c r="G652" i="2"/>
  <c r="H616" i="2"/>
  <c r="J616" i="2"/>
  <c r="H261" i="2"/>
  <c r="J261" i="2"/>
  <c r="G78" i="5"/>
  <c r="H571" i="2"/>
  <c r="J571" i="2"/>
  <c r="J467" i="2"/>
  <c r="H467" i="2"/>
  <c r="J54" i="2"/>
  <c r="H54" i="2"/>
  <c r="G26" i="2"/>
  <c r="G374" i="2"/>
  <c r="H319" i="2"/>
  <c r="H360" i="2"/>
  <c r="J360" i="2"/>
  <c r="J424" i="2"/>
  <c r="H631" i="2"/>
  <c r="J631" i="2"/>
  <c r="J590" i="2"/>
  <c r="H590" i="2"/>
  <c r="G592" i="2"/>
  <c r="H603" i="2"/>
  <c r="H588" i="2"/>
  <c r="J588" i="2"/>
  <c r="J523" i="2"/>
  <c r="H523" i="2"/>
  <c r="G476" i="2"/>
  <c r="H626" i="2"/>
  <c r="J626" i="2"/>
  <c r="H623" i="2"/>
  <c r="J623" i="2"/>
  <c r="J503" i="2"/>
  <c r="G553" i="2"/>
  <c r="J453" i="2"/>
  <c r="H453" i="2"/>
  <c r="H293" i="2"/>
  <c r="G268" i="2"/>
  <c r="J326" i="2"/>
  <c r="H326" i="2"/>
  <c r="J555" i="2"/>
  <c r="H555" i="2"/>
  <c r="G581" i="2"/>
  <c r="J611" i="2"/>
  <c r="H611" i="2"/>
  <c r="G304" i="2"/>
  <c r="J345" i="2"/>
  <c r="H345" i="2"/>
  <c r="J413" i="2"/>
  <c r="H413" i="2"/>
  <c r="J385" i="2"/>
  <c r="H385" i="2"/>
  <c r="H652" i="2"/>
  <c r="J652" i="2"/>
  <c r="G35" i="2"/>
  <c r="H182" i="2"/>
  <c r="J182" i="2"/>
  <c r="G43" i="2"/>
  <c r="H329" i="2"/>
  <c r="J329" i="2"/>
  <c r="H396" i="2"/>
  <c r="J464" i="2"/>
  <c r="H464" i="2"/>
  <c r="H489" i="2"/>
  <c r="J489" i="2"/>
  <c r="H602" i="2"/>
  <c r="J602" i="2"/>
  <c r="H650" i="2"/>
  <c r="J650" i="2"/>
  <c r="H644" i="2"/>
  <c r="J644" i="2"/>
  <c r="G68" i="2"/>
  <c r="G386" i="2"/>
  <c r="H531" i="2"/>
  <c r="J531" i="2"/>
  <c r="J161" i="2"/>
  <c r="H161" i="2"/>
  <c r="J348" i="2"/>
  <c r="G348" i="2"/>
  <c r="H494" i="2"/>
  <c r="J494" i="2"/>
  <c r="H426" i="2"/>
  <c r="J426" i="2"/>
  <c r="G481" i="2"/>
  <c r="H412" i="2"/>
  <c r="J412" i="2"/>
  <c r="J403" i="2"/>
  <c r="H403" i="2"/>
  <c r="J500" i="2"/>
  <c r="G500" i="2"/>
  <c r="G57" i="2"/>
  <c r="G584" i="2"/>
  <c r="J599" i="2"/>
  <c r="H599" i="2"/>
  <c r="G97" i="2"/>
  <c r="G366" i="2"/>
  <c r="G483" i="2"/>
  <c r="H520" i="2"/>
  <c r="J520" i="2"/>
  <c r="G536" i="2"/>
  <c r="J133" i="2"/>
  <c r="H133" i="2"/>
  <c r="G17" i="5"/>
  <c r="G423" i="2"/>
  <c r="H356" i="2"/>
  <c r="J356" i="2"/>
  <c r="G544" i="2"/>
  <c r="G464" i="2"/>
  <c r="G590" i="2"/>
  <c r="G602" i="2"/>
  <c r="G152" i="2"/>
  <c r="G612" i="2"/>
  <c r="G550" i="2"/>
  <c r="H369" i="2"/>
  <c r="J369" i="2"/>
  <c r="H619" i="2"/>
  <c r="J619" i="2"/>
  <c r="G119" i="5"/>
  <c r="H405" i="2"/>
  <c r="J405" i="2"/>
  <c r="H386" i="2"/>
  <c r="J386" i="2"/>
  <c r="G430" i="2"/>
  <c r="H421" i="2"/>
  <c r="J421" i="2"/>
  <c r="J484" i="2"/>
  <c r="H484" i="2"/>
  <c r="J605" i="2"/>
  <c r="H516" i="2"/>
  <c r="J516" i="2"/>
  <c r="J278" i="2"/>
  <c r="G250" i="2"/>
  <c r="H32" i="5"/>
  <c r="H530" i="2"/>
  <c r="J530" i="2"/>
  <c r="G393" i="2"/>
  <c r="G397" i="2"/>
  <c r="H332" i="2"/>
  <c r="J332" i="2"/>
  <c r="H327" i="2"/>
  <c r="K327" i="2" s="1"/>
  <c r="G240" i="2"/>
  <c r="H70" i="5"/>
  <c r="G412" i="2"/>
  <c r="G482" i="2"/>
  <c r="G596" i="2"/>
  <c r="G436" i="2"/>
  <c r="H197" i="2"/>
  <c r="J289" i="2"/>
  <c r="H289" i="2"/>
  <c r="H584" i="2"/>
  <c r="J584" i="2"/>
  <c r="H450" i="2"/>
  <c r="J450" i="2"/>
  <c r="J521" i="2"/>
  <c r="H521" i="2"/>
  <c r="J366" i="2"/>
  <c r="H366" i="2"/>
  <c r="H483" i="2"/>
  <c r="J483" i="2"/>
  <c r="H435" i="2"/>
  <c r="J435" i="2"/>
  <c r="H536" i="2"/>
  <c r="J536" i="2"/>
  <c r="H89" i="2"/>
  <c r="J89" i="2"/>
  <c r="J69" i="2"/>
  <c r="H69" i="2"/>
  <c r="H246" i="2"/>
  <c r="J246" i="2"/>
  <c r="H395" i="2"/>
  <c r="J395" i="2"/>
  <c r="H316" i="2"/>
  <c r="G356" i="2"/>
  <c r="G493" i="2"/>
  <c r="G634" i="2"/>
  <c r="H25" i="2"/>
  <c r="G143" i="2"/>
  <c r="J552" i="2"/>
  <c r="H552" i="2"/>
  <c r="J629" i="2"/>
  <c r="H629" i="2"/>
  <c r="J612" i="2"/>
  <c r="H612" i="2"/>
  <c r="H488" i="2"/>
  <c r="J488" i="2"/>
  <c r="K610" i="2"/>
  <c r="J434" i="2"/>
  <c r="H434" i="2"/>
  <c r="G460" i="2"/>
  <c r="H365" i="2"/>
  <c r="J365" i="2"/>
  <c r="J334" i="2"/>
  <c r="H334" i="2"/>
  <c r="J499" i="2"/>
  <c r="H499" i="2"/>
  <c r="G378" i="2"/>
  <c r="H604" i="2"/>
  <c r="G576" i="2"/>
  <c r="H561" i="2"/>
  <c r="G283" i="2"/>
  <c r="H324" i="2"/>
  <c r="H462" i="2"/>
  <c r="H376" i="2"/>
  <c r="J376" i="2"/>
  <c r="H597" i="2"/>
  <c r="G129" i="2"/>
  <c r="G406" i="2"/>
  <c r="J397" i="2"/>
  <c r="H397" i="2"/>
  <c r="G332" i="2"/>
  <c r="G498" i="2"/>
  <c r="J522" i="2"/>
  <c r="H522" i="2"/>
  <c r="G109" i="2"/>
  <c r="G94" i="2"/>
  <c r="G194" i="2"/>
  <c r="J422" i="2"/>
  <c r="H422" i="2"/>
  <c r="G333" i="2"/>
  <c r="J471" i="2"/>
  <c r="H471" i="2"/>
  <c r="G398" i="2"/>
  <c r="H350" i="2"/>
  <c r="J350" i="2"/>
  <c r="H564" i="2"/>
  <c r="J564" i="2"/>
  <c r="G524" i="2"/>
  <c r="G43" i="5"/>
  <c r="G16" i="5"/>
  <c r="G408" i="2"/>
  <c r="G340" i="2"/>
  <c r="G560" i="2"/>
  <c r="J497" i="2"/>
  <c r="H497" i="2"/>
  <c r="J205" i="2"/>
  <c r="H205" i="2"/>
  <c r="H313" i="2"/>
  <c r="J313" i="2"/>
  <c r="G431" i="2"/>
  <c r="H384" i="2"/>
  <c r="J384" i="2"/>
  <c r="H414" i="2"/>
  <c r="J414" i="2"/>
  <c r="J621" i="2"/>
  <c r="H621" i="2"/>
  <c r="J617" i="2"/>
  <c r="K617" i="2" s="1"/>
  <c r="G69" i="2"/>
  <c r="H118" i="2"/>
  <c r="J118" i="2"/>
  <c r="G63" i="2"/>
  <c r="G358" i="2"/>
  <c r="J316" i="2"/>
  <c r="G316" i="2"/>
  <c r="G320" i="2"/>
  <c r="G532" i="2"/>
  <c r="G628" i="2"/>
  <c r="G687" i="2"/>
  <c r="H634" i="2"/>
  <c r="J634" i="2"/>
  <c r="G552" i="2"/>
  <c r="G600" i="2"/>
  <c r="J378" i="2"/>
  <c r="H378" i="2"/>
  <c r="J604" i="2"/>
  <c r="G604" i="2"/>
  <c r="H576" i="2"/>
  <c r="J576" i="2"/>
  <c r="J561" i="2"/>
  <c r="G619" i="2"/>
  <c r="H639" i="2"/>
  <c r="J639" i="2"/>
  <c r="G151" i="2"/>
  <c r="G279" i="2"/>
  <c r="G342" i="2"/>
  <c r="G462" i="2"/>
  <c r="G392" i="2"/>
  <c r="G516" i="2"/>
  <c r="J660" i="2"/>
  <c r="H660" i="2"/>
  <c r="H487" i="2"/>
  <c r="H10" i="5"/>
  <c r="H406" i="2"/>
  <c r="J406" i="2"/>
  <c r="J470" i="2"/>
  <c r="G470" i="2"/>
  <c r="H438" i="2"/>
  <c r="J438" i="2"/>
  <c r="G419" i="2"/>
  <c r="G522" i="2"/>
  <c r="J333" i="2"/>
  <c r="K333" i="2" s="1"/>
  <c r="G471" i="2"/>
  <c r="J398" i="2"/>
  <c r="H398" i="2"/>
  <c r="J373" i="2"/>
  <c r="G403" i="2"/>
  <c r="H596" i="2"/>
  <c r="J596" i="2"/>
  <c r="H524" i="2"/>
  <c r="J524" i="2"/>
  <c r="G640" i="2"/>
  <c r="G463" i="2"/>
  <c r="H311" i="2"/>
  <c r="K311" i="2" s="1"/>
  <c r="J408" i="2"/>
  <c r="H408" i="2"/>
  <c r="J340" i="2"/>
  <c r="H340" i="2"/>
  <c r="J429" i="2"/>
  <c r="J427" i="2"/>
  <c r="H427" i="2"/>
  <c r="G450" i="2"/>
  <c r="H560" i="2"/>
  <c r="J560" i="2"/>
  <c r="G497" i="2"/>
  <c r="G521" i="2"/>
  <c r="G11" i="5"/>
  <c r="G384" i="2"/>
  <c r="G618" i="2"/>
  <c r="G457" i="2"/>
  <c r="G136" i="2"/>
  <c r="G264" i="2"/>
  <c r="H13" i="2"/>
  <c r="H358" i="2"/>
  <c r="J358" i="2"/>
  <c r="H442" i="2"/>
  <c r="J442" i="2"/>
  <c r="G458" i="2"/>
  <c r="G312" i="2"/>
  <c r="J320" i="2"/>
  <c r="K320" i="2" s="1"/>
  <c r="H532" i="2"/>
  <c r="J532" i="2"/>
  <c r="H493" i="2"/>
  <c r="J628" i="2"/>
  <c r="H628" i="2"/>
  <c r="G655" i="2"/>
  <c r="H687" i="2"/>
  <c r="J687" i="2"/>
  <c r="G101" i="2"/>
  <c r="G586" i="2"/>
  <c r="H461" i="2"/>
  <c r="G171" i="2"/>
  <c r="G78" i="2"/>
  <c r="G206" i="2"/>
  <c r="H53" i="5"/>
  <c r="J53" i="5"/>
  <c r="J324" i="2"/>
  <c r="H342" i="2"/>
  <c r="J342" i="2"/>
  <c r="G159" i="2"/>
  <c r="J451" i="2"/>
  <c r="H451" i="2"/>
  <c r="J440" i="2"/>
  <c r="H440" i="2"/>
  <c r="H640" i="2"/>
  <c r="J640" i="2"/>
  <c r="H605" i="2"/>
  <c r="J515" i="2"/>
  <c r="H515" i="2"/>
  <c r="H404" i="2"/>
  <c r="J420" i="2"/>
  <c r="H420" i="2"/>
  <c r="J431" i="2"/>
  <c r="H431" i="2"/>
  <c r="G467" i="2"/>
  <c r="H618" i="2"/>
  <c r="J618" i="2"/>
  <c r="J312" i="2"/>
  <c r="H312" i="2"/>
  <c r="G424" i="2"/>
  <c r="H655" i="2"/>
  <c r="J655" i="2"/>
  <c r="H498" i="2"/>
  <c r="J18" i="5"/>
  <c r="H18" i="5"/>
  <c r="G461" i="2"/>
  <c r="G623" i="2"/>
  <c r="K436" i="2"/>
  <c r="K418" i="2"/>
  <c r="K410" i="2"/>
  <c r="K419" i="2"/>
  <c r="K582" i="2"/>
  <c r="K700" i="2"/>
  <c r="K713" i="2"/>
  <c r="K387" i="2"/>
  <c r="K428" i="2"/>
  <c r="J308" i="2"/>
  <c r="J118" i="5"/>
  <c r="K3" i="2"/>
  <c r="J24" i="5"/>
  <c r="J181" i="2"/>
  <c r="H235" i="2"/>
  <c r="G163" i="2"/>
  <c r="G57" i="5"/>
  <c r="J126" i="5"/>
  <c r="J129" i="5"/>
  <c r="J60" i="5"/>
  <c r="J88" i="5"/>
  <c r="H88" i="5"/>
  <c r="J247" i="2"/>
  <c r="H53" i="2"/>
  <c r="H54" i="5"/>
  <c r="H71" i="2"/>
  <c r="J119" i="2"/>
  <c r="J244" i="2"/>
  <c r="H57" i="5"/>
  <c r="J85" i="2"/>
  <c r="H225" i="2"/>
  <c r="H79" i="5"/>
  <c r="G38" i="2"/>
  <c r="G294" i="2"/>
  <c r="G36" i="2"/>
  <c r="G174" i="2"/>
  <c r="J302" i="2"/>
  <c r="J29" i="2"/>
  <c r="J16" i="2"/>
  <c r="J94" i="5"/>
  <c r="H309" i="2"/>
  <c r="J29" i="5"/>
  <c r="H290" i="2"/>
  <c r="J164" i="2"/>
  <c r="G193" i="2"/>
  <c r="G3" i="5"/>
  <c r="J10" i="2"/>
  <c r="J248" i="2"/>
  <c r="H45" i="2"/>
  <c r="J123" i="2"/>
  <c r="J162" i="2"/>
  <c r="H62" i="5"/>
  <c r="H303" i="2"/>
  <c r="G125" i="2"/>
  <c r="J144" i="2"/>
  <c r="J3" i="5"/>
  <c r="J116" i="5"/>
  <c r="J202" i="2"/>
  <c r="J272" i="2"/>
  <c r="H98" i="2"/>
  <c r="J131" i="5"/>
  <c r="J33" i="2"/>
  <c r="J81" i="5"/>
  <c r="H81" i="5"/>
  <c r="G80" i="2"/>
  <c r="J104" i="5"/>
  <c r="H61" i="5"/>
  <c r="J249" i="2"/>
  <c r="J92" i="5"/>
  <c r="H126" i="5"/>
  <c r="G122" i="5"/>
  <c r="J122" i="5"/>
  <c r="H230" i="2"/>
  <c r="J230" i="2"/>
  <c r="J163" i="2"/>
  <c r="J52" i="5"/>
  <c r="H52" i="5"/>
  <c r="H125" i="2"/>
  <c r="J125" i="2"/>
  <c r="J110" i="2"/>
  <c r="J141" i="2"/>
  <c r="G141" i="2"/>
  <c r="G108" i="5"/>
  <c r="J108" i="5"/>
  <c r="H175" i="2"/>
  <c r="J175" i="2"/>
  <c r="H187" i="2"/>
  <c r="J187" i="2"/>
  <c r="J184" i="2"/>
  <c r="N36" i="2"/>
  <c r="H64" i="2"/>
  <c r="G112" i="5"/>
  <c r="J55" i="5"/>
  <c r="H55" i="5"/>
  <c r="G77" i="5"/>
  <c r="G60" i="5"/>
  <c r="J120" i="2"/>
  <c r="J256" i="2"/>
  <c r="J57" i="5"/>
  <c r="H13" i="5"/>
  <c r="G74" i="5"/>
  <c r="G292" i="2"/>
  <c r="H7" i="5"/>
  <c r="J77" i="5"/>
  <c r="J156" i="2"/>
  <c r="J36" i="2"/>
  <c r="J11" i="2"/>
  <c r="G7" i="5"/>
  <c r="G48" i="5"/>
  <c r="G297" i="2"/>
  <c r="H66" i="5"/>
  <c r="J66" i="5"/>
  <c r="G79" i="5"/>
  <c r="G203" i="2"/>
  <c r="G115" i="5"/>
  <c r="H15" i="5"/>
  <c r="J291" i="2"/>
  <c r="J210" i="2"/>
  <c r="J275" i="2"/>
  <c r="H105" i="2"/>
  <c r="J112" i="5"/>
  <c r="H129" i="5"/>
  <c r="J174" i="2"/>
  <c r="J239" i="2"/>
  <c r="J183" i="2"/>
  <c r="G128" i="2"/>
  <c r="G126" i="5"/>
  <c r="H44" i="5"/>
  <c r="G124" i="5"/>
  <c r="G257" i="2"/>
  <c r="J46" i="2"/>
  <c r="H46" i="2"/>
  <c r="G2" i="2"/>
  <c r="H310" i="2"/>
  <c r="J227" i="2"/>
  <c r="J294" i="2"/>
  <c r="J62" i="5"/>
  <c r="H93" i="5"/>
  <c r="H21" i="5"/>
  <c r="J21" i="5"/>
  <c r="H124" i="5"/>
  <c r="H108" i="5"/>
  <c r="G44" i="5"/>
  <c r="G100" i="2"/>
  <c r="H238" i="2"/>
  <c r="J238" i="2"/>
  <c r="G146" i="2"/>
  <c r="I616" i="5" l="1"/>
  <c r="I1210" i="2"/>
  <c r="I886" i="2"/>
  <c r="I885" i="2"/>
  <c r="K931" i="2"/>
  <c r="I342" i="5"/>
  <c r="I343" i="5"/>
  <c r="I432" i="5"/>
  <c r="I433" i="5"/>
  <c r="K1234" i="2"/>
  <c r="I1030" i="2"/>
  <c r="I1031" i="2"/>
  <c r="K499" i="5"/>
  <c r="K300" i="5"/>
  <c r="K1225" i="2"/>
  <c r="I780" i="2"/>
  <c r="K523" i="5"/>
  <c r="K574" i="5"/>
  <c r="K983" i="2"/>
  <c r="K358" i="5"/>
  <c r="K981" i="2"/>
  <c r="K326" i="5"/>
  <c r="I1089" i="2"/>
  <c r="I372" i="5"/>
  <c r="K865" i="2"/>
  <c r="I321" i="5"/>
  <c r="K1178" i="2"/>
  <c r="K451" i="5"/>
  <c r="K1187" i="2"/>
  <c r="K614" i="5"/>
  <c r="K338" i="5"/>
  <c r="K532" i="5"/>
  <c r="K1140" i="2"/>
  <c r="I915" i="2"/>
  <c r="I953" i="2"/>
  <c r="K1189" i="2"/>
  <c r="I575" i="5"/>
  <c r="K864" i="2"/>
  <c r="K514" i="5"/>
  <c r="K778" i="2"/>
  <c r="K859" i="2"/>
  <c r="I523" i="5"/>
  <c r="I997" i="2"/>
  <c r="K425" i="5"/>
  <c r="I788" i="2"/>
  <c r="K1212" i="2"/>
  <c r="I444" i="5"/>
  <c r="I819" i="2"/>
  <c r="K790" i="2"/>
  <c r="K1182" i="2"/>
  <c r="I1183" i="2"/>
  <c r="I400" i="5"/>
  <c r="K887" i="2"/>
  <c r="I1188" i="2"/>
  <c r="I424" i="5"/>
  <c r="K764" i="2"/>
  <c r="K883" i="2"/>
  <c r="K1170" i="2"/>
  <c r="I613" i="5"/>
  <c r="K609" i="5"/>
  <c r="I313" i="5"/>
  <c r="I1046" i="2"/>
  <c r="K904" i="2"/>
  <c r="I527" i="5"/>
  <c r="I1234" i="2"/>
  <c r="K1004" i="2"/>
  <c r="K506" i="5"/>
  <c r="K445" i="5"/>
  <c r="I609" i="5"/>
  <c r="K767" i="2"/>
  <c r="I420" i="5"/>
  <c r="I987" i="2"/>
  <c r="I988" i="2"/>
  <c r="K396" i="5"/>
  <c r="I879" i="2"/>
  <c r="I391" i="5"/>
  <c r="K410" i="5"/>
  <c r="I1045" i="2"/>
  <c r="K551" i="5"/>
  <c r="K529" i="5"/>
  <c r="K987" i="2"/>
  <c r="K305" i="5"/>
  <c r="K837" i="2"/>
  <c r="K1198" i="2"/>
  <c r="I1159" i="2"/>
  <c r="I1160" i="2"/>
  <c r="I1198" i="2"/>
  <c r="I574" i="5"/>
  <c r="I1147" i="2"/>
  <c r="K1117" i="2"/>
  <c r="I559" i="5"/>
  <c r="I560" i="5"/>
  <c r="I983" i="2"/>
  <c r="I984" i="2"/>
  <c r="I1172" i="2"/>
  <c r="I415" i="5"/>
  <c r="K855" i="2"/>
  <c r="I452" i="5"/>
  <c r="K1022" i="2"/>
  <c r="K1060" i="2"/>
  <c r="I589" i="5"/>
  <c r="I588" i="5"/>
  <c r="K770" i="2"/>
  <c r="I864" i="2"/>
  <c r="K278" i="5"/>
  <c r="I1059" i="2"/>
  <c r="I977" i="2"/>
  <c r="I370" i="5"/>
  <c r="I408" i="5"/>
  <c r="I880" i="2"/>
  <c r="I514" i="5"/>
  <c r="I813" i="2"/>
  <c r="I428" i="5"/>
  <c r="I818" i="2"/>
  <c r="I354" i="5"/>
  <c r="I842" i="2"/>
  <c r="K772" i="2"/>
  <c r="I1249" i="2"/>
  <c r="I1173" i="2"/>
  <c r="I866" i="2"/>
  <c r="I784" i="2"/>
  <c r="I934" i="2"/>
  <c r="I1206" i="2"/>
  <c r="I328" i="5"/>
  <c r="I847" i="2"/>
  <c r="I848" i="2"/>
  <c r="K459" i="5"/>
  <c r="K1224" i="2"/>
  <c r="K1061" i="2"/>
  <c r="K402" i="5"/>
  <c r="I931" i="2"/>
  <c r="K342" i="5"/>
  <c r="K1153" i="2"/>
  <c r="K558" i="5"/>
  <c r="K526" i="5"/>
  <c r="K348" i="5"/>
  <c r="I939" i="2"/>
  <c r="I940" i="2"/>
  <c r="K621" i="5"/>
  <c r="I350" i="5"/>
  <c r="K1233" i="2"/>
  <c r="I307" i="5"/>
  <c r="I306" i="5"/>
  <c r="K412" i="5"/>
  <c r="I371" i="5"/>
  <c r="K1122" i="2"/>
  <c r="K807" i="2"/>
  <c r="I807" i="2"/>
  <c r="I808" i="2"/>
  <c r="I1004" i="2"/>
  <c r="I530" i="5"/>
  <c r="K927" i="2"/>
  <c r="I1185" i="2"/>
  <c r="K1007" i="2"/>
  <c r="K1065" i="2"/>
  <c r="I482" i="5"/>
  <c r="I289" i="5"/>
  <c r="I374" i="5"/>
  <c r="K1062" i="2"/>
  <c r="K520" i="5"/>
  <c r="I520" i="5"/>
  <c r="I521" i="5"/>
  <c r="K1146" i="2"/>
  <c r="I1117" i="2"/>
  <c r="I892" i="2"/>
  <c r="I614" i="5"/>
  <c r="K805" i="2"/>
  <c r="K507" i="5"/>
  <c r="K1126" i="2"/>
  <c r="I276" i="5"/>
  <c r="I330" i="5"/>
  <c r="K973" i="2"/>
  <c r="K985" i="2"/>
  <c r="K624" i="5"/>
  <c r="K401" i="5"/>
  <c r="K255" i="5"/>
  <c r="K1169" i="2"/>
  <c r="I458" i="5"/>
  <c r="K397" i="5"/>
  <c r="K585" i="5"/>
  <c r="I1076" i="2"/>
  <c r="K953" i="2"/>
  <c r="I309" i="5"/>
  <c r="I1196" i="2"/>
  <c r="I421" i="5"/>
  <c r="I1186" i="2"/>
  <c r="K534" i="5"/>
  <c r="I1000" i="2"/>
  <c r="I872" i="2"/>
  <c r="I373" i="5"/>
  <c r="K1029" i="2"/>
  <c r="I1099" i="2"/>
  <c r="I1236" i="2"/>
  <c r="I1051" i="2"/>
  <c r="I1153" i="2"/>
  <c r="I1154" i="2"/>
  <c r="I543" i="5"/>
  <c r="I544" i="5"/>
  <c r="I913" i="2"/>
  <c r="I914" i="2"/>
  <c r="K1033" i="2"/>
  <c r="K1196" i="2"/>
  <c r="I1082" i="2"/>
  <c r="I1081" i="2"/>
  <c r="I259" i="5"/>
  <c r="I258" i="5"/>
  <c r="K423" i="5"/>
  <c r="K993" i="2"/>
  <c r="I545" i="5"/>
  <c r="I390" i="5"/>
  <c r="I962" i="2"/>
  <c r="I265" i="5"/>
  <c r="K898" i="2"/>
  <c r="I805" i="2"/>
  <c r="I806" i="2"/>
  <c r="I467" i="5"/>
  <c r="I809" i="2"/>
  <c r="K834" i="2"/>
  <c r="I801" i="2"/>
  <c r="I800" i="2"/>
  <c r="I855" i="2"/>
  <c r="I550" i="5"/>
  <c r="K1193" i="2"/>
  <c r="K1038" i="2"/>
  <c r="I331" i="5"/>
  <c r="K1094" i="2"/>
  <c r="K576" i="5"/>
  <c r="K873" i="2"/>
  <c r="K344" i="5"/>
  <c r="I344" i="5"/>
  <c r="K1158" i="2"/>
  <c r="K878" i="2"/>
  <c r="K282" i="5"/>
  <c r="K509" i="5"/>
  <c r="K793" i="2"/>
  <c r="I1204" i="2"/>
  <c r="I573" i="5"/>
  <c r="K1078" i="2"/>
  <c r="K289" i="5"/>
  <c r="K441" i="5"/>
  <c r="I593" i="5"/>
  <c r="I594" i="5"/>
  <c r="K550" i="5"/>
  <c r="I1140" i="2"/>
  <c r="I1141" i="2"/>
  <c r="K995" i="2"/>
  <c r="K500" i="5"/>
  <c r="I981" i="2"/>
  <c r="K481" i="5"/>
  <c r="K933" i="2"/>
  <c r="K1036" i="2"/>
  <c r="K407" i="5"/>
  <c r="K337" i="5"/>
  <c r="K804" i="2"/>
  <c r="I991" i="2"/>
  <c r="I992" i="2"/>
  <c r="K395" i="5"/>
  <c r="K339" i="5"/>
  <c r="K909" i="2"/>
  <c r="K1015" i="2"/>
  <c r="K901" i="2"/>
  <c r="K461" i="5"/>
  <c r="I904" i="2"/>
  <c r="K290" i="5"/>
  <c r="I577" i="5"/>
  <c r="I483" i="5"/>
  <c r="I1130" i="2"/>
  <c r="K763" i="2"/>
  <c r="I1165" i="2"/>
  <c r="K886" i="2"/>
  <c r="I280" i="5"/>
  <c r="K977" i="2"/>
  <c r="I1194" i="2"/>
  <c r="I320" i="5"/>
  <c r="K616" i="5"/>
  <c r="K350" i="5"/>
  <c r="I932" i="2"/>
  <c r="I850" i="2"/>
  <c r="I548" i="5"/>
  <c r="K920" i="2"/>
  <c r="K1216" i="2"/>
  <c r="K470" i="5"/>
  <c r="K390" i="5"/>
  <c r="K906" i="2"/>
  <c r="K489" i="5"/>
  <c r="K253" i="5"/>
  <c r="K1016" i="2"/>
  <c r="K545" i="5"/>
  <c r="K1256" i="2"/>
  <c r="I470" i="5"/>
  <c r="I835" i="2"/>
  <c r="I834" i="2"/>
  <c r="K374" i="5"/>
  <c r="K1092" i="2"/>
  <c r="K1046" i="2"/>
  <c r="K1083" i="2"/>
  <c r="I1084" i="2"/>
  <c r="I1035" i="2"/>
  <c r="K1002" i="2"/>
  <c r="I1119" i="2"/>
  <c r="K1123" i="2"/>
  <c r="K902" i="2"/>
  <c r="K352" i="5"/>
  <c r="I551" i="5"/>
  <c r="I552" i="5"/>
  <c r="I1150" i="2"/>
  <c r="K1089" i="2"/>
  <c r="I957" i="2"/>
  <c r="K766" i="2"/>
  <c r="I1034" i="2"/>
  <c r="I1033" i="2"/>
  <c r="K480" i="5"/>
  <c r="K1088" i="2"/>
  <c r="K628" i="5"/>
  <c r="K861" i="2"/>
  <c r="I623" i="5"/>
  <c r="I990" i="2"/>
  <c r="K876" i="2"/>
  <c r="I901" i="2"/>
  <c r="I902" i="2"/>
  <c r="I416" i="5"/>
  <c r="K254" i="5"/>
  <c r="I1036" i="2"/>
  <c r="I1037" i="2"/>
  <c r="K265" i="5"/>
  <c r="K847" i="2"/>
  <c r="I754" i="2"/>
  <c r="I753" i="2"/>
  <c r="I893" i="2"/>
  <c r="K1017" i="2"/>
  <c r="I1016" i="2"/>
  <c r="I1015" i="2"/>
  <c r="I503" i="5"/>
  <c r="K562" i="5"/>
  <c r="I562" i="5"/>
  <c r="K820" i="2"/>
  <c r="I820" i="2"/>
  <c r="K1042" i="2"/>
  <c r="I894" i="2"/>
  <c r="I486" i="5"/>
  <c r="I533" i="5"/>
  <c r="I627" i="5"/>
  <c r="I899" i="2"/>
  <c r="I1013" i="2"/>
  <c r="K1214" i="2"/>
  <c r="I1213" i="2"/>
  <c r="K1106" i="2"/>
  <c r="I487" i="5"/>
  <c r="K371" i="5"/>
  <c r="I439" i="5"/>
  <c r="I440" i="5"/>
  <c r="K563" i="5"/>
  <c r="I563" i="5"/>
  <c r="K1141" i="2"/>
  <c r="I1142" i="2"/>
  <c r="I253" i="5"/>
  <c r="I1229" i="2"/>
  <c r="I1122" i="2"/>
  <c r="I1121" i="2"/>
  <c r="I324" i="5"/>
  <c r="I325" i="5"/>
  <c r="I1179" i="2"/>
  <c r="I1178" i="2"/>
  <c r="I293" i="5"/>
  <c r="I1095" i="2"/>
  <c r="I413" i="5"/>
  <c r="I975" i="2"/>
  <c r="I976" i="2"/>
  <c r="I1062" i="2"/>
  <c r="I629" i="5"/>
  <c r="K1118" i="2"/>
  <c r="I877" i="2"/>
  <c r="I1088" i="2"/>
  <c r="I340" i="5"/>
  <c r="I1019" i="2"/>
  <c r="K980" i="2"/>
  <c r="I909" i="2"/>
  <c r="I961" i="2"/>
  <c r="I863" i="2"/>
  <c r="I822" i="2"/>
  <c r="I294" i="5"/>
  <c r="I585" i="5"/>
  <c r="I1137" i="2"/>
  <c r="K605" i="5"/>
  <c r="I1090" i="2"/>
  <c r="I786" i="2"/>
  <c r="I1166" i="2"/>
  <c r="I1064" i="2"/>
  <c r="K822" i="2"/>
  <c r="K439" i="5"/>
  <c r="K1080" i="2"/>
  <c r="K954" i="2"/>
  <c r="K292" i="5"/>
  <c r="I478" i="5"/>
  <c r="K961" i="2"/>
  <c r="I1230" i="2"/>
  <c r="I1231" i="2"/>
  <c r="I1003" i="2"/>
  <c r="I857" i="2"/>
  <c r="I329" i="5"/>
  <c r="K389" i="5"/>
  <c r="K613" i="5"/>
  <c r="K444" i="5"/>
  <c r="I1114" i="2"/>
  <c r="I1113" i="2"/>
  <c r="K1243" i="2"/>
  <c r="K949" i="2"/>
  <c r="I1163" i="2"/>
  <c r="K393" i="5"/>
  <c r="I1157" i="2"/>
  <c r="I1158" i="2"/>
  <c r="K1137" i="2"/>
  <c r="K622" i="5"/>
  <c r="K1172" i="2"/>
  <c r="K1116" i="2"/>
  <c r="K890" i="2"/>
  <c r="I890" i="2"/>
  <c r="K1210" i="2"/>
  <c r="K1252" i="2"/>
  <c r="K1082" i="2"/>
  <c r="K291" i="5"/>
  <c r="K1230" i="2"/>
  <c r="K1171" i="2"/>
  <c r="K852" i="2"/>
  <c r="K894" i="2"/>
  <c r="K850" i="2"/>
  <c r="I500" i="5"/>
  <c r="K976" i="2"/>
  <c r="K1110" i="2"/>
  <c r="K798" i="2"/>
  <c r="I837" i="2"/>
  <c r="I283" i="5"/>
  <c r="K542" i="5"/>
  <c r="I351" i="5"/>
  <c r="I352" i="5"/>
  <c r="I1020" i="2"/>
  <c r="I973" i="2"/>
  <c r="I974" i="2"/>
  <c r="I1169" i="2"/>
  <c r="I447" i="5"/>
  <c r="K1008" i="2"/>
  <c r="I450" i="5"/>
  <c r="I411" i="5"/>
  <c r="I412" i="5"/>
  <c r="K1164" i="2"/>
  <c r="I509" i="5"/>
  <c r="I510" i="5"/>
  <c r="K296" i="5"/>
  <c r="I480" i="5"/>
  <c r="I481" i="5"/>
  <c r="K1074" i="2"/>
  <c r="K261" i="5"/>
  <c r="K800" i="2"/>
  <c r="I454" i="5"/>
  <c r="I455" i="5"/>
  <c r="K306" i="5"/>
  <c r="K385" i="5"/>
  <c r="K884" i="2"/>
  <c r="K625" i="5"/>
  <c r="K593" i="5"/>
  <c r="K1162" i="2"/>
  <c r="K309" i="5"/>
  <c r="K1112" i="2"/>
  <c r="K938" i="2"/>
  <c r="K279" i="5"/>
  <c r="I612" i="5"/>
  <c r="I1066" i="2"/>
  <c r="I338" i="5"/>
  <c r="I1211" i="2"/>
  <c r="I859" i="2"/>
  <c r="I463" i="5"/>
  <c r="I862" i="2"/>
  <c r="I1205" i="2"/>
  <c r="I1233" i="2"/>
  <c r="I1006" i="2"/>
  <c r="I355" i="5"/>
  <c r="L254" i="5"/>
  <c r="N254" i="5" s="1"/>
  <c r="L256" i="5"/>
  <c r="N256" i="5" s="1"/>
  <c r="L260" i="5"/>
  <c r="N260" i="5" s="1"/>
  <c r="L267" i="5"/>
  <c r="N267" i="5" s="1"/>
  <c r="L280" i="5"/>
  <c r="N280" i="5" s="1"/>
  <c r="L284" i="5"/>
  <c r="N284" i="5" s="1"/>
  <c r="L287" i="5"/>
  <c r="N287" i="5" s="1"/>
  <c r="L292" i="5"/>
  <c r="N292" i="5" s="1"/>
  <c r="L299" i="5"/>
  <c r="N299" i="5" s="1"/>
  <c r="L302" i="5"/>
  <c r="N302" i="5" s="1"/>
  <c r="L314" i="5"/>
  <c r="N314" i="5" s="1"/>
  <c r="L320" i="5"/>
  <c r="N320" i="5" s="1"/>
  <c r="L327" i="5"/>
  <c r="N327" i="5" s="1"/>
  <c r="L329" i="5"/>
  <c r="N329" i="5" s="1"/>
  <c r="L330" i="5"/>
  <c r="N330" i="5" s="1"/>
  <c r="L258" i="5"/>
  <c r="N258" i="5" s="1"/>
  <c r="L262" i="5"/>
  <c r="N262" i="5" s="1"/>
  <c r="L266" i="5"/>
  <c r="N266" i="5" s="1"/>
  <c r="L291" i="5"/>
  <c r="N291" i="5" s="1"/>
  <c r="L295" i="5"/>
  <c r="N295" i="5" s="1"/>
  <c r="L298" i="5"/>
  <c r="N298" i="5" s="1"/>
  <c r="L300" i="5"/>
  <c r="N300" i="5" s="1"/>
  <c r="L310" i="5"/>
  <c r="N310" i="5" s="1"/>
  <c r="L316" i="5"/>
  <c r="N316" i="5" s="1"/>
  <c r="L326" i="5"/>
  <c r="N326" i="5" s="1"/>
  <c r="L328" i="5"/>
  <c r="N328" i="5" s="1"/>
  <c r="L357" i="5"/>
  <c r="N357" i="5" s="1"/>
  <c r="L358" i="5"/>
  <c r="N358" i="5" s="1"/>
  <c r="L360" i="5"/>
  <c r="N360" i="5" s="1"/>
  <c r="L363" i="5"/>
  <c r="N363" i="5" s="1"/>
  <c r="L365" i="5"/>
  <c r="N365" i="5" s="1"/>
  <c r="L369" i="5"/>
  <c r="N369" i="5" s="1"/>
  <c r="L373" i="5"/>
  <c r="N373" i="5" s="1"/>
  <c r="L375" i="5"/>
  <c r="N375" i="5" s="1"/>
  <c r="L252" i="5"/>
  <c r="N252" i="5" s="1"/>
  <c r="L257" i="5"/>
  <c r="N257" i="5" s="1"/>
  <c r="L259" i="5"/>
  <c r="N259" i="5" s="1"/>
  <c r="L261" i="5"/>
  <c r="N261" i="5" s="1"/>
  <c r="L263" i="5"/>
  <c r="N263" i="5" s="1"/>
  <c r="L265" i="5"/>
  <c r="N265" i="5" s="1"/>
  <c r="L269" i="5"/>
  <c r="N269" i="5" s="1"/>
  <c r="L274" i="5"/>
  <c r="N274" i="5" s="1"/>
  <c r="L278" i="5"/>
  <c r="N278" i="5" s="1"/>
  <c r="L282" i="5"/>
  <c r="N282" i="5" s="1"/>
  <c r="L264" i="5"/>
  <c r="N264" i="5" s="1"/>
  <c r="L297" i="5"/>
  <c r="N297" i="5" s="1"/>
  <c r="L312" i="5"/>
  <c r="N312" i="5" s="1"/>
  <c r="L323" i="5"/>
  <c r="N323" i="5" s="1"/>
  <c r="L348" i="5"/>
  <c r="N348" i="5" s="1"/>
  <c r="L354" i="5"/>
  <c r="N354" i="5" s="1"/>
  <c r="L367" i="5"/>
  <c r="N367" i="5" s="1"/>
  <c r="L384" i="5"/>
  <c r="N384" i="5" s="1"/>
  <c r="L387" i="5"/>
  <c r="N387" i="5" s="1"/>
  <c r="L388" i="5"/>
  <c r="N388" i="5" s="1"/>
  <c r="L389" i="5"/>
  <c r="N389" i="5" s="1"/>
  <c r="L413" i="5"/>
  <c r="N413" i="5" s="1"/>
  <c r="L423" i="5"/>
  <c r="N423" i="5" s="1"/>
  <c r="L429" i="5"/>
  <c r="N429" i="5" s="1"/>
  <c r="L253" i="5"/>
  <c r="N253" i="5" s="1"/>
  <c r="L268" i="5"/>
  <c r="N268" i="5" s="1"/>
  <c r="L276" i="5"/>
  <c r="N276" i="5" s="1"/>
  <c r="L286" i="5"/>
  <c r="N286" i="5" s="1"/>
  <c r="L305" i="5"/>
  <c r="N305" i="5" s="1"/>
  <c r="L311" i="5"/>
  <c r="N311" i="5" s="1"/>
  <c r="L318" i="5"/>
  <c r="N318" i="5" s="1"/>
  <c r="L322" i="5"/>
  <c r="N322" i="5" s="1"/>
  <c r="L331" i="5"/>
  <c r="N331" i="5" s="1"/>
  <c r="L334" i="5"/>
  <c r="N334" i="5" s="1"/>
  <c r="L342" i="5"/>
  <c r="N342" i="5" s="1"/>
  <c r="L344" i="5"/>
  <c r="N344" i="5" s="1"/>
  <c r="L378" i="5"/>
  <c r="N378" i="5" s="1"/>
  <c r="L392" i="5"/>
  <c r="N392" i="5" s="1"/>
  <c r="L400" i="5"/>
  <c r="N400" i="5" s="1"/>
  <c r="L404" i="5"/>
  <c r="N404" i="5" s="1"/>
  <c r="L406" i="5"/>
  <c r="N406" i="5" s="1"/>
  <c r="L407" i="5"/>
  <c r="N407" i="5" s="1"/>
  <c r="L414" i="5"/>
  <c r="N414" i="5" s="1"/>
  <c r="L415" i="5"/>
  <c r="N415" i="5" s="1"/>
  <c r="L421" i="5"/>
  <c r="N421" i="5" s="1"/>
  <c r="L425" i="5"/>
  <c r="N425" i="5" s="1"/>
  <c r="L270" i="5"/>
  <c r="N270" i="5" s="1"/>
  <c r="L293" i="5"/>
  <c r="N293" i="5" s="1"/>
  <c r="L303" i="5"/>
  <c r="N303" i="5" s="1"/>
  <c r="L309" i="5"/>
  <c r="N309" i="5" s="1"/>
  <c r="L325" i="5"/>
  <c r="N325" i="5" s="1"/>
  <c r="L338" i="5"/>
  <c r="N338" i="5" s="1"/>
  <c r="L339" i="5"/>
  <c r="N339" i="5" s="1"/>
  <c r="L341" i="5"/>
  <c r="N341" i="5" s="1"/>
  <c r="L347" i="5"/>
  <c r="N347" i="5" s="1"/>
  <c r="L355" i="5"/>
  <c r="N355" i="5" s="1"/>
  <c r="L359" i="5"/>
  <c r="N359" i="5" s="1"/>
  <c r="L361" i="5"/>
  <c r="N361" i="5" s="1"/>
  <c r="L364" i="5"/>
  <c r="N364" i="5" s="1"/>
  <c r="L366" i="5"/>
  <c r="N366" i="5" s="1"/>
  <c r="L368" i="5"/>
  <c r="N368" i="5" s="1"/>
  <c r="L393" i="5"/>
  <c r="N393" i="5" s="1"/>
  <c r="L397" i="5"/>
  <c r="N397" i="5" s="1"/>
  <c r="L417" i="5"/>
  <c r="N417" i="5" s="1"/>
  <c r="L271" i="5"/>
  <c r="N271" i="5" s="1"/>
  <c r="L281" i="5"/>
  <c r="N281" i="5" s="1"/>
  <c r="L289" i="5"/>
  <c r="N289" i="5" s="1"/>
  <c r="L306" i="5"/>
  <c r="N306" i="5" s="1"/>
  <c r="L319" i="5"/>
  <c r="N319" i="5" s="1"/>
  <c r="L336" i="5"/>
  <c r="N336" i="5" s="1"/>
  <c r="L340" i="5"/>
  <c r="N340" i="5" s="1"/>
  <c r="L370" i="5"/>
  <c r="N370" i="5" s="1"/>
  <c r="L372" i="5"/>
  <c r="N372" i="5" s="1"/>
  <c r="L379" i="5"/>
  <c r="N379" i="5" s="1"/>
  <c r="L386" i="5"/>
  <c r="N386" i="5" s="1"/>
  <c r="L398" i="5"/>
  <c r="N398" i="5" s="1"/>
  <c r="L403" i="5"/>
  <c r="N403" i="5" s="1"/>
  <c r="L428" i="5"/>
  <c r="N428" i="5" s="1"/>
  <c r="L433" i="5"/>
  <c r="N433" i="5" s="1"/>
  <c r="L434" i="5"/>
  <c r="N434" i="5" s="1"/>
  <c r="L449" i="5"/>
  <c r="N449" i="5" s="1"/>
  <c r="L452" i="5"/>
  <c r="N452" i="5" s="1"/>
  <c r="L504" i="5"/>
  <c r="N504" i="5" s="1"/>
  <c r="L508" i="5"/>
  <c r="N508" i="5" s="1"/>
  <c r="L512" i="5"/>
  <c r="N512" i="5" s="1"/>
  <c r="L517" i="5"/>
  <c r="N517" i="5" s="1"/>
  <c r="L523" i="5"/>
  <c r="N523" i="5" s="1"/>
  <c r="L532" i="5"/>
  <c r="N532" i="5" s="1"/>
  <c r="L538" i="5"/>
  <c r="N538" i="5" s="1"/>
  <c r="L275" i="5"/>
  <c r="N275" i="5" s="1"/>
  <c r="L304" i="5"/>
  <c r="N304" i="5" s="1"/>
  <c r="L317" i="5"/>
  <c r="N317" i="5" s="1"/>
  <c r="L343" i="5"/>
  <c r="N343" i="5" s="1"/>
  <c r="L352" i="5"/>
  <c r="N352" i="5" s="1"/>
  <c r="L376" i="5"/>
  <c r="N376" i="5" s="1"/>
  <c r="L382" i="5"/>
  <c r="N382" i="5" s="1"/>
  <c r="L408" i="5"/>
  <c r="N408" i="5" s="1"/>
  <c r="L411" i="5"/>
  <c r="N411" i="5" s="1"/>
  <c r="L426" i="5"/>
  <c r="N426" i="5" s="1"/>
  <c r="L432" i="5"/>
  <c r="N432" i="5" s="1"/>
  <c r="L447" i="5"/>
  <c r="N447" i="5" s="1"/>
  <c r="L457" i="5"/>
  <c r="N457" i="5" s="1"/>
  <c r="L468" i="5"/>
  <c r="N468" i="5" s="1"/>
  <c r="L478" i="5"/>
  <c r="N478" i="5" s="1"/>
  <c r="L483" i="5"/>
  <c r="N483" i="5" s="1"/>
  <c r="L486" i="5"/>
  <c r="N486" i="5" s="1"/>
  <c r="L490" i="5"/>
  <c r="N490" i="5" s="1"/>
  <c r="L499" i="5"/>
  <c r="N499" i="5" s="1"/>
  <c r="L506" i="5"/>
  <c r="N506" i="5" s="1"/>
  <c r="L507" i="5"/>
  <c r="N507" i="5" s="1"/>
  <c r="L255" i="5"/>
  <c r="N255" i="5" s="1"/>
  <c r="L272" i="5"/>
  <c r="N272" i="5" s="1"/>
  <c r="L296" i="5"/>
  <c r="N296" i="5" s="1"/>
  <c r="L301" i="5"/>
  <c r="N301" i="5" s="1"/>
  <c r="L315" i="5"/>
  <c r="N315" i="5" s="1"/>
  <c r="L332" i="5"/>
  <c r="N332" i="5" s="1"/>
  <c r="L346" i="5"/>
  <c r="N346" i="5" s="1"/>
  <c r="L396" i="5"/>
  <c r="N396" i="5" s="1"/>
  <c r="L401" i="5"/>
  <c r="N401" i="5" s="1"/>
  <c r="L419" i="5"/>
  <c r="N419" i="5" s="1"/>
  <c r="L424" i="5"/>
  <c r="N424" i="5" s="1"/>
  <c r="L436" i="5"/>
  <c r="N436" i="5" s="1"/>
  <c r="L446" i="5"/>
  <c r="N446" i="5" s="1"/>
  <c r="L450" i="5"/>
  <c r="N450" i="5" s="1"/>
  <c r="L455" i="5"/>
  <c r="N455" i="5" s="1"/>
  <c r="L472" i="5"/>
  <c r="N472" i="5" s="1"/>
  <c r="L321" i="5"/>
  <c r="N321" i="5" s="1"/>
  <c r="L345" i="5"/>
  <c r="N345" i="5" s="1"/>
  <c r="L391" i="5"/>
  <c r="N391" i="5" s="1"/>
  <c r="L412" i="5"/>
  <c r="N412" i="5" s="1"/>
  <c r="L416" i="5"/>
  <c r="N416" i="5" s="1"/>
  <c r="L420" i="5"/>
  <c r="N420" i="5" s="1"/>
  <c r="L441" i="5"/>
  <c r="N441" i="5" s="1"/>
  <c r="L443" i="5"/>
  <c r="N443" i="5" s="1"/>
  <c r="L448" i="5"/>
  <c r="N448" i="5" s="1"/>
  <c r="L454" i="5"/>
  <c r="N454" i="5" s="1"/>
  <c r="L459" i="5"/>
  <c r="N459" i="5" s="1"/>
  <c r="L465" i="5"/>
  <c r="N465" i="5" s="1"/>
  <c r="L471" i="5"/>
  <c r="N471" i="5" s="1"/>
  <c r="L475" i="5"/>
  <c r="N475" i="5" s="1"/>
  <c r="L479" i="5"/>
  <c r="N479" i="5" s="1"/>
  <c r="L349" i="5"/>
  <c r="N349" i="5" s="1"/>
  <c r="L362" i="5"/>
  <c r="N362" i="5" s="1"/>
  <c r="L383" i="5"/>
  <c r="N383" i="5" s="1"/>
  <c r="L435" i="5"/>
  <c r="N435" i="5" s="1"/>
  <c r="L439" i="5"/>
  <c r="N439" i="5" s="1"/>
  <c r="L460" i="5"/>
  <c r="N460" i="5" s="1"/>
  <c r="L467" i="5"/>
  <c r="N467" i="5" s="1"/>
  <c r="L470" i="5"/>
  <c r="N470" i="5" s="1"/>
  <c r="L476" i="5"/>
  <c r="N476" i="5" s="1"/>
  <c r="L494" i="5"/>
  <c r="N494" i="5" s="1"/>
  <c r="L528" i="5"/>
  <c r="N528" i="5" s="1"/>
  <c r="L541" i="5"/>
  <c r="N541" i="5" s="1"/>
  <c r="L542" i="5"/>
  <c r="N542" i="5" s="1"/>
  <c r="L564" i="5"/>
  <c r="N564" i="5" s="1"/>
  <c r="L594" i="5"/>
  <c r="N594" i="5" s="1"/>
  <c r="L607" i="5"/>
  <c r="N607" i="5" s="1"/>
  <c r="L608" i="5"/>
  <c r="N608" i="5" s="1"/>
  <c r="L613" i="5"/>
  <c r="N613" i="5" s="1"/>
  <c r="L616" i="5"/>
  <c r="N616" i="5" s="1"/>
  <c r="L618" i="5"/>
  <c r="N618" i="5" s="1"/>
  <c r="L622" i="5"/>
  <c r="N622" i="5" s="1"/>
  <c r="L627" i="5"/>
  <c r="N627" i="5" s="1"/>
  <c r="L629" i="5"/>
  <c r="N629" i="5" s="1"/>
  <c r="L277" i="5"/>
  <c r="N277" i="5" s="1"/>
  <c r="L285" i="5"/>
  <c r="N285" i="5" s="1"/>
  <c r="L308" i="5"/>
  <c r="N308" i="5" s="1"/>
  <c r="L353" i="5"/>
  <c r="N353" i="5" s="1"/>
  <c r="L371" i="5"/>
  <c r="N371" i="5" s="1"/>
  <c r="L394" i="5"/>
  <c r="N394" i="5" s="1"/>
  <c r="L405" i="5"/>
  <c r="N405" i="5" s="1"/>
  <c r="L418" i="5"/>
  <c r="N418" i="5" s="1"/>
  <c r="L422" i="5"/>
  <c r="N422" i="5" s="1"/>
  <c r="L431" i="5"/>
  <c r="N431" i="5" s="1"/>
  <c r="L456" i="5"/>
  <c r="N456" i="5" s="1"/>
  <c r="L474" i="5"/>
  <c r="N474" i="5" s="1"/>
  <c r="L481" i="5"/>
  <c r="N481" i="5" s="1"/>
  <c r="L493" i="5"/>
  <c r="N493" i="5" s="1"/>
  <c r="L497" i="5"/>
  <c r="N497" i="5" s="1"/>
  <c r="L522" i="5"/>
  <c r="N522" i="5" s="1"/>
  <c r="L537" i="5"/>
  <c r="N537" i="5" s="1"/>
  <c r="L546" i="5"/>
  <c r="N546" i="5" s="1"/>
  <c r="L553" i="5"/>
  <c r="N553" i="5" s="1"/>
  <c r="L560" i="5"/>
  <c r="N560" i="5" s="1"/>
  <c r="L569" i="5"/>
  <c r="N569" i="5" s="1"/>
  <c r="L577" i="5"/>
  <c r="N577" i="5" s="1"/>
  <c r="L583" i="5"/>
  <c r="N583" i="5" s="1"/>
  <c r="L589" i="5"/>
  <c r="N589" i="5" s="1"/>
  <c r="L590" i="5"/>
  <c r="N590" i="5" s="1"/>
  <c r="L591" i="5"/>
  <c r="N591" i="5" s="1"/>
  <c r="L596" i="5"/>
  <c r="N596" i="5" s="1"/>
  <c r="L602" i="5"/>
  <c r="N602" i="5" s="1"/>
  <c r="L604" i="5"/>
  <c r="N604" i="5" s="1"/>
  <c r="L612" i="5"/>
  <c r="N612" i="5" s="1"/>
  <c r="L620" i="5"/>
  <c r="N620" i="5" s="1"/>
  <c r="L621" i="5"/>
  <c r="N621" i="5" s="1"/>
  <c r="L333" i="5"/>
  <c r="N333" i="5" s="1"/>
  <c r="L350" i="5"/>
  <c r="N350" i="5" s="1"/>
  <c r="L374" i="5"/>
  <c r="N374" i="5" s="1"/>
  <c r="L440" i="5"/>
  <c r="N440" i="5" s="1"/>
  <c r="L463" i="5"/>
  <c r="N463" i="5" s="1"/>
  <c r="L484" i="5"/>
  <c r="N484" i="5" s="1"/>
  <c r="L501" i="5"/>
  <c r="N501" i="5" s="1"/>
  <c r="L510" i="5"/>
  <c r="N510" i="5" s="1"/>
  <c r="L519" i="5"/>
  <c r="N519" i="5" s="1"/>
  <c r="L524" i="5"/>
  <c r="N524" i="5" s="1"/>
  <c r="L533" i="5"/>
  <c r="N533" i="5" s="1"/>
  <c r="L540" i="5"/>
  <c r="N540" i="5" s="1"/>
  <c r="L556" i="5"/>
  <c r="N556" i="5" s="1"/>
  <c r="L567" i="5"/>
  <c r="N567" i="5" s="1"/>
  <c r="L581" i="5"/>
  <c r="N581" i="5" s="1"/>
  <c r="L585" i="5"/>
  <c r="N585" i="5" s="1"/>
  <c r="L588" i="5"/>
  <c r="N588" i="5" s="1"/>
  <c r="L600" i="5"/>
  <c r="N600" i="5" s="1"/>
  <c r="L273" i="5"/>
  <c r="N273" i="5" s="1"/>
  <c r="L313" i="5"/>
  <c r="N313" i="5" s="1"/>
  <c r="L279" i="5"/>
  <c r="N279" i="5" s="1"/>
  <c r="L290" i="5"/>
  <c r="N290" i="5" s="1"/>
  <c r="L324" i="5"/>
  <c r="N324" i="5" s="1"/>
  <c r="L337" i="5"/>
  <c r="N337" i="5" s="1"/>
  <c r="L283" i="5"/>
  <c r="N283" i="5" s="1"/>
  <c r="L335" i="5"/>
  <c r="N335" i="5" s="1"/>
  <c r="L288" i="5"/>
  <c r="N288" i="5" s="1"/>
  <c r="L294" i="5"/>
  <c r="N294" i="5" s="1"/>
  <c r="L307" i="5"/>
  <c r="N307" i="5" s="1"/>
  <c r="L377" i="5"/>
  <c r="N377" i="5" s="1"/>
  <c r="L385" i="5"/>
  <c r="N385" i="5" s="1"/>
  <c r="L410" i="5"/>
  <c r="N410" i="5" s="1"/>
  <c r="L437" i="5"/>
  <c r="N437" i="5" s="1"/>
  <c r="L442" i="5"/>
  <c r="N442" i="5" s="1"/>
  <c r="L444" i="5"/>
  <c r="N444" i="5" s="1"/>
  <c r="L453" i="5"/>
  <c r="N453" i="5" s="1"/>
  <c r="L458" i="5"/>
  <c r="N458" i="5" s="1"/>
  <c r="L462" i="5"/>
  <c r="N462" i="5" s="1"/>
  <c r="L473" i="5"/>
  <c r="N473" i="5" s="1"/>
  <c r="L488" i="5"/>
  <c r="N488" i="5" s="1"/>
  <c r="L492" i="5"/>
  <c r="N492" i="5" s="1"/>
  <c r="L500" i="5"/>
  <c r="N500" i="5" s="1"/>
  <c r="L502" i="5"/>
  <c r="N502" i="5" s="1"/>
  <c r="L515" i="5"/>
  <c r="N515" i="5" s="1"/>
  <c r="L520" i="5"/>
  <c r="N520" i="5" s="1"/>
  <c r="L534" i="5"/>
  <c r="N534" i="5" s="1"/>
  <c r="L539" i="5"/>
  <c r="N539" i="5" s="1"/>
  <c r="L543" i="5"/>
  <c r="N543" i="5" s="1"/>
  <c r="L561" i="5"/>
  <c r="N561" i="5" s="1"/>
  <c r="L570" i="5"/>
  <c r="N570" i="5" s="1"/>
  <c r="L573" i="5"/>
  <c r="N573" i="5" s="1"/>
  <c r="L599" i="5"/>
  <c r="N599" i="5" s="1"/>
  <c r="L605" i="5"/>
  <c r="N605" i="5" s="1"/>
  <c r="L610" i="5"/>
  <c r="N610" i="5" s="1"/>
  <c r="L351" i="5"/>
  <c r="N351" i="5" s="1"/>
  <c r="L402" i="5"/>
  <c r="N402" i="5" s="1"/>
  <c r="L438" i="5"/>
  <c r="N438" i="5" s="1"/>
  <c r="L451" i="5"/>
  <c r="N451" i="5" s="1"/>
  <c r="L461" i="5"/>
  <c r="N461" i="5" s="1"/>
  <c r="L469" i="5"/>
  <c r="N469" i="5" s="1"/>
  <c r="L477" i="5"/>
  <c r="N477" i="5" s="1"/>
  <c r="L480" i="5"/>
  <c r="N480" i="5" s="1"/>
  <c r="L496" i="5"/>
  <c r="N496" i="5" s="1"/>
  <c r="L516" i="5"/>
  <c r="N516" i="5" s="1"/>
  <c r="L518" i="5"/>
  <c r="N518" i="5" s="1"/>
  <c r="L536" i="5"/>
  <c r="N536" i="5" s="1"/>
  <c r="L548" i="5"/>
  <c r="N548" i="5" s="1"/>
  <c r="L550" i="5"/>
  <c r="N550" i="5" s="1"/>
  <c r="L555" i="5"/>
  <c r="N555" i="5" s="1"/>
  <c r="L565" i="5"/>
  <c r="N565" i="5" s="1"/>
  <c r="L568" i="5"/>
  <c r="N568" i="5" s="1"/>
  <c r="L574" i="5"/>
  <c r="N574" i="5" s="1"/>
  <c r="L579" i="5"/>
  <c r="N579" i="5" s="1"/>
  <c r="L615" i="5"/>
  <c r="N615" i="5" s="1"/>
  <c r="L623" i="5"/>
  <c r="N623" i="5" s="1"/>
  <c r="L380" i="5"/>
  <c r="N380" i="5" s="1"/>
  <c r="L466" i="5"/>
  <c r="N466" i="5" s="1"/>
  <c r="L505" i="5"/>
  <c r="N505" i="5" s="1"/>
  <c r="L513" i="5"/>
  <c r="N513" i="5" s="1"/>
  <c r="L521" i="5"/>
  <c r="N521" i="5" s="1"/>
  <c r="L529" i="5"/>
  <c r="N529" i="5" s="1"/>
  <c r="L562" i="5"/>
  <c r="N562" i="5" s="1"/>
  <c r="L603" i="5"/>
  <c r="N603" i="5" s="1"/>
  <c r="L628" i="5"/>
  <c r="N628" i="5" s="1"/>
  <c r="L390" i="5"/>
  <c r="N390" i="5" s="1"/>
  <c r="L487" i="5"/>
  <c r="N487" i="5" s="1"/>
  <c r="L527" i="5"/>
  <c r="N527" i="5" s="1"/>
  <c r="L531" i="5"/>
  <c r="N531" i="5" s="1"/>
  <c r="L544" i="5"/>
  <c r="N544" i="5" s="1"/>
  <c r="L558" i="5"/>
  <c r="N558" i="5" s="1"/>
  <c r="L571" i="5"/>
  <c r="N571" i="5" s="1"/>
  <c r="L586" i="5"/>
  <c r="N586" i="5" s="1"/>
  <c r="L611" i="5"/>
  <c r="N611" i="5" s="1"/>
  <c r="L626" i="5"/>
  <c r="N626" i="5" s="1"/>
  <c r="L381" i="5"/>
  <c r="N381" i="5" s="1"/>
  <c r="L399" i="5"/>
  <c r="N399" i="5" s="1"/>
  <c r="L491" i="5"/>
  <c r="N491" i="5" s="1"/>
  <c r="L409" i="5"/>
  <c r="N409" i="5" s="1"/>
  <c r="L464" i="5"/>
  <c r="N464" i="5" s="1"/>
  <c r="L427" i="5"/>
  <c r="N427" i="5" s="1"/>
  <c r="L430" i="5"/>
  <c r="N430" i="5" s="1"/>
  <c r="L485" i="5"/>
  <c r="N485" i="5" s="1"/>
  <c r="L395" i="5"/>
  <c r="N395" i="5" s="1"/>
  <c r="L356" i="5"/>
  <c r="N356" i="5" s="1"/>
  <c r="L445" i="5"/>
  <c r="N445" i="5" s="1"/>
  <c r="L482" i="5"/>
  <c r="N482" i="5" s="1"/>
  <c r="L489" i="5"/>
  <c r="N489" i="5" s="1"/>
  <c r="L526" i="5"/>
  <c r="N526" i="5" s="1"/>
  <c r="L552" i="5"/>
  <c r="N552" i="5" s="1"/>
  <c r="L572" i="5"/>
  <c r="N572" i="5" s="1"/>
  <c r="L582" i="5"/>
  <c r="N582" i="5" s="1"/>
  <c r="L617" i="5"/>
  <c r="N617" i="5" s="1"/>
  <c r="L503" i="5"/>
  <c r="N503" i="5" s="1"/>
  <c r="L530" i="5"/>
  <c r="N530" i="5" s="1"/>
  <c r="L545" i="5"/>
  <c r="N545" i="5" s="1"/>
  <c r="L549" i="5"/>
  <c r="N549" i="5" s="1"/>
  <c r="L580" i="5"/>
  <c r="N580" i="5" s="1"/>
  <c r="L595" i="5"/>
  <c r="N595" i="5" s="1"/>
  <c r="L559" i="5"/>
  <c r="N559" i="5" s="1"/>
  <c r="L609" i="5"/>
  <c r="N609" i="5" s="1"/>
  <c r="L495" i="5"/>
  <c r="N495" i="5" s="1"/>
  <c r="L535" i="5"/>
  <c r="N535" i="5" s="1"/>
  <c r="L592" i="5"/>
  <c r="N592" i="5" s="1"/>
  <c r="L525" i="5"/>
  <c r="N525" i="5" s="1"/>
  <c r="L563" i="5"/>
  <c r="N563" i="5" s="1"/>
  <c r="L624" i="5"/>
  <c r="N624" i="5" s="1"/>
  <c r="L509" i="5"/>
  <c r="N509" i="5" s="1"/>
  <c r="L514" i="5"/>
  <c r="N514" i="5" s="1"/>
  <c r="L547" i="5"/>
  <c r="N547" i="5" s="1"/>
  <c r="L557" i="5"/>
  <c r="N557" i="5" s="1"/>
  <c r="L593" i="5"/>
  <c r="N593" i="5" s="1"/>
  <c r="L597" i="5"/>
  <c r="N597" i="5" s="1"/>
  <c r="L601" i="5"/>
  <c r="N601" i="5" s="1"/>
  <c r="L614" i="5"/>
  <c r="N614" i="5" s="1"/>
  <c r="L551" i="5"/>
  <c r="N551" i="5" s="1"/>
  <c r="L575" i="5"/>
  <c r="N575" i="5" s="1"/>
  <c r="L578" i="5"/>
  <c r="N578" i="5" s="1"/>
  <c r="L587" i="5"/>
  <c r="N587" i="5" s="1"/>
  <c r="L554" i="5"/>
  <c r="N554" i="5" s="1"/>
  <c r="L598" i="5"/>
  <c r="N598" i="5" s="1"/>
  <c r="L606" i="5"/>
  <c r="N606" i="5" s="1"/>
  <c r="L625" i="5"/>
  <c r="N625" i="5" s="1"/>
  <c r="L498" i="5"/>
  <c r="N498" i="5" s="1"/>
  <c r="L511" i="5"/>
  <c r="N511" i="5" s="1"/>
  <c r="L566" i="5"/>
  <c r="N566" i="5" s="1"/>
  <c r="L576" i="5"/>
  <c r="N576" i="5" s="1"/>
  <c r="L584" i="5"/>
  <c r="N584" i="5" s="1"/>
  <c r="L619" i="5"/>
  <c r="N619" i="5" s="1"/>
  <c r="K479" i="5"/>
  <c r="K414" i="5"/>
  <c r="K799" i="2"/>
  <c r="K438" i="5"/>
  <c r="K1209" i="2"/>
  <c r="I442" i="5"/>
  <c r="K607" i="5"/>
  <c r="I1253" i="2"/>
  <c r="K1154" i="2"/>
  <c r="I844" i="2"/>
  <c r="I843" i="2"/>
  <c r="I767" i="2"/>
  <c r="I766" i="2"/>
  <c r="K1030" i="2"/>
  <c r="I1235" i="2"/>
  <c r="I760" i="2"/>
  <c r="I759" i="2"/>
  <c r="I507" i="5"/>
  <c r="I622" i="5"/>
  <c r="I1181" i="2"/>
  <c r="I1039" i="2"/>
  <c r="I1038" i="2"/>
  <c r="K966" i="2"/>
  <c r="I292" i="5"/>
  <c r="K1057" i="2"/>
  <c r="K1051" i="2"/>
  <c r="I466" i="5"/>
  <c r="I1168" i="2"/>
  <c r="I300" i="5"/>
  <c r="K853" i="2"/>
  <c r="I291" i="5"/>
  <c r="I1257" i="2"/>
  <c r="I1258" i="2"/>
  <c r="K490" i="5"/>
  <c r="I903" i="2"/>
  <c r="K780" i="2"/>
  <c r="K900" i="2"/>
  <c r="K1121" i="2"/>
  <c r="K591" i="5"/>
  <c r="I414" i="5"/>
  <c r="K258" i="5"/>
  <c r="I1225" i="2"/>
  <c r="I1226" i="2"/>
  <c r="I1008" i="2"/>
  <c r="I1009" i="2"/>
  <c r="K824" i="2"/>
  <c r="I417" i="5"/>
  <c r="I1123" i="2"/>
  <c r="I1124" i="2"/>
  <c r="I606" i="5"/>
  <c r="I591" i="5"/>
  <c r="I359" i="5"/>
  <c r="I358" i="5"/>
  <c r="I1118" i="2"/>
  <c r="I884" i="2"/>
  <c r="K1019" i="2"/>
  <c r="K449" i="5"/>
  <c r="I856" i="2"/>
  <c r="K867" i="2"/>
  <c r="I1028" i="2"/>
  <c r="I356" i="5"/>
  <c r="I443" i="5"/>
  <c r="I262" i="5"/>
  <c r="I955" i="2"/>
  <c r="K1181" i="2"/>
  <c r="I1134" i="2"/>
  <c r="I811" i="2"/>
  <c r="I989" i="2"/>
  <c r="I1005" i="2"/>
  <c r="I501" i="5"/>
  <c r="K162" i="2"/>
  <c r="K620" i="2"/>
  <c r="K253" i="2"/>
  <c r="K18" i="2"/>
  <c r="I745" i="2"/>
  <c r="I706" i="2"/>
  <c r="I678" i="2"/>
  <c r="K615" i="2"/>
  <c r="K246" i="5"/>
  <c r="K696" i="2"/>
  <c r="K137" i="5"/>
  <c r="K559" i="2"/>
  <c r="K141" i="5"/>
  <c r="K84" i="2"/>
  <c r="K138" i="2"/>
  <c r="K542" i="2"/>
  <c r="I535" i="2"/>
  <c r="K191" i="5"/>
  <c r="K146" i="2"/>
  <c r="K534" i="2"/>
  <c r="K85" i="5"/>
  <c r="K212" i="2"/>
  <c r="K287" i="2"/>
  <c r="I727" i="2"/>
  <c r="K228" i="2"/>
  <c r="K715" i="2"/>
  <c r="K613" i="2"/>
  <c r="K678" i="2"/>
  <c r="I679" i="2"/>
  <c r="K153" i="2"/>
  <c r="I697" i="2"/>
  <c r="K672" i="2"/>
  <c r="K193" i="5"/>
  <c r="K201" i="2"/>
  <c r="K26" i="2"/>
  <c r="K171" i="5"/>
  <c r="L9" i="5"/>
  <c r="N9" i="5" s="1"/>
  <c r="L41" i="5"/>
  <c r="L73" i="5"/>
  <c r="N73" i="5" s="1"/>
  <c r="L105" i="5"/>
  <c r="N105" i="5" s="1"/>
  <c r="L137" i="5"/>
  <c r="N137" i="5" s="1"/>
  <c r="L169" i="5"/>
  <c r="N169" i="5" s="1"/>
  <c r="L201" i="5"/>
  <c r="N201" i="5" s="1"/>
  <c r="L233" i="5"/>
  <c r="N233" i="5" s="1"/>
  <c r="L10" i="5"/>
  <c r="N10" i="5" s="1"/>
  <c r="L42" i="5"/>
  <c r="N42" i="5" s="1"/>
  <c r="L74" i="5"/>
  <c r="N74" i="5" s="1"/>
  <c r="L106" i="5"/>
  <c r="N106" i="5" s="1"/>
  <c r="L138" i="5"/>
  <c r="N138" i="5" s="1"/>
  <c r="L170" i="5"/>
  <c r="N170" i="5" s="1"/>
  <c r="L202" i="5"/>
  <c r="N202" i="5" s="1"/>
  <c r="L234" i="5"/>
  <c r="N234" i="5" s="1"/>
  <c r="L11" i="5"/>
  <c r="N11" i="5" s="1"/>
  <c r="L43" i="5"/>
  <c r="N43" i="5" s="1"/>
  <c r="L75" i="5"/>
  <c r="N75" i="5" s="1"/>
  <c r="L107" i="5"/>
  <c r="N107" i="5" s="1"/>
  <c r="L139" i="5"/>
  <c r="N139" i="5" s="1"/>
  <c r="L171" i="5"/>
  <c r="N171" i="5" s="1"/>
  <c r="L203" i="5"/>
  <c r="N203" i="5" s="1"/>
  <c r="L235" i="5"/>
  <c r="N235" i="5" s="1"/>
  <c r="L12" i="5"/>
  <c r="N12" i="5" s="1"/>
  <c r="L44" i="5"/>
  <c r="N44" i="5" s="1"/>
  <c r="L76" i="5"/>
  <c r="N76" i="5" s="1"/>
  <c r="L108" i="5"/>
  <c r="N108" i="5" s="1"/>
  <c r="L140" i="5"/>
  <c r="N140" i="5" s="1"/>
  <c r="L172" i="5"/>
  <c r="N172" i="5" s="1"/>
  <c r="L204" i="5"/>
  <c r="N204" i="5" s="1"/>
  <c r="L236" i="5"/>
  <c r="N236" i="5" s="1"/>
  <c r="L13" i="5"/>
  <c r="N13" i="5" s="1"/>
  <c r="L45" i="5"/>
  <c r="N45" i="5" s="1"/>
  <c r="L77" i="5"/>
  <c r="N77" i="5" s="1"/>
  <c r="L109" i="5"/>
  <c r="N109" i="5" s="1"/>
  <c r="L141" i="5"/>
  <c r="N141" i="5" s="1"/>
  <c r="L173" i="5"/>
  <c r="N173" i="5" s="1"/>
  <c r="L205" i="5"/>
  <c r="N205" i="5" s="1"/>
  <c r="L237" i="5"/>
  <c r="N237" i="5" s="1"/>
  <c r="L14" i="5"/>
  <c r="N14" i="5" s="1"/>
  <c r="L46" i="5"/>
  <c r="N46" i="5" s="1"/>
  <c r="L78" i="5"/>
  <c r="N78" i="5" s="1"/>
  <c r="L110" i="5"/>
  <c r="N110" i="5" s="1"/>
  <c r="L142" i="5"/>
  <c r="N142" i="5" s="1"/>
  <c r="L174" i="5"/>
  <c r="N174" i="5" s="1"/>
  <c r="L206" i="5"/>
  <c r="N206" i="5" s="1"/>
  <c r="L238" i="5"/>
  <c r="N238" i="5" s="1"/>
  <c r="L15" i="5"/>
  <c r="N15" i="5" s="1"/>
  <c r="L47" i="5"/>
  <c r="N47" i="5" s="1"/>
  <c r="L79" i="5"/>
  <c r="N79" i="5" s="1"/>
  <c r="L111" i="5"/>
  <c r="N111" i="5" s="1"/>
  <c r="L143" i="5"/>
  <c r="N143" i="5" s="1"/>
  <c r="L175" i="5"/>
  <c r="N175" i="5" s="1"/>
  <c r="L207" i="5"/>
  <c r="N207" i="5" s="1"/>
  <c r="L239" i="5"/>
  <c r="N239" i="5" s="1"/>
  <c r="L16" i="5"/>
  <c r="N16" i="5" s="1"/>
  <c r="L48" i="5"/>
  <c r="N48" i="5" s="1"/>
  <c r="L80" i="5"/>
  <c r="N80" i="5" s="1"/>
  <c r="L112" i="5"/>
  <c r="N112" i="5" s="1"/>
  <c r="L144" i="5"/>
  <c r="N144" i="5" s="1"/>
  <c r="L176" i="5"/>
  <c r="N176" i="5" s="1"/>
  <c r="L208" i="5"/>
  <c r="N208" i="5" s="1"/>
  <c r="L240" i="5"/>
  <c r="N240" i="5" s="1"/>
  <c r="L19" i="5"/>
  <c r="N19" i="5" s="1"/>
  <c r="L51" i="5"/>
  <c r="N51" i="5" s="1"/>
  <c r="L83" i="5"/>
  <c r="N83" i="5" s="1"/>
  <c r="L115" i="5"/>
  <c r="N115" i="5" s="1"/>
  <c r="L147" i="5"/>
  <c r="N147" i="5" s="1"/>
  <c r="L179" i="5"/>
  <c r="N179" i="5" s="1"/>
  <c r="L211" i="5"/>
  <c r="N211" i="5" s="1"/>
  <c r="L243" i="5"/>
  <c r="N243" i="5" s="1"/>
  <c r="L20" i="5"/>
  <c r="N20" i="5" s="1"/>
  <c r="L52" i="5"/>
  <c r="N52" i="5" s="1"/>
  <c r="L84" i="5"/>
  <c r="N84" i="5" s="1"/>
  <c r="L116" i="5"/>
  <c r="N116" i="5" s="1"/>
  <c r="L148" i="5"/>
  <c r="N148" i="5" s="1"/>
  <c r="L180" i="5"/>
  <c r="N180" i="5" s="1"/>
  <c r="L212" i="5"/>
  <c r="N212" i="5" s="1"/>
  <c r="L244" i="5"/>
  <c r="N244" i="5" s="1"/>
  <c r="L21" i="5"/>
  <c r="N21" i="5" s="1"/>
  <c r="L53" i="5"/>
  <c r="N53" i="5" s="1"/>
  <c r="L85" i="5"/>
  <c r="N85" i="5" s="1"/>
  <c r="L117" i="5"/>
  <c r="N117" i="5" s="1"/>
  <c r="L149" i="5"/>
  <c r="N149" i="5" s="1"/>
  <c r="L17" i="5"/>
  <c r="N17" i="5" s="1"/>
  <c r="L49" i="5"/>
  <c r="N49" i="5" s="1"/>
  <c r="L81" i="5"/>
  <c r="N81" i="5" s="1"/>
  <c r="L113" i="5"/>
  <c r="N113" i="5" s="1"/>
  <c r="L145" i="5"/>
  <c r="N145" i="5" s="1"/>
  <c r="L177" i="5"/>
  <c r="N177" i="5" s="1"/>
  <c r="L209" i="5"/>
  <c r="N209" i="5" s="1"/>
  <c r="L241" i="5"/>
  <c r="N241" i="5" s="1"/>
  <c r="L18" i="5"/>
  <c r="N18" i="5" s="1"/>
  <c r="L50" i="5"/>
  <c r="N50" i="5" s="1"/>
  <c r="L82" i="5"/>
  <c r="N82" i="5" s="1"/>
  <c r="L114" i="5"/>
  <c r="N114" i="5" s="1"/>
  <c r="L146" i="5"/>
  <c r="N146" i="5" s="1"/>
  <c r="L178" i="5"/>
  <c r="N178" i="5" s="1"/>
  <c r="L210" i="5"/>
  <c r="N210" i="5" s="1"/>
  <c r="L242" i="5"/>
  <c r="N242" i="5" s="1"/>
  <c r="L30" i="5"/>
  <c r="N30" i="5" s="1"/>
  <c r="L62" i="5"/>
  <c r="N62" i="5" s="1"/>
  <c r="L94" i="5"/>
  <c r="N94" i="5" s="1"/>
  <c r="L126" i="5"/>
  <c r="N126" i="5" s="1"/>
  <c r="L158" i="5"/>
  <c r="N158" i="5" s="1"/>
  <c r="L190" i="5"/>
  <c r="N190" i="5" s="1"/>
  <c r="L222" i="5"/>
  <c r="N222" i="5" s="1"/>
  <c r="L31" i="5"/>
  <c r="N31" i="5" s="1"/>
  <c r="L63" i="5"/>
  <c r="N63" i="5" s="1"/>
  <c r="L95" i="5"/>
  <c r="N95" i="5" s="1"/>
  <c r="L127" i="5"/>
  <c r="N127" i="5" s="1"/>
  <c r="L159" i="5"/>
  <c r="N159" i="5" s="1"/>
  <c r="L191" i="5"/>
  <c r="N191" i="5" s="1"/>
  <c r="L223" i="5"/>
  <c r="N223" i="5" s="1"/>
  <c r="L32" i="5"/>
  <c r="N32" i="5" s="1"/>
  <c r="L64" i="5"/>
  <c r="N64" i="5" s="1"/>
  <c r="L96" i="5"/>
  <c r="N96" i="5" s="1"/>
  <c r="L128" i="5"/>
  <c r="N128" i="5" s="1"/>
  <c r="L160" i="5"/>
  <c r="N160" i="5" s="1"/>
  <c r="L192" i="5"/>
  <c r="N192" i="5" s="1"/>
  <c r="L224" i="5"/>
  <c r="N224" i="5" s="1"/>
  <c r="L33" i="5"/>
  <c r="N33" i="5" s="1"/>
  <c r="L65" i="5"/>
  <c r="N65" i="5" s="1"/>
  <c r="L97" i="5"/>
  <c r="N97" i="5" s="1"/>
  <c r="L129" i="5"/>
  <c r="N129" i="5" s="1"/>
  <c r="L161" i="5"/>
  <c r="N161" i="5" s="1"/>
  <c r="L193" i="5"/>
  <c r="N193" i="5" s="1"/>
  <c r="L225" i="5"/>
  <c r="N225" i="5" s="1"/>
  <c r="L34" i="5"/>
  <c r="N34" i="5" s="1"/>
  <c r="L66" i="5"/>
  <c r="N66" i="5" s="1"/>
  <c r="L98" i="5"/>
  <c r="N98" i="5" s="1"/>
  <c r="L130" i="5"/>
  <c r="N130" i="5" s="1"/>
  <c r="L162" i="5"/>
  <c r="N162" i="5" s="1"/>
  <c r="L194" i="5"/>
  <c r="N194" i="5" s="1"/>
  <c r="L226" i="5"/>
  <c r="N226" i="5" s="1"/>
  <c r="L22" i="5"/>
  <c r="N22" i="5" s="1"/>
  <c r="L90" i="5"/>
  <c r="N90" i="5" s="1"/>
  <c r="L163" i="5"/>
  <c r="N163" i="5" s="1"/>
  <c r="L229" i="5"/>
  <c r="N229" i="5" s="1"/>
  <c r="L23" i="5"/>
  <c r="N23" i="5" s="1"/>
  <c r="L91" i="5"/>
  <c r="N91" i="5" s="1"/>
  <c r="L164" i="5"/>
  <c r="N164" i="5" s="1"/>
  <c r="L230" i="5"/>
  <c r="N230" i="5" s="1"/>
  <c r="L25" i="5"/>
  <c r="N25" i="5" s="1"/>
  <c r="L93" i="5"/>
  <c r="N93" i="5" s="1"/>
  <c r="L166" i="5"/>
  <c r="N166" i="5" s="1"/>
  <c r="L232" i="5"/>
  <c r="N232" i="5" s="1"/>
  <c r="L26" i="5"/>
  <c r="N26" i="5" s="1"/>
  <c r="L99" i="5"/>
  <c r="N99" i="5" s="1"/>
  <c r="L167" i="5"/>
  <c r="N167" i="5" s="1"/>
  <c r="L245" i="5"/>
  <c r="N245" i="5" s="1"/>
  <c r="L27" i="5"/>
  <c r="N27" i="5" s="1"/>
  <c r="L100" i="5"/>
  <c r="N100" i="5" s="1"/>
  <c r="L168" i="5"/>
  <c r="N168" i="5" s="1"/>
  <c r="L246" i="5"/>
  <c r="N246" i="5" s="1"/>
  <c r="L28" i="5"/>
  <c r="N28" i="5" s="1"/>
  <c r="L101" i="5"/>
  <c r="N101" i="5" s="1"/>
  <c r="L181" i="5"/>
  <c r="N181" i="5" s="1"/>
  <c r="L247" i="5"/>
  <c r="N247" i="5" s="1"/>
  <c r="L29" i="5"/>
  <c r="N29" i="5" s="1"/>
  <c r="L102" i="5"/>
  <c r="N102" i="5" s="1"/>
  <c r="L182" i="5"/>
  <c r="N182" i="5" s="1"/>
  <c r="L248" i="5"/>
  <c r="N248" i="5" s="1"/>
  <c r="L35" i="5"/>
  <c r="N35" i="5" s="1"/>
  <c r="L103" i="5"/>
  <c r="N103" i="5" s="1"/>
  <c r="L183" i="5"/>
  <c r="N183" i="5" s="1"/>
  <c r="L249" i="5"/>
  <c r="N249" i="5" s="1"/>
  <c r="L36" i="5"/>
  <c r="N36" i="5" s="1"/>
  <c r="L104" i="5"/>
  <c r="N104" i="5" s="1"/>
  <c r="L184" i="5"/>
  <c r="N184" i="5" s="1"/>
  <c r="L250" i="5"/>
  <c r="N250" i="5" s="1"/>
  <c r="L37" i="5"/>
  <c r="N37" i="5" s="1"/>
  <c r="L118" i="5"/>
  <c r="N118" i="5" s="1"/>
  <c r="L185" i="5"/>
  <c r="N185" i="5" s="1"/>
  <c r="L251" i="5"/>
  <c r="N251" i="5" s="1"/>
  <c r="L38" i="5"/>
  <c r="N38" i="5" s="1"/>
  <c r="L119" i="5"/>
  <c r="N119" i="5" s="1"/>
  <c r="L186" i="5"/>
  <c r="N186" i="5" s="1"/>
  <c r="L2" i="5"/>
  <c r="N2" i="5" s="1"/>
  <c r="L39" i="5"/>
  <c r="N39" i="5" s="1"/>
  <c r="L120" i="5"/>
  <c r="N120" i="5" s="1"/>
  <c r="L187" i="5"/>
  <c r="N187" i="5" s="1"/>
  <c r="L40" i="5"/>
  <c r="N40" i="5" s="1"/>
  <c r="L121" i="5"/>
  <c r="N121" i="5" s="1"/>
  <c r="L188" i="5"/>
  <c r="N188" i="5" s="1"/>
  <c r="L54" i="5"/>
  <c r="N54" i="5" s="1"/>
  <c r="L122" i="5"/>
  <c r="N122" i="5" s="1"/>
  <c r="L189" i="5"/>
  <c r="N189" i="5" s="1"/>
  <c r="L55" i="5"/>
  <c r="N55" i="5" s="1"/>
  <c r="L123" i="5"/>
  <c r="N123" i="5" s="1"/>
  <c r="L195" i="5"/>
  <c r="N195" i="5" s="1"/>
  <c r="L56" i="5"/>
  <c r="N56" i="5" s="1"/>
  <c r="L124" i="5"/>
  <c r="N124" i="5" s="1"/>
  <c r="L196" i="5"/>
  <c r="N196" i="5" s="1"/>
  <c r="L57" i="5"/>
  <c r="N57" i="5" s="1"/>
  <c r="L125" i="5"/>
  <c r="N125" i="5" s="1"/>
  <c r="L197" i="5"/>
  <c r="N197" i="5" s="1"/>
  <c r="L58" i="5"/>
  <c r="N58" i="5" s="1"/>
  <c r="L131" i="5"/>
  <c r="N131" i="5" s="1"/>
  <c r="L198" i="5"/>
  <c r="N198" i="5" s="1"/>
  <c r="L59" i="5"/>
  <c r="N59" i="5" s="1"/>
  <c r="L132" i="5"/>
  <c r="N132" i="5" s="1"/>
  <c r="L199" i="5"/>
  <c r="N199" i="5" s="1"/>
  <c r="L60" i="5"/>
  <c r="N60" i="5" s="1"/>
  <c r="L133" i="5"/>
  <c r="N133" i="5" s="1"/>
  <c r="L200" i="5"/>
  <c r="N200" i="5" s="1"/>
  <c r="L61" i="5"/>
  <c r="N61" i="5" s="1"/>
  <c r="L134" i="5"/>
  <c r="N134" i="5" s="1"/>
  <c r="L213" i="5"/>
  <c r="N213" i="5" s="1"/>
  <c r="L67" i="5"/>
  <c r="N67" i="5" s="1"/>
  <c r="L135" i="5"/>
  <c r="N135" i="5" s="1"/>
  <c r="L214" i="5"/>
  <c r="N214" i="5" s="1"/>
  <c r="L68" i="5"/>
  <c r="N68" i="5" s="1"/>
  <c r="L136" i="5"/>
  <c r="N136" i="5" s="1"/>
  <c r="L215" i="5"/>
  <c r="N215" i="5" s="1"/>
  <c r="L69" i="5"/>
  <c r="N69" i="5" s="1"/>
  <c r="L150" i="5"/>
  <c r="N150" i="5" s="1"/>
  <c r="L216" i="5"/>
  <c r="N216" i="5" s="1"/>
  <c r="L70" i="5"/>
  <c r="N70" i="5" s="1"/>
  <c r="L151" i="5"/>
  <c r="N151" i="5" s="1"/>
  <c r="L217" i="5"/>
  <c r="N217" i="5" s="1"/>
  <c r="L3" i="5"/>
  <c r="N3" i="5" s="1"/>
  <c r="L71" i="5"/>
  <c r="N71" i="5" s="1"/>
  <c r="L152" i="5"/>
  <c r="N152" i="5" s="1"/>
  <c r="L24" i="5"/>
  <c r="N24" i="5" s="1"/>
  <c r="L92" i="5"/>
  <c r="N92" i="5" s="1"/>
  <c r="L165" i="5"/>
  <c r="N165" i="5" s="1"/>
  <c r="L231" i="5"/>
  <c r="N231" i="5" s="1"/>
  <c r="L86" i="5"/>
  <c r="N86" i="5" s="1"/>
  <c r="L87" i="5"/>
  <c r="N87" i="5" s="1"/>
  <c r="L220" i="5"/>
  <c r="L221" i="5"/>
  <c r="N221" i="5" s="1"/>
  <c r="L227" i="5"/>
  <c r="N227" i="5" s="1"/>
  <c r="L228" i="5"/>
  <c r="N228" i="5" s="1"/>
  <c r="L88" i="5"/>
  <c r="N88" i="5" s="1"/>
  <c r="L89" i="5"/>
  <c r="N89" i="5" s="1"/>
  <c r="L153" i="5"/>
  <c r="N153" i="5" s="1"/>
  <c r="L154" i="5"/>
  <c r="N154" i="5" s="1"/>
  <c r="L155" i="5"/>
  <c r="N155" i="5" s="1"/>
  <c r="L156" i="5"/>
  <c r="N156" i="5" s="1"/>
  <c r="L157" i="5"/>
  <c r="N157" i="5" s="1"/>
  <c r="L218" i="5"/>
  <c r="N218" i="5" s="1"/>
  <c r="L219" i="5"/>
  <c r="N219" i="5" s="1"/>
  <c r="L4" i="5"/>
  <c r="N4" i="5" s="1"/>
  <c r="L5" i="5"/>
  <c r="N5" i="5" s="1"/>
  <c r="L6" i="5"/>
  <c r="N6" i="5" s="1"/>
  <c r="L7" i="5"/>
  <c r="N7" i="5" s="1"/>
  <c r="L8" i="5"/>
  <c r="N8" i="5" s="1"/>
  <c r="L72" i="5"/>
  <c r="N72" i="5" s="1"/>
  <c r="K110" i="5"/>
  <c r="I372" i="2"/>
  <c r="I739" i="2"/>
  <c r="K223" i="5"/>
  <c r="K136" i="5"/>
  <c r="K198" i="5"/>
  <c r="I696" i="2"/>
  <c r="I690" i="2"/>
  <c r="K128" i="2"/>
  <c r="K250" i="2"/>
  <c r="K266" i="2"/>
  <c r="K707" i="2"/>
  <c r="I223" i="5"/>
  <c r="K111" i="2"/>
  <c r="K214" i="2"/>
  <c r="K103" i="5"/>
  <c r="K93" i="2"/>
  <c r="I689" i="2"/>
  <c r="K718" i="2"/>
  <c r="K275" i="2"/>
  <c r="I751" i="2"/>
  <c r="K675" i="2"/>
  <c r="K135" i="2"/>
  <c r="K147" i="2"/>
  <c r="K145" i="2"/>
  <c r="K194" i="2"/>
  <c r="I542" i="2"/>
  <c r="I224" i="5"/>
  <c r="K633" i="2"/>
  <c r="K35" i="2"/>
  <c r="K235" i="2"/>
  <c r="K571" i="2"/>
  <c r="K176" i="5"/>
  <c r="I736" i="2"/>
  <c r="K226" i="5"/>
  <c r="K19" i="5"/>
  <c r="I674" i="2"/>
  <c r="K220" i="2"/>
  <c r="I543" i="2"/>
  <c r="K16" i="2"/>
  <c r="K251" i="5"/>
  <c r="I610" i="2"/>
  <c r="K411" i="2"/>
  <c r="K13" i="5"/>
  <c r="K210" i="5"/>
  <c r="K177" i="2"/>
  <c r="K573" i="2"/>
  <c r="K525" i="2"/>
  <c r="K231" i="2"/>
  <c r="K127" i="2"/>
  <c r="K75" i="2"/>
  <c r="I198" i="5"/>
  <c r="K157" i="2"/>
  <c r="K496" i="2"/>
  <c r="I636" i="2"/>
  <c r="K306" i="2"/>
  <c r="I607" i="2"/>
  <c r="K373" i="2"/>
  <c r="K242" i="5"/>
  <c r="K155" i="2"/>
  <c r="K173" i="2"/>
  <c r="K215" i="2"/>
  <c r="K152" i="2"/>
  <c r="K268" i="2"/>
  <c r="I111" i="2"/>
  <c r="K219" i="5"/>
  <c r="K572" i="2"/>
  <c r="K72" i="2"/>
  <c r="K679" i="2"/>
  <c r="K482" i="2"/>
  <c r="K406" i="2"/>
  <c r="K229" i="5"/>
  <c r="K476" i="2"/>
  <c r="I680" i="2"/>
  <c r="K584" i="2"/>
  <c r="K183" i="5"/>
  <c r="K466" i="2"/>
  <c r="K282" i="2"/>
  <c r="K9" i="5"/>
  <c r="K72" i="5"/>
  <c r="K308" i="2"/>
  <c r="K375" i="2"/>
  <c r="K564" i="2"/>
  <c r="K520" i="2"/>
  <c r="K535" i="2"/>
  <c r="K216" i="2"/>
  <c r="K272" i="2"/>
  <c r="I364" i="2"/>
  <c r="K344" i="2"/>
  <c r="I139" i="5"/>
  <c r="K184" i="2"/>
  <c r="K655" i="2"/>
  <c r="I323" i="2"/>
  <c r="K67" i="2"/>
  <c r="I199" i="5"/>
  <c r="I695" i="2"/>
  <c r="I721" i="2"/>
  <c r="K98" i="5"/>
  <c r="I510" i="2"/>
  <c r="K720" i="2"/>
  <c r="K158" i="2"/>
  <c r="I113" i="2"/>
  <c r="K34" i="5"/>
  <c r="K439" i="2"/>
  <c r="K236" i="2"/>
  <c r="K70" i="2"/>
  <c r="K746" i="2"/>
  <c r="K147" i="5"/>
  <c r="K173" i="5"/>
  <c r="K280" i="2"/>
  <c r="I315" i="2"/>
  <c r="I717" i="2"/>
  <c r="K314" i="2"/>
  <c r="K359" i="2"/>
  <c r="K24" i="2"/>
  <c r="K189" i="5"/>
  <c r="K328" i="2"/>
  <c r="K56" i="5"/>
  <c r="K196" i="2"/>
  <c r="K36" i="5"/>
  <c r="I670" i="2"/>
  <c r="I87" i="2"/>
  <c r="K455" i="2"/>
  <c r="K111" i="5"/>
  <c r="K120" i="2"/>
  <c r="I149" i="5"/>
  <c r="K550" i="2"/>
  <c r="I382" i="2"/>
  <c r="K237" i="2"/>
  <c r="K49" i="5"/>
  <c r="K75" i="5"/>
  <c r="I144" i="5"/>
  <c r="K131" i="5"/>
  <c r="I573" i="2"/>
  <c r="K583" i="2"/>
  <c r="K323" i="2"/>
  <c r="I625" i="2"/>
  <c r="I606" i="2"/>
  <c r="K249" i="2"/>
  <c r="I250" i="2"/>
  <c r="I281" i="2"/>
  <c r="K601" i="2"/>
  <c r="K32" i="2"/>
  <c r="K2" i="2"/>
  <c r="K113" i="2"/>
  <c r="K211" i="2"/>
  <c r="K206" i="2"/>
  <c r="K74" i="5"/>
  <c r="K288" i="2"/>
  <c r="K307" i="2"/>
  <c r="K109" i="5"/>
  <c r="K87" i="2"/>
  <c r="I574" i="2"/>
  <c r="K472" i="2"/>
  <c r="K277" i="2"/>
  <c r="K90" i="5"/>
  <c r="K25" i="5"/>
  <c r="K10" i="2"/>
  <c r="K202" i="5"/>
  <c r="K563" i="2"/>
  <c r="I112" i="2"/>
  <c r="I211" i="2"/>
  <c r="K86" i="2"/>
  <c r="I667" i="2"/>
  <c r="I208" i="5"/>
  <c r="K232" i="2"/>
  <c r="K97" i="5"/>
  <c r="K186" i="2"/>
  <c r="K667" i="2"/>
  <c r="I682" i="2"/>
  <c r="K501" i="2"/>
  <c r="I347" i="2"/>
  <c r="K213" i="5"/>
  <c r="I663" i="2"/>
  <c r="K56" i="2"/>
  <c r="K112" i="2"/>
  <c r="K152" i="5"/>
  <c r="I155" i="2"/>
  <c r="I668" i="2"/>
  <c r="K192" i="2"/>
  <c r="I151" i="5"/>
  <c r="K196" i="5"/>
  <c r="K247" i="5"/>
  <c r="K6" i="2"/>
  <c r="K543" i="2"/>
  <c r="K198" i="2"/>
  <c r="K382" i="2"/>
  <c r="K170" i="2"/>
  <c r="K27" i="2"/>
  <c r="I550" i="2"/>
  <c r="K349" i="2"/>
  <c r="I392" i="2"/>
  <c r="K290" i="2"/>
  <c r="K115" i="2"/>
  <c r="K124" i="2"/>
  <c r="K51" i="5"/>
  <c r="K219" i="2"/>
  <c r="K22" i="2"/>
  <c r="I78" i="2"/>
  <c r="K222" i="2"/>
  <c r="K66" i="2"/>
  <c r="K241" i="2"/>
  <c r="K596" i="2"/>
  <c r="K300" i="2"/>
  <c r="I190" i="5"/>
  <c r="I433" i="2"/>
  <c r="I654" i="2"/>
  <c r="I25" i="5"/>
  <c r="I583" i="2"/>
  <c r="K341" i="2"/>
  <c r="K25" i="2"/>
  <c r="K671" i="2"/>
  <c r="K116" i="2"/>
  <c r="K265" i="2"/>
  <c r="K12" i="2"/>
  <c r="K614" i="2"/>
  <c r="K9" i="2"/>
  <c r="K677" i="2"/>
  <c r="I664" i="2"/>
  <c r="K14" i="2"/>
  <c r="K39" i="5"/>
  <c r="K99" i="5"/>
  <c r="K269" i="2"/>
  <c r="K529" i="2"/>
  <c r="K361" i="2"/>
  <c r="K154" i="2"/>
  <c r="K78" i="2"/>
  <c r="I308" i="2"/>
  <c r="K186" i="5"/>
  <c r="I186" i="5"/>
  <c r="K256" i="2"/>
  <c r="K318" i="2"/>
  <c r="K43" i="2"/>
  <c r="K551" i="2"/>
  <c r="K171" i="2"/>
  <c r="K19" i="2"/>
  <c r="K251" i="2"/>
  <c r="I42" i="5"/>
  <c r="I643" i="2"/>
  <c r="K200" i="5"/>
  <c r="K53" i="5"/>
  <c r="K560" i="2"/>
  <c r="K513" i="2"/>
  <c r="K200" i="2"/>
  <c r="K243" i="2"/>
  <c r="K115" i="5"/>
  <c r="K447" i="2"/>
  <c r="I708" i="2"/>
  <c r="I105" i="5"/>
  <c r="K533" i="2"/>
  <c r="I189" i="5"/>
  <c r="I718" i="2"/>
  <c r="K131" i="2"/>
  <c r="K17" i="5"/>
  <c r="K41" i="5"/>
  <c r="K136" i="2"/>
  <c r="I456" i="2"/>
  <c r="K729" i="2"/>
  <c r="I677" i="2"/>
  <c r="K182" i="5"/>
  <c r="K159" i="5"/>
  <c r="K547" i="2"/>
  <c r="K214" i="5"/>
  <c r="I447" i="2"/>
  <c r="I192" i="2"/>
  <c r="I171" i="5"/>
  <c r="I710" i="2"/>
  <c r="K221" i="2"/>
  <c r="K223" i="2"/>
  <c r="K120" i="5"/>
  <c r="I263" i="2"/>
  <c r="I187" i="5"/>
  <c r="K76" i="5"/>
  <c r="K391" i="2"/>
  <c r="K88" i="2"/>
  <c r="K129" i="2"/>
  <c r="K102" i="5"/>
  <c r="K517" i="2"/>
  <c r="K43" i="5"/>
  <c r="I34" i="5"/>
  <c r="K82" i="5"/>
  <c r="K624" i="2"/>
  <c r="I188" i="5"/>
  <c r="K35" i="5"/>
  <c r="I18" i="5"/>
  <c r="K188" i="5"/>
  <c r="I388" i="2"/>
  <c r="I527" i="2"/>
  <c r="I155" i="5"/>
  <c r="I249" i="2"/>
  <c r="K650" i="2"/>
  <c r="K245" i="2"/>
  <c r="K96" i="5"/>
  <c r="I383" i="2"/>
  <c r="I251" i="5"/>
  <c r="I171" i="2"/>
  <c r="K150" i="2"/>
  <c r="K299" i="2"/>
  <c r="I647" i="2"/>
  <c r="K114" i="5"/>
  <c r="I209" i="5"/>
  <c r="I519" i="2"/>
  <c r="K230" i="5"/>
  <c r="I107" i="5"/>
  <c r="I117" i="5"/>
  <c r="K114" i="2"/>
  <c r="K133" i="5"/>
  <c r="I381" i="2"/>
  <c r="K630" i="2"/>
  <c r="I371" i="2"/>
  <c r="I216" i="2"/>
  <c r="K28" i="5"/>
  <c r="I534" i="2"/>
  <c r="I520" i="2"/>
  <c r="K725" i="2"/>
  <c r="K262" i="2"/>
  <c r="I599" i="2"/>
  <c r="K477" i="2"/>
  <c r="I429" i="2"/>
  <c r="I232" i="5"/>
  <c r="K160" i="5"/>
  <c r="K130" i="2"/>
  <c r="I338" i="2"/>
  <c r="K86" i="5"/>
  <c r="I351" i="2"/>
  <c r="K124" i="5"/>
  <c r="K526" i="2"/>
  <c r="K357" i="2"/>
  <c r="K24" i="5"/>
  <c r="K164" i="2"/>
  <c r="K294" i="2"/>
  <c r="I175" i="5"/>
  <c r="I270" i="2"/>
  <c r="I208" i="2"/>
  <c r="K254" i="2"/>
  <c r="K362" i="2"/>
  <c r="K703" i="2"/>
  <c r="K125" i="5"/>
  <c r="K59" i="5"/>
  <c r="K370" i="2"/>
  <c r="K247" i="2"/>
  <c r="I201" i="5"/>
  <c r="K90" i="2"/>
  <c r="K2" i="5"/>
  <c r="I368" i="2"/>
  <c r="I140" i="5"/>
  <c r="K17" i="2"/>
  <c r="I662" i="2"/>
  <c r="I233" i="5"/>
  <c r="I158" i="2"/>
  <c r="I505" i="2"/>
  <c r="I387" i="2"/>
  <c r="I380" i="2"/>
  <c r="K50" i="2"/>
  <c r="I166" i="5"/>
  <c r="K163" i="5"/>
  <c r="K260" i="2"/>
  <c r="K305" i="2"/>
  <c r="I363" i="2"/>
  <c r="I530" i="2"/>
  <c r="K487" i="2"/>
  <c r="K78" i="5"/>
  <c r="I118" i="5"/>
  <c r="I594" i="2"/>
  <c r="K176" i="2"/>
  <c r="K8" i="2"/>
  <c r="K736" i="2"/>
  <c r="K67" i="5"/>
  <c r="K537" i="2"/>
  <c r="K48" i="5"/>
  <c r="I353" i="2"/>
  <c r="I27" i="5"/>
  <c r="K123" i="5"/>
  <c r="I506" i="2"/>
  <c r="K286" i="2"/>
  <c r="K217" i="2"/>
  <c r="I707" i="2"/>
  <c r="I728" i="2"/>
  <c r="K126" i="2"/>
  <c r="K80" i="5"/>
  <c r="K8" i="5"/>
  <c r="I18" i="2"/>
  <c r="I703" i="2"/>
  <c r="K172" i="2"/>
  <c r="K505" i="2"/>
  <c r="I65" i="5"/>
  <c r="K541" i="2"/>
  <c r="K608" i="2"/>
  <c r="I575" i="2"/>
  <c r="K400" i="2"/>
  <c r="K10" i="5"/>
  <c r="K74" i="2"/>
  <c r="I68" i="5"/>
  <c r="K68" i="2"/>
  <c r="K209" i="2"/>
  <c r="I738" i="2"/>
  <c r="K65" i="5"/>
  <c r="K574" i="2"/>
  <c r="K432" i="2"/>
  <c r="K369" i="2"/>
  <c r="I723" i="2"/>
  <c r="K42" i="2"/>
  <c r="I466" i="2"/>
  <c r="I220" i="2"/>
  <c r="K134" i="5"/>
  <c r="I478" i="2"/>
  <c r="K166" i="2"/>
  <c r="I152" i="5"/>
  <c r="K12" i="5"/>
  <c r="K658" i="2"/>
  <c r="K121" i="2"/>
  <c r="I642" i="2"/>
  <c r="I566" i="2"/>
  <c r="K73" i="2"/>
  <c r="I221" i="5"/>
  <c r="I173" i="2"/>
  <c r="K719" i="2"/>
  <c r="I278" i="2"/>
  <c r="K226" i="2"/>
  <c r="I58" i="5"/>
  <c r="I411" i="2"/>
  <c r="I191" i="5"/>
  <c r="K347" i="2"/>
  <c r="K89" i="5"/>
  <c r="K47" i="5"/>
  <c r="I122" i="5"/>
  <c r="I578" i="2"/>
  <c r="K137" i="2"/>
  <c r="I702" i="2"/>
  <c r="I352" i="2"/>
  <c r="K309" i="2"/>
  <c r="K118" i="5"/>
  <c r="K197" i="2"/>
  <c r="K4" i="5"/>
  <c r="I282" i="2"/>
  <c r="K55" i="2"/>
  <c r="K106" i="5"/>
  <c r="I614" i="2"/>
  <c r="I601" i="2"/>
  <c r="I437" i="2"/>
  <c r="K177" i="5"/>
  <c r="K104" i="2"/>
  <c r="K122" i="2"/>
  <c r="K6" i="5"/>
  <c r="K31" i="5"/>
  <c r="K285" i="2"/>
  <c r="I217" i="2"/>
  <c r="K297" i="2"/>
  <c r="K42" i="5"/>
  <c r="I85" i="2"/>
  <c r="K128" i="5"/>
  <c r="I579" i="2"/>
  <c r="I178" i="5"/>
  <c r="I264" i="2"/>
  <c r="K83" i="2"/>
  <c r="K106" i="2"/>
  <c r="K697" i="2"/>
  <c r="K683" i="2"/>
  <c r="K27" i="5"/>
  <c r="K506" i="2"/>
  <c r="I518" i="2"/>
  <c r="I693" i="2"/>
  <c r="I10" i="2"/>
  <c r="I144" i="2"/>
  <c r="K104" i="5"/>
  <c r="K463" i="2"/>
  <c r="I56" i="5"/>
  <c r="I81" i="5"/>
  <c r="I136" i="2"/>
  <c r="K70" i="5"/>
  <c r="K135" i="5"/>
  <c r="I694" i="2"/>
  <c r="I711" i="2"/>
  <c r="I180" i="5"/>
  <c r="I33" i="2"/>
  <c r="I473" i="2"/>
  <c r="I59" i="5"/>
  <c r="I220" i="5"/>
  <c r="I491" i="2"/>
  <c r="K191" i="2"/>
  <c r="I683" i="2"/>
  <c r="K79" i="5"/>
  <c r="I567" i="2"/>
  <c r="K209" i="5"/>
  <c r="K495" i="2"/>
  <c r="K71" i="5"/>
  <c r="K480" i="2"/>
  <c r="I355" i="2"/>
  <c r="I162" i="2"/>
  <c r="K62" i="2"/>
  <c r="I179" i="5"/>
  <c r="K22" i="5"/>
  <c r="K140" i="2"/>
  <c r="K322" i="2"/>
  <c r="I106" i="5"/>
  <c r="K737" i="2"/>
  <c r="K248" i="2"/>
  <c r="I40" i="2"/>
  <c r="K165" i="2"/>
  <c r="I515" i="2"/>
  <c r="K183" i="2"/>
  <c r="K60" i="2"/>
  <c r="K40" i="5"/>
  <c r="I30" i="2"/>
  <c r="I457" i="2"/>
  <c r="K634" i="2"/>
  <c r="K499" i="2"/>
  <c r="K179" i="2"/>
  <c r="I254" i="2"/>
  <c r="I210" i="2"/>
  <c r="K33" i="5"/>
  <c r="K433" i="2"/>
  <c r="K724" i="2"/>
  <c r="I539" i="2"/>
  <c r="K298" i="2"/>
  <c r="I26" i="5"/>
  <c r="K130" i="5"/>
  <c r="I60" i="5"/>
  <c r="I563" i="2"/>
  <c r="I724" i="2"/>
  <c r="I714" i="2"/>
  <c r="I6" i="2"/>
  <c r="I644" i="2"/>
  <c r="K52" i="2"/>
  <c r="I129" i="5"/>
  <c r="I43" i="5"/>
  <c r="I240" i="2"/>
  <c r="I77" i="5"/>
  <c r="I11" i="5"/>
  <c r="K701" i="2"/>
  <c r="K459" i="2"/>
  <c r="K181" i="2"/>
  <c r="I475" i="2"/>
  <c r="K625" i="2"/>
  <c r="K37" i="5"/>
  <c r="K64" i="5"/>
  <c r="I251" i="2"/>
  <c r="K57" i="2"/>
  <c r="K338" i="2"/>
  <c r="I747" i="2"/>
  <c r="K740" i="2"/>
  <c r="K267" i="2"/>
  <c r="K83" i="5"/>
  <c r="K29" i="5"/>
  <c r="I564" i="2"/>
  <c r="I615" i="2"/>
  <c r="K48" i="2"/>
  <c r="K242" i="2"/>
  <c r="K218" i="2"/>
  <c r="I306" i="2"/>
  <c r="I16" i="2"/>
  <c r="K580" i="2"/>
  <c r="K210" i="2"/>
  <c r="K100" i="5"/>
  <c r="K46" i="5"/>
  <c r="K101" i="2"/>
  <c r="K291" i="2"/>
  <c r="I394" i="2"/>
  <c r="I513" i="2"/>
  <c r="K65" i="2"/>
  <c r="K63" i="5"/>
  <c r="I76" i="5"/>
  <c r="K94" i="2"/>
  <c r="I218" i="2"/>
  <c r="K82" i="2"/>
  <c r="I157" i="5"/>
  <c r="K491" i="2"/>
  <c r="I54" i="5"/>
  <c r="K51" i="2"/>
  <c r="I181" i="2"/>
  <c r="I131" i="5"/>
  <c r="K26" i="5"/>
  <c r="K134" i="2"/>
  <c r="K235" i="5"/>
  <c r="K53" i="2"/>
  <c r="K160" i="2"/>
  <c r="K741" i="2"/>
  <c r="K201" i="5"/>
  <c r="I103" i="5"/>
  <c r="K149" i="2"/>
  <c r="K199" i="2"/>
  <c r="I110" i="5"/>
  <c r="K7" i="2"/>
  <c r="I114" i="5"/>
  <c r="I492" i="2"/>
  <c r="I205" i="5"/>
  <c r="I120" i="5"/>
  <c r="K401" i="2"/>
  <c r="I490" i="2"/>
  <c r="K11" i="5"/>
  <c r="K749" i="2"/>
  <c r="I299" i="2"/>
  <c r="I28" i="5"/>
  <c r="I111" i="5"/>
  <c r="I227" i="2"/>
  <c r="I80" i="5"/>
  <c r="I95" i="5"/>
  <c r="I73" i="5"/>
  <c r="K202" i="2"/>
  <c r="K31" i="2"/>
  <c r="I30" i="5"/>
  <c r="I103" i="2"/>
  <c r="K107" i="2"/>
  <c r="I122" i="2"/>
  <c r="K36" i="2"/>
  <c r="K119" i="5"/>
  <c r="I746" i="2"/>
  <c r="I691" i="2"/>
  <c r="I417" i="2"/>
  <c r="I49" i="5"/>
  <c r="I9" i="5"/>
  <c r="I659" i="2"/>
  <c r="I145" i="5"/>
  <c r="I224" i="2"/>
  <c r="K207" i="2"/>
  <c r="I102" i="5"/>
  <c r="K519" i="2"/>
  <c r="I52" i="2"/>
  <c r="I743" i="2"/>
  <c r="I750" i="2"/>
  <c r="K117" i="5"/>
  <c r="K132" i="5"/>
  <c r="I673" i="2"/>
  <c r="I119" i="5"/>
  <c r="I273" i="2"/>
  <c r="I145" i="2"/>
  <c r="I87" i="5"/>
  <c r="K23" i="5"/>
  <c r="I526" i="2"/>
  <c r="I507" i="2"/>
  <c r="I36" i="5"/>
  <c r="K240" i="2"/>
  <c r="I62" i="2"/>
  <c r="K76" i="2"/>
  <c r="K41" i="2"/>
  <c r="K255" i="2"/>
  <c r="K567" i="2"/>
  <c r="I244" i="5"/>
  <c r="I230" i="5"/>
  <c r="K87" i="5"/>
  <c r="K304" i="2"/>
  <c r="I167" i="2"/>
  <c r="K146" i="5"/>
  <c r="K44" i="5"/>
  <c r="I85" i="5"/>
  <c r="I184" i="2"/>
  <c r="I598" i="2"/>
  <c r="I720" i="2"/>
  <c r="K60" i="5"/>
  <c r="K469" i="2"/>
  <c r="K92" i="2"/>
  <c r="K710" i="2"/>
  <c r="K117" i="2"/>
  <c r="I449" i="2"/>
  <c r="I177" i="5"/>
  <c r="I734" i="2"/>
  <c r="I136" i="5"/>
  <c r="K233" i="2"/>
  <c r="K734" i="2"/>
  <c r="K579" i="2"/>
  <c r="I248" i="5"/>
  <c r="K180" i="2"/>
  <c r="K527" i="2"/>
  <c r="I198" i="2"/>
  <c r="K270" i="2"/>
  <c r="I213" i="2"/>
  <c r="I375" i="2"/>
  <c r="K213" i="2"/>
  <c r="K691" i="2"/>
  <c r="K92" i="5"/>
  <c r="I183" i="5"/>
  <c r="I730" i="2"/>
  <c r="I92" i="2"/>
  <c r="I51" i="2"/>
  <c r="I418" i="2"/>
  <c r="I55" i="2"/>
  <c r="K452" i="2"/>
  <c r="I141" i="5"/>
  <c r="I76" i="2"/>
  <c r="K37" i="2"/>
  <c r="I558" i="2"/>
  <c r="I156" i="2"/>
  <c r="I176" i="5"/>
  <c r="K127" i="5"/>
  <c r="I238" i="5"/>
  <c r="K32" i="5"/>
  <c r="I196" i="2"/>
  <c r="I23" i="2"/>
  <c r="I75" i="2"/>
  <c r="K68" i="5"/>
  <c r="I29" i="5"/>
  <c r="K33" i="2"/>
  <c r="K15" i="5"/>
  <c r="I733" i="2"/>
  <c r="K238" i="5"/>
  <c r="I61" i="2"/>
  <c r="K168" i="5"/>
  <c r="I165" i="5"/>
  <c r="I548" i="2"/>
  <c r="K16" i="5"/>
  <c r="I3" i="2"/>
  <c r="K94" i="5"/>
  <c r="I448" i="2"/>
  <c r="I117" i="2"/>
  <c r="I40" i="5"/>
  <c r="K512" i="2"/>
  <c r="K159" i="2"/>
  <c r="K95" i="5"/>
  <c r="I52" i="5"/>
  <c r="I47" i="2"/>
  <c r="K151" i="2"/>
  <c r="K206" i="5"/>
  <c r="K215" i="5"/>
  <c r="I559" i="2"/>
  <c r="K264" i="2"/>
  <c r="K259" i="2"/>
  <c r="K96" i="2"/>
  <c r="I23" i="5"/>
  <c r="I229" i="5"/>
  <c r="I135" i="5"/>
  <c r="I195" i="5"/>
  <c r="K14" i="5"/>
  <c r="I326" i="2"/>
  <c r="I147" i="5"/>
  <c r="I202" i="5"/>
  <c r="I56" i="2"/>
  <c r="K167" i="2"/>
  <c r="K388" i="2"/>
  <c r="K283" i="2"/>
  <c r="I116" i="2"/>
  <c r="K38" i="5"/>
  <c r="I38" i="5"/>
  <c r="I140" i="2"/>
  <c r="I109" i="2"/>
  <c r="I246" i="2"/>
  <c r="I96" i="5"/>
  <c r="I121" i="2"/>
  <c r="I298" i="2"/>
  <c r="K562" i="2"/>
  <c r="K680" i="2"/>
  <c r="I233" i="2"/>
  <c r="I719" i="2"/>
  <c r="I218" i="5"/>
  <c r="K121" i="5"/>
  <c r="I214" i="5"/>
  <c r="K77" i="5"/>
  <c r="I729" i="2"/>
  <c r="K203" i="2"/>
  <c r="K212" i="5"/>
  <c r="I185" i="2"/>
  <c r="K257" i="2"/>
  <c r="I9" i="2"/>
  <c r="I325" i="2"/>
  <c r="I34" i="2"/>
  <c r="I92" i="5"/>
  <c r="I51" i="5"/>
  <c r="I267" i="2"/>
  <c r="K30" i="2"/>
  <c r="K726" i="2"/>
  <c r="I132" i="5"/>
  <c r="I22" i="2"/>
  <c r="K50" i="5"/>
  <c r="K492" i="2"/>
  <c r="I512" i="2"/>
  <c r="K73" i="5"/>
  <c r="I86" i="2"/>
  <c r="I153" i="2"/>
  <c r="K180" i="5"/>
  <c r="I121" i="5"/>
  <c r="I146" i="2"/>
  <c r="K116" i="5"/>
  <c r="I735" i="2"/>
  <c r="I123" i="5"/>
  <c r="I72" i="5"/>
  <c r="I255" i="2"/>
  <c r="I740" i="2"/>
  <c r="I150" i="2"/>
  <c r="I166" i="2"/>
  <c r="K91" i="2"/>
  <c r="I77" i="2"/>
  <c r="I726" i="2"/>
  <c r="I495" i="2"/>
  <c r="I108" i="2"/>
  <c r="I241" i="5"/>
  <c r="I681" i="2"/>
  <c r="I99" i="5"/>
  <c r="K30" i="5"/>
  <c r="I19" i="5"/>
  <c r="I287" i="2"/>
  <c r="K193" i="2"/>
  <c r="I183" i="2"/>
  <c r="K69" i="5"/>
  <c r="I202" i="2"/>
  <c r="K188" i="2"/>
  <c r="I25" i="2"/>
  <c r="I46" i="5"/>
  <c r="K468" i="2"/>
  <c r="I286" i="2"/>
  <c r="K49" i="2"/>
  <c r="K279" i="2"/>
  <c r="I32" i="5"/>
  <c r="I33" i="5"/>
  <c r="I127" i="5"/>
  <c r="K110" i="2"/>
  <c r="I57" i="2"/>
  <c r="I339" i="2"/>
  <c r="I74" i="5"/>
  <c r="K144" i="2"/>
  <c r="K640" i="2"/>
  <c r="K554" i="2"/>
  <c r="I93" i="2"/>
  <c r="I400" i="2"/>
  <c r="I17" i="2"/>
  <c r="I88" i="5"/>
  <c r="I69" i="5"/>
  <c r="I21" i="5"/>
  <c r="I143" i="5"/>
  <c r="K91" i="5"/>
  <c r="I133" i="5"/>
  <c r="I163" i="5"/>
  <c r="I83" i="5"/>
  <c r="K164" i="5"/>
  <c r="I169" i="5"/>
  <c r="I234" i="5"/>
  <c r="I194" i="5"/>
  <c r="I204" i="5"/>
  <c r="I200" i="5"/>
  <c r="I104" i="5"/>
  <c r="K112" i="5"/>
  <c r="I93" i="5"/>
  <c r="I193" i="5"/>
  <c r="K143" i="5"/>
  <c r="K3" i="5"/>
  <c r="I37" i="5"/>
  <c r="I239" i="5"/>
  <c r="I116" i="5"/>
  <c r="I39" i="5"/>
  <c r="I35" i="5"/>
  <c r="K181" i="5"/>
  <c r="I41" i="5"/>
  <c r="I134" i="5"/>
  <c r="I228" i="5"/>
  <c r="I47" i="5"/>
  <c r="K153" i="5"/>
  <c r="I89" i="5"/>
  <c r="I20" i="5"/>
  <c r="K20" i="5"/>
  <c r="I167" i="5"/>
  <c r="I15" i="5"/>
  <c r="I91" i="5"/>
  <c r="K122" i="5"/>
  <c r="K185" i="5"/>
  <c r="K190" i="5"/>
  <c r="I219" i="5"/>
  <c r="I70" i="5"/>
  <c r="I174" i="5"/>
  <c r="I6" i="5"/>
  <c r="K236" i="5"/>
  <c r="K239" i="5"/>
  <c r="I97" i="5"/>
  <c r="I31" i="5"/>
  <c r="I3" i="5"/>
  <c r="K5" i="5"/>
  <c r="I172" i="5"/>
  <c r="K151" i="5"/>
  <c r="I158" i="5"/>
  <c r="I200" i="2"/>
  <c r="K105" i="2"/>
  <c r="K63" i="2"/>
  <c r="I344" i="2"/>
  <c r="K263" i="2"/>
  <c r="I237" i="2"/>
  <c r="I549" i="2"/>
  <c r="I134" i="2"/>
  <c r="I127" i="2"/>
  <c r="I32" i="2"/>
  <c r="I675" i="2"/>
  <c r="I269" i="2"/>
  <c r="I157" i="2"/>
  <c r="I580" i="2"/>
  <c r="I618" i="2"/>
  <c r="I528" i="2"/>
  <c r="K486" i="2"/>
  <c r="I177" i="2"/>
  <c r="K504" i="2"/>
  <c r="I737" i="2"/>
  <c r="I212" i="2"/>
  <c r="I468" i="2"/>
  <c r="K548" i="2"/>
  <c r="K278" i="2"/>
  <c r="I253" i="2"/>
  <c r="K284" i="2"/>
  <c r="K143" i="2"/>
  <c r="K189" i="2"/>
  <c r="I234" i="2"/>
  <c r="I261" i="2"/>
  <c r="K103" i="2"/>
  <c r="K100" i="2"/>
  <c r="K609" i="2"/>
  <c r="I119" i="2"/>
  <c r="K20" i="2"/>
  <c r="K234" i="2"/>
  <c r="I135" i="2"/>
  <c r="K414" i="2"/>
  <c r="K616" i="2"/>
  <c r="I84" i="2"/>
  <c r="I180" i="2"/>
  <c r="K569" i="2"/>
  <c r="K346" i="2"/>
  <c r="I657" i="2"/>
  <c r="K15" i="2"/>
  <c r="K274" i="2"/>
  <c r="I318" i="2"/>
  <c r="K81" i="2"/>
  <c r="I557" i="2"/>
  <c r="I199" i="2"/>
  <c r="I646" i="2"/>
  <c r="I488" i="2"/>
  <c r="I182" i="2"/>
  <c r="I362" i="2"/>
  <c r="I704" i="2"/>
  <c r="K271" i="2"/>
  <c r="I128" i="2"/>
  <c r="K577" i="2"/>
  <c r="K405" i="2"/>
  <c r="K444" i="2"/>
  <c r="I422" i="2"/>
  <c r="K711" i="2"/>
  <c r="I244" i="2"/>
  <c r="I149" i="2"/>
  <c r="I749" i="2"/>
  <c r="I302" i="2"/>
  <c r="I38" i="2"/>
  <c r="I514" i="2"/>
  <c r="K258" i="2"/>
  <c r="K47" i="2"/>
  <c r="I712" i="2"/>
  <c r="K178" i="2"/>
  <c r="K204" i="2"/>
  <c r="I301" i="2"/>
  <c r="I676" i="2"/>
  <c r="I138" i="2"/>
  <c r="K11" i="2"/>
  <c r="I159" i="2"/>
  <c r="K224" i="2"/>
  <c r="I219" i="2"/>
  <c r="I104" i="2"/>
  <c r="I439" i="2"/>
  <c r="K142" i="2"/>
  <c r="I7" i="2"/>
  <c r="I214" i="2"/>
  <c r="I570" i="2"/>
  <c r="I12" i="2"/>
  <c r="I589" i="2"/>
  <c r="I42" i="2"/>
  <c r="K156" i="2"/>
  <c r="I541" i="2"/>
  <c r="K546" i="2"/>
  <c r="I671" i="2"/>
  <c r="I395" i="2"/>
  <c r="I132" i="2"/>
  <c r="K148" i="2"/>
  <c r="K108" i="2"/>
  <c r="I20" i="2"/>
  <c r="I5" i="2"/>
  <c r="K44" i="2"/>
  <c r="I11" i="2"/>
  <c r="I66" i="2"/>
  <c r="I29" i="2"/>
  <c r="K85" i="2"/>
  <c r="I96" i="2"/>
  <c r="I470" i="2"/>
  <c r="I379" i="2"/>
  <c r="I223" i="2"/>
  <c r="I131" i="2"/>
  <c r="K374" i="2"/>
  <c r="I725" i="2"/>
  <c r="I709" i="2"/>
  <c r="I407" i="2"/>
  <c r="K350" i="2"/>
  <c r="I361" i="2"/>
  <c r="I391" i="2"/>
  <c r="K544" i="2"/>
  <c r="K648" i="2"/>
  <c r="K4" i="2"/>
  <c r="K301" i="2"/>
  <c r="K80" i="2"/>
  <c r="I48" i="5"/>
  <c r="I142" i="5"/>
  <c r="K158" i="5"/>
  <c r="I71" i="5"/>
  <c r="I12" i="5"/>
  <c r="I98" i="5"/>
  <c r="I24" i="5"/>
  <c r="I53" i="5"/>
  <c r="K204" i="5"/>
  <c r="K101" i="5"/>
  <c r="K113" i="5"/>
  <c r="I66" i="5"/>
  <c r="I216" i="5"/>
  <c r="I156" i="5"/>
  <c r="I128" i="5"/>
  <c r="I90" i="5"/>
  <c r="K166" i="5"/>
  <c r="I203" i="5"/>
  <c r="I5" i="5"/>
  <c r="I57" i="5"/>
  <c r="I215" i="5"/>
  <c r="I210" i="5"/>
  <c r="I196" i="5"/>
  <c r="I164" i="5"/>
  <c r="I84" i="5"/>
  <c r="I50" i="5"/>
  <c r="K184" i="5"/>
  <c r="I86" i="5"/>
  <c r="K58" i="5"/>
  <c r="I213" i="5"/>
  <c r="K237" i="5"/>
  <c r="I153" i="5"/>
  <c r="K45" i="5"/>
  <c r="I170" i="5"/>
  <c r="I181" i="5"/>
  <c r="I82" i="5"/>
  <c r="I78" i="5"/>
  <c r="I222" i="5"/>
  <c r="I173" i="5"/>
  <c r="K221" i="5"/>
  <c r="I113" i="5"/>
  <c r="I206" i="5"/>
  <c r="I63" i="5"/>
  <c r="K163" i="2"/>
  <c r="K561" i="2"/>
  <c r="I650" i="2"/>
  <c r="I370" i="2"/>
  <c r="I178" i="2"/>
  <c r="K404" i="2"/>
  <c r="K58" i="2"/>
  <c r="K330" i="2"/>
  <c r="I401" i="2"/>
  <c r="I276" i="2"/>
  <c r="I275" i="2"/>
  <c r="I496" i="2"/>
  <c r="I41" i="2"/>
  <c r="K123" i="2"/>
  <c r="I226" i="2"/>
  <c r="K227" i="2"/>
  <c r="I19" i="2"/>
  <c r="I266" i="2"/>
  <c r="I399" i="2"/>
  <c r="I485" i="2"/>
  <c r="I97" i="2"/>
  <c r="K95" i="2"/>
  <c r="I228" i="2"/>
  <c r="I252" i="2"/>
  <c r="I139" i="2"/>
  <c r="I168" i="2"/>
  <c r="I73" i="2"/>
  <c r="K59" i="2"/>
  <c r="I189" i="2"/>
  <c r="K252" i="2"/>
  <c r="I307" i="2"/>
  <c r="I692" i="2"/>
  <c r="K13" i="2"/>
  <c r="I205" i="2"/>
  <c r="I660" i="2"/>
  <c r="K295" i="2"/>
  <c r="I88" i="2"/>
  <c r="I190" i="2"/>
  <c r="I60" i="2"/>
  <c r="K704" i="2"/>
  <c r="I700" i="2"/>
  <c r="I595" i="2"/>
  <c r="I669" i="2"/>
  <c r="I179" i="2"/>
  <c r="K190" i="2"/>
  <c r="K39" i="2"/>
  <c r="I154" i="2"/>
  <c r="K244" i="2"/>
  <c r="K462" i="2"/>
  <c r="I13" i="2"/>
  <c r="K119" i="2"/>
  <c r="I452" i="2"/>
  <c r="I522" i="2"/>
  <c r="I329" i="2"/>
  <c r="I626" i="2"/>
  <c r="I300" i="2"/>
  <c r="K656" i="2"/>
  <c r="I440" i="2"/>
  <c r="I229" i="2"/>
  <c r="I245" i="2"/>
  <c r="I221" i="2"/>
  <c r="K79" i="2"/>
  <c r="I72" i="2"/>
  <c r="I283" i="2"/>
  <c r="K500" i="2"/>
  <c r="I476" i="2"/>
  <c r="I569" i="2"/>
  <c r="I259" i="2"/>
  <c r="I172" i="2"/>
  <c r="K99" i="2"/>
  <c r="K61" i="2"/>
  <c r="I257" i="2"/>
  <c r="I152" i="2"/>
  <c r="I248" i="2"/>
  <c r="K102" i="2"/>
  <c r="K424" i="2"/>
  <c r="I337" i="2"/>
  <c r="I242" i="2"/>
  <c r="I402" i="2"/>
  <c r="I232" i="2"/>
  <c r="I165" i="2"/>
  <c r="I63" i="2"/>
  <c r="I611" i="2"/>
  <c r="I481" i="2"/>
  <c r="I28" i="2"/>
  <c r="K208" i="2"/>
  <c r="I143" i="2"/>
  <c r="I296" i="2"/>
  <c r="I279" i="2"/>
  <c r="I582" i="2"/>
  <c r="K40" i="2"/>
  <c r="K292" i="2"/>
  <c r="I94" i="2"/>
  <c r="I389" i="2"/>
  <c r="I197" i="2"/>
  <c r="K302" i="2"/>
  <c r="I68" i="2"/>
  <c r="I107" i="2"/>
  <c r="K97" i="2"/>
  <c r="I44" i="2"/>
  <c r="I201" i="2"/>
  <c r="I432" i="2"/>
  <c r="I639" i="2"/>
  <c r="I215" i="2"/>
  <c r="I209" i="2"/>
  <c r="I482" i="2"/>
  <c r="I612" i="2"/>
  <c r="I455" i="2"/>
  <c r="I82" i="2"/>
  <c r="I288" i="2"/>
  <c r="I4" i="2"/>
  <c r="I274" i="2"/>
  <c r="K273" i="2"/>
  <c r="I412" i="2"/>
  <c r="I272" i="2"/>
  <c r="I120" i="2"/>
  <c r="K423" i="2"/>
  <c r="I203" i="2"/>
  <c r="I164" i="2"/>
  <c r="I590" i="2"/>
  <c r="I67" i="2"/>
  <c r="I333" i="2"/>
  <c r="I319" i="2"/>
  <c r="I480" i="2"/>
  <c r="K364" i="2"/>
  <c r="I265" i="2"/>
  <c r="K239" i="2"/>
  <c r="I124" i="2"/>
  <c r="I628" i="2"/>
  <c r="I118" i="2"/>
  <c r="I26" i="2"/>
  <c r="I14" i="2"/>
  <c r="K29" i="2"/>
  <c r="I151" i="2"/>
  <c r="K77" i="2"/>
  <c r="K493" i="2"/>
  <c r="I110" i="2"/>
  <c r="K109" i="2"/>
  <c r="I176" i="2"/>
  <c r="I36" i="2"/>
  <c r="I533" i="2"/>
  <c r="I620" i="2"/>
  <c r="I89" i="2"/>
  <c r="K276" i="2"/>
  <c r="I497" i="2"/>
  <c r="K521" i="2"/>
  <c r="K470" i="2"/>
  <c r="K354" i="2"/>
  <c r="I95" i="2"/>
  <c r="I90" i="2"/>
  <c r="I31" i="2"/>
  <c r="I469" i="2"/>
  <c r="I222" i="2"/>
  <c r="K139" i="2"/>
  <c r="I701" i="2"/>
  <c r="I285" i="2"/>
  <c r="I741" i="2"/>
  <c r="I311" i="2"/>
  <c r="I102" i="2"/>
  <c r="I191" i="2"/>
  <c r="I445" i="2"/>
  <c r="I633" i="2"/>
  <c r="I81" i="2"/>
  <c r="I91" i="2"/>
  <c r="I587" i="2"/>
  <c r="K429" i="2"/>
  <c r="I661" i="2"/>
  <c r="I688" i="2"/>
  <c r="I335" i="2"/>
  <c r="K289" i="2"/>
  <c r="K593" i="2"/>
  <c r="K632" i="2"/>
  <c r="I148" i="2"/>
  <c r="K376" i="2"/>
  <c r="I446" i="2"/>
  <c r="I684" i="2"/>
  <c r="I277" i="2"/>
  <c r="I324" i="2"/>
  <c r="I243" i="2"/>
  <c r="I521" i="2"/>
  <c r="I698" i="2"/>
  <c r="I562" i="2"/>
  <c r="K34" i="2"/>
  <c r="I194" i="2"/>
  <c r="I50" i="2"/>
  <c r="I238" i="2"/>
  <c r="I35" i="2"/>
  <c r="I206" i="2"/>
  <c r="I630" i="2"/>
  <c r="I43" i="2"/>
  <c r="I59" i="2"/>
  <c r="I115" i="2"/>
  <c r="I74" i="2"/>
  <c r="I292" i="2"/>
  <c r="K21" i="2"/>
  <c r="I289" i="2"/>
  <c r="I280" i="2"/>
  <c r="I653" i="2"/>
  <c r="K603" i="2"/>
  <c r="I21" i="2"/>
  <c r="I303" i="2"/>
  <c r="I268" i="2"/>
  <c r="I58" i="2"/>
  <c r="I247" i="2"/>
  <c r="I284" i="2"/>
  <c r="I489" i="2"/>
  <c r="I409" i="2"/>
  <c r="I365" i="2"/>
  <c r="K494" i="2"/>
  <c r="K714" i="2"/>
  <c r="K698" i="2"/>
  <c r="I346" i="2"/>
  <c r="I328" i="2"/>
  <c r="K185" i="2"/>
  <c r="I716" i="2"/>
  <c r="I622" i="2"/>
  <c r="I123" i="2"/>
  <c r="I241" i="2"/>
  <c r="I256" i="2"/>
  <c r="I715" i="2"/>
  <c r="I458" i="2"/>
  <c r="K89" i="2"/>
  <c r="K530" i="2"/>
  <c r="I504" i="2"/>
  <c r="I373" i="2"/>
  <c r="I331" i="2"/>
  <c r="I170" i="2"/>
  <c r="K28" i="2"/>
  <c r="I174" i="2"/>
  <c r="K481" i="2"/>
  <c r="I83" i="2"/>
  <c r="I295" i="2"/>
  <c r="I547" i="2"/>
  <c r="K296" i="2"/>
  <c r="I354" i="2"/>
  <c r="I260" i="2"/>
  <c r="I114" i="2"/>
  <c r="I262" i="2"/>
  <c r="K446" i="2"/>
  <c r="K293" i="2"/>
  <c r="I322" i="2"/>
  <c r="I648" i="2"/>
  <c r="I130" i="2"/>
  <c r="I435" i="2"/>
  <c r="I540" i="2"/>
  <c r="I742" i="2"/>
  <c r="I591" i="2"/>
  <c r="I64" i="2"/>
  <c r="I305" i="2"/>
  <c r="I163" i="2"/>
  <c r="K168" i="2"/>
  <c r="I608" i="2"/>
  <c r="K570" i="2"/>
  <c r="I546" i="2"/>
  <c r="I627" i="2"/>
  <c r="I414" i="2"/>
  <c r="I161" i="2"/>
  <c r="I441" i="2"/>
  <c r="I600" i="2"/>
  <c r="I571" i="2"/>
  <c r="I672" i="2"/>
  <c r="I271" i="2"/>
  <c r="I609" i="2"/>
  <c r="I15" i="2"/>
  <c r="I350" i="2"/>
  <c r="I602" i="2"/>
  <c r="K591" i="2"/>
  <c r="K540" i="2"/>
  <c r="I722" i="2"/>
  <c r="K538" i="2"/>
  <c r="K174" i="2"/>
  <c r="I551" i="2"/>
  <c r="I148" i="5"/>
  <c r="I101" i="5"/>
  <c r="I100" i="5"/>
  <c r="I24" i="2"/>
  <c r="I186" i="2"/>
  <c r="I160" i="2"/>
  <c r="I169" i="2"/>
  <c r="I408" i="2"/>
  <c r="I393" i="2"/>
  <c r="K618" i="2"/>
  <c r="K340" i="2"/>
  <c r="I472" i="2"/>
  <c r="I516" i="2"/>
  <c r="I374" i="2"/>
  <c r="I552" i="2"/>
  <c r="K316" i="2"/>
  <c r="K435" i="2"/>
  <c r="K450" i="2"/>
  <c r="I436" i="2"/>
  <c r="K516" i="2"/>
  <c r="K386" i="2"/>
  <c r="I500" i="2"/>
  <c r="I531" i="2"/>
  <c r="K329" i="2"/>
  <c r="I386" i="2"/>
  <c r="K626" i="2"/>
  <c r="I592" i="2"/>
  <c r="I327" i="2"/>
  <c r="I453" i="2"/>
  <c r="I454" i="2"/>
  <c r="K218" i="5"/>
  <c r="K150" i="5"/>
  <c r="K145" i="5"/>
  <c r="K709" i="2"/>
  <c r="I226" i="5"/>
  <c r="I225" i="5"/>
  <c r="K192" i="5"/>
  <c r="I699" i="2"/>
  <c r="I159" i="5"/>
  <c r="I237" i="5"/>
  <c r="I236" i="5"/>
  <c r="K231" i="5"/>
  <c r="I146" i="5"/>
  <c r="K216" i="5"/>
  <c r="K172" i="5"/>
  <c r="I748" i="2"/>
  <c r="K234" i="5"/>
  <c r="I160" i="5"/>
  <c r="I249" i="5"/>
  <c r="I250" i="5"/>
  <c r="K507" i="2"/>
  <c r="I713" i="2"/>
  <c r="I142" i="2"/>
  <c r="I207" i="2"/>
  <c r="K229" i="2"/>
  <c r="I538" i="2"/>
  <c r="I629" i="2"/>
  <c r="I450" i="2"/>
  <c r="K629" i="2"/>
  <c r="I357" i="2"/>
  <c r="I483" i="2"/>
  <c r="I405" i="2"/>
  <c r="I658" i="2"/>
  <c r="K169" i="2"/>
  <c r="I330" i="2"/>
  <c r="I168" i="5"/>
  <c r="I192" i="5"/>
  <c r="K156" i="5"/>
  <c r="K732" i="2"/>
  <c r="I227" i="5"/>
  <c r="I197" i="5"/>
  <c r="I732" i="2"/>
  <c r="I182" i="5"/>
  <c r="I705" i="2"/>
  <c r="I423" i="2"/>
  <c r="I637" i="2"/>
  <c r="I638" i="2"/>
  <c r="K712" i="2"/>
  <c r="I133" i="2"/>
  <c r="K23" i="2"/>
  <c r="I27" i="2"/>
  <c r="K141" i="2"/>
  <c r="K126" i="5"/>
  <c r="I477" i="2"/>
  <c r="I462" i="2"/>
  <c r="K628" i="2"/>
  <c r="I443" i="2"/>
  <c r="I385" i="2"/>
  <c r="I427" i="2"/>
  <c r="I403" i="2"/>
  <c r="I420" i="2"/>
  <c r="K397" i="2"/>
  <c r="I467" i="2"/>
  <c r="I603" i="2"/>
  <c r="K555" i="2"/>
  <c r="K523" i="2"/>
  <c r="K54" i="2"/>
  <c r="I556" i="2"/>
  <c r="I686" i="2"/>
  <c r="I685" i="2"/>
  <c r="I137" i="5"/>
  <c r="I138" i="5"/>
  <c r="K224" i="5"/>
  <c r="I162" i="5"/>
  <c r="I161" i="5"/>
  <c r="K227" i="5"/>
  <c r="K148" i="5"/>
  <c r="K243" i="5"/>
  <c r="I10" i="5"/>
  <c r="I64" i="5"/>
  <c r="I187" i="2"/>
  <c r="I230" i="2"/>
  <c r="I424" i="2"/>
  <c r="K358" i="2"/>
  <c r="I463" i="2"/>
  <c r="K438" i="2"/>
  <c r="I565" i="2"/>
  <c r="I69" i="2"/>
  <c r="K133" i="2"/>
  <c r="K599" i="2"/>
  <c r="K644" i="2"/>
  <c r="K588" i="2"/>
  <c r="I49" i="2"/>
  <c r="K336" i="2"/>
  <c r="K595" i="2"/>
  <c r="I231" i="5"/>
  <c r="K748" i="2"/>
  <c r="K248" i="5"/>
  <c r="K722" i="2"/>
  <c r="I243" i="5"/>
  <c r="I242" i="5"/>
  <c r="I185" i="5"/>
  <c r="I184" i="5"/>
  <c r="I246" i="5"/>
  <c r="K169" i="5"/>
  <c r="I731" i="2"/>
  <c r="K245" i="5"/>
  <c r="K167" i="5"/>
  <c r="K747" i="2"/>
  <c r="K590" i="2"/>
  <c r="I666" i="2"/>
  <c r="I665" i="2"/>
  <c r="K684" i="2"/>
  <c r="I8" i="2"/>
  <c r="I79" i="2"/>
  <c r="K132" i="2"/>
  <c r="I45" i="2"/>
  <c r="I137" i="2"/>
  <c r="I312" i="2"/>
  <c r="K324" i="2"/>
  <c r="K532" i="2"/>
  <c r="I359" i="2"/>
  <c r="K398" i="2"/>
  <c r="K639" i="2"/>
  <c r="I577" i="2"/>
  <c r="I536" i="2"/>
  <c r="I585" i="2"/>
  <c r="I588" i="2"/>
  <c r="I652" i="2"/>
  <c r="I438" i="2"/>
  <c r="I581" i="2"/>
  <c r="K174" i="5"/>
  <c r="I247" i="5"/>
  <c r="K233" i="5"/>
  <c r="K161" i="5"/>
  <c r="I150" i="5"/>
  <c r="K731" i="2"/>
  <c r="K142" i="5"/>
  <c r="I217" i="5"/>
  <c r="I235" i="5"/>
  <c r="I211" i="5"/>
  <c r="I212" i="5"/>
  <c r="I98" i="2"/>
  <c r="I459" i="2"/>
  <c r="I316" i="2"/>
  <c r="I313" i="2"/>
  <c r="I16" i="5"/>
  <c r="I471" i="2"/>
  <c r="I460" i="2"/>
  <c r="I397" i="2"/>
  <c r="K430" i="2"/>
  <c r="K402" i="2"/>
  <c r="I649" i="2"/>
  <c r="K649" i="2"/>
  <c r="I207" i="5"/>
  <c r="I154" i="5"/>
  <c r="I240" i="5"/>
  <c r="N220" i="5"/>
  <c r="I342" i="2"/>
  <c r="I106" i="2"/>
  <c r="I195" i="2"/>
  <c r="I48" i="2"/>
  <c r="I555" i="2"/>
  <c r="I461" i="2"/>
  <c r="K420" i="2"/>
  <c r="K440" i="2"/>
  <c r="K427" i="2"/>
  <c r="I604" i="2"/>
  <c r="I605" i="2"/>
  <c r="K621" i="2"/>
  <c r="K471" i="2"/>
  <c r="K522" i="2"/>
  <c r="I621" i="2"/>
  <c r="I366" i="2"/>
  <c r="I367" i="2"/>
  <c r="K645" i="2"/>
  <c r="I396" i="2"/>
  <c r="K508" i="2"/>
  <c r="I572" i="2"/>
  <c r="K479" i="2"/>
  <c r="K460" i="2"/>
  <c r="I390" i="2"/>
  <c r="I553" i="2"/>
  <c r="I360" i="2"/>
  <c r="I554" i="2"/>
  <c r="I419" i="2"/>
  <c r="I586" i="2"/>
  <c r="I428" i="2"/>
  <c r="K312" i="2"/>
  <c r="K604" i="2"/>
  <c r="K461" i="2"/>
  <c r="I358" i="2"/>
  <c r="K205" i="2"/>
  <c r="I524" i="2"/>
  <c r="I499" i="2"/>
  <c r="I378" i="2"/>
  <c r="K434" i="2"/>
  <c r="I434" i="2"/>
  <c r="K552" i="2"/>
  <c r="K395" i="2"/>
  <c r="K536" i="2"/>
  <c r="K366" i="2"/>
  <c r="K484" i="2"/>
  <c r="K403" i="2"/>
  <c r="I404" i="2"/>
  <c r="K602" i="2"/>
  <c r="K385" i="2"/>
  <c r="K611" i="2"/>
  <c r="K453" i="2"/>
  <c r="I517" i="2"/>
  <c r="I568" i="2"/>
  <c r="K331" i="2"/>
  <c r="K581" i="2"/>
  <c r="I425" i="2"/>
  <c r="I503" i="2"/>
  <c r="K586" i="2"/>
  <c r="I525" i="2"/>
  <c r="I537" i="2"/>
  <c r="I451" i="2"/>
  <c r="K389" i="2"/>
  <c r="I651" i="2"/>
  <c r="K18" i="5"/>
  <c r="I640" i="2"/>
  <c r="I687" i="2"/>
  <c r="I332" i="2"/>
  <c r="K488" i="2"/>
  <c r="K421" i="2"/>
  <c r="I593" i="2"/>
  <c r="I349" i="2"/>
  <c r="I348" i="2"/>
  <c r="K568" i="2"/>
  <c r="I501" i="2"/>
  <c r="I502" i="2"/>
  <c r="I430" i="2"/>
  <c r="K319" i="2"/>
  <c r="I474" i="2"/>
  <c r="K415" i="2"/>
  <c r="K321" i="2"/>
  <c r="I70" i="2"/>
  <c r="I369" i="2"/>
  <c r="I345" i="2"/>
  <c r="I384" i="2"/>
  <c r="I314" i="2"/>
  <c r="I624" i="2"/>
  <c r="I623" i="2"/>
  <c r="I576" i="2"/>
  <c r="I356" i="2"/>
  <c r="K195" i="2"/>
  <c r="I17" i="5"/>
  <c r="I317" i="2"/>
  <c r="I511" i="2"/>
  <c r="I523" i="2"/>
  <c r="K515" i="2"/>
  <c r="K451" i="2"/>
  <c r="K687" i="2"/>
  <c r="K524" i="2"/>
  <c r="K660" i="2"/>
  <c r="K378" i="2"/>
  <c r="K118" i="2"/>
  <c r="K384" i="2"/>
  <c r="K497" i="2"/>
  <c r="K422" i="2"/>
  <c r="K246" i="2"/>
  <c r="K332" i="2"/>
  <c r="I421" i="2"/>
  <c r="K619" i="2"/>
  <c r="K412" i="2"/>
  <c r="K348" i="2"/>
  <c r="K489" i="2"/>
  <c r="K182" i="2"/>
  <c r="K413" i="2"/>
  <c r="K631" i="2"/>
  <c r="K261" i="2"/>
  <c r="K528" i="2"/>
  <c r="K473" i="2"/>
  <c r="K458" i="2"/>
  <c r="I529" i="2"/>
  <c r="I336" i="2"/>
  <c r="I376" i="2"/>
  <c r="I641" i="2"/>
  <c r="I484" i="2"/>
  <c r="I7" i="5"/>
  <c r="I498" i="2"/>
  <c r="K498" i="2"/>
  <c r="K605" i="2"/>
  <c r="I560" i="2"/>
  <c r="I635" i="2"/>
  <c r="I634" i="2"/>
  <c r="I619" i="2"/>
  <c r="I464" i="2"/>
  <c r="K503" i="2"/>
  <c r="I632" i="2"/>
  <c r="I631" i="2"/>
  <c r="I426" i="2"/>
  <c r="I487" i="2"/>
  <c r="I486" i="2"/>
  <c r="K84" i="5"/>
  <c r="I410" i="2"/>
  <c r="I377" i="2"/>
  <c r="K396" i="2"/>
  <c r="I465" i="2"/>
  <c r="I13" i="5"/>
  <c r="I442" i="2"/>
  <c r="I655" i="2"/>
  <c r="I656" i="2"/>
  <c r="K408" i="2"/>
  <c r="I532" i="2"/>
  <c r="I431" i="2"/>
  <c r="I340" i="2"/>
  <c r="I341" i="2"/>
  <c r="I406" i="2"/>
  <c r="K334" i="2"/>
  <c r="K612" i="2"/>
  <c r="I493" i="2"/>
  <c r="I494" i="2"/>
  <c r="I596" i="2"/>
  <c r="I545" i="2"/>
  <c r="I544" i="2"/>
  <c r="I584" i="2"/>
  <c r="K161" i="2"/>
  <c r="I413" i="2"/>
  <c r="I508" i="2"/>
  <c r="I509" i="2"/>
  <c r="I343" i="2"/>
  <c r="I479" i="2"/>
  <c r="I334" i="2"/>
  <c r="I94" i="5"/>
  <c r="K21" i="5"/>
  <c r="K57" i="5"/>
  <c r="I61" i="5"/>
  <c r="K431" i="2"/>
  <c r="K342" i="2"/>
  <c r="K442" i="2"/>
  <c r="K576" i="2"/>
  <c r="I321" i="2"/>
  <c r="I320" i="2"/>
  <c r="K313" i="2"/>
  <c r="I398" i="2"/>
  <c r="I613" i="2"/>
  <c r="K365" i="2"/>
  <c r="K69" i="2"/>
  <c r="K483" i="2"/>
  <c r="K356" i="2"/>
  <c r="K426" i="2"/>
  <c r="K531" i="2"/>
  <c r="I645" i="2"/>
  <c r="K464" i="2"/>
  <c r="K652" i="2"/>
  <c r="K345" i="2"/>
  <c r="K326" i="2"/>
  <c r="K623" i="2"/>
  <c r="K360" i="2"/>
  <c r="K467" i="2"/>
  <c r="I617" i="2"/>
  <c r="I616" i="2"/>
  <c r="K454" i="2"/>
  <c r="I444" i="2"/>
  <c r="K553" i="2"/>
  <c r="I415" i="2"/>
  <c r="I416" i="2"/>
  <c r="K107" i="5"/>
  <c r="K592" i="2"/>
  <c r="K390" i="2"/>
  <c r="I561" i="2"/>
  <c r="K339" i="2"/>
  <c r="I597" i="2"/>
  <c r="K597" i="2"/>
  <c r="N231" i="2"/>
  <c r="N94" i="2"/>
  <c r="N213" i="2"/>
  <c r="N211" i="2"/>
  <c r="N215" i="2"/>
  <c r="N111" i="2"/>
  <c r="N137" i="2"/>
  <c r="N8" i="2"/>
  <c r="N229" i="2"/>
  <c r="N307" i="2"/>
  <c r="N278" i="2"/>
  <c r="N191" i="2"/>
  <c r="N167" i="2"/>
  <c r="N290" i="2"/>
  <c r="N121" i="2"/>
  <c r="N164" i="2"/>
  <c r="N250" i="2"/>
  <c r="N277" i="2"/>
  <c r="N178" i="2"/>
  <c r="N130" i="2"/>
  <c r="N148" i="2"/>
  <c r="N286" i="2"/>
  <c r="N7" i="2"/>
  <c r="N33" i="2"/>
  <c r="N59" i="2"/>
  <c r="N230" i="2"/>
  <c r="N256" i="2"/>
  <c r="N264" i="2"/>
  <c r="N218" i="2"/>
  <c r="N239" i="2"/>
  <c r="N300" i="2"/>
  <c r="N109" i="2"/>
  <c r="N224" i="2"/>
  <c r="N4" i="2"/>
  <c r="N317" i="2"/>
  <c r="N325" i="2"/>
  <c r="N314" i="2"/>
  <c r="N322" i="2"/>
  <c r="N330" i="2"/>
  <c r="N338" i="2"/>
  <c r="N346" i="2"/>
  <c r="N354" i="2"/>
  <c r="N311" i="2"/>
  <c r="N319" i="2"/>
  <c r="N327" i="2"/>
  <c r="N316" i="2"/>
  <c r="N324" i="2"/>
  <c r="N332" i="2"/>
  <c r="N340" i="2"/>
  <c r="N348" i="2"/>
  <c r="N356" i="2"/>
  <c r="N364" i="2"/>
  <c r="N318" i="2"/>
  <c r="N320" i="2"/>
  <c r="N333" i="2"/>
  <c r="N336" i="2"/>
  <c r="N357" i="2"/>
  <c r="N313" i="2"/>
  <c r="N337" i="2"/>
  <c r="N351" i="2"/>
  <c r="N355" i="2"/>
  <c r="N331" i="2"/>
  <c r="N334" i="2"/>
  <c r="N345" i="2"/>
  <c r="N362" i="2"/>
  <c r="N371" i="2"/>
  <c r="N376" i="2"/>
  <c r="N384" i="2"/>
  <c r="N326" i="2"/>
  <c r="N339" i="2"/>
  <c r="N361" i="2"/>
  <c r="N375" i="2"/>
  <c r="N386" i="2"/>
  <c r="N388" i="2"/>
  <c r="N395" i="2"/>
  <c r="N403" i="2"/>
  <c r="N411" i="2"/>
  <c r="N419" i="2"/>
  <c r="N347" i="2"/>
  <c r="N363" i="2"/>
  <c r="N366" i="2"/>
  <c r="N373" i="2"/>
  <c r="N350" i="2"/>
  <c r="N315" i="2"/>
  <c r="N321" i="2"/>
  <c r="N323" i="2"/>
  <c r="N367" i="2"/>
  <c r="N378" i="2"/>
  <c r="N380" i="2"/>
  <c r="N389" i="2"/>
  <c r="N394" i="2"/>
  <c r="N358" i="2"/>
  <c r="N385" i="2"/>
  <c r="N387" i="2"/>
  <c r="N391" i="2"/>
  <c r="N399" i="2"/>
  <c r="N328" i="2"/>
  <c r="N329" i="2"/>
  <c r="N344" i="2"/>
  <c r="N353" i="2"/>
  <c r="N359" i="2"/>
  <c r="N365" i="2"/>
  <c r="N374" i="2"/>
  <c r="N383" i="2"/>
  <c r="N396" i="2"/>
  <c r="N404" i="2"/>
  <c r="N412" i="2"/>
  <c r="N420" i="2"/>
  <c r="N428" i="2"/>
  <c r="N436" i="2"/>
  <c r="N444" i="2"/>
  <c r="N379" i="2"/>
  <c r="N382" i="2"/>
  <c r="N393" i="2"/>
  <c r="N408" i="2"/>
  <c r="N437" i="2"/>
  <c r="N439" i="2"/>
  <c r="N452" i="2"/>
  <c r="N460" i="2"/>
  <c r="N468" i="2"/>
  <c r="N476" i="2"/>
  <c r="N377" i="2"/>
  <c r="N392" i="2"/>
  <c r="N397" i="2"/>
  <c r="N402" i="2"/>
  <c r="N415" i="2"/>
  <c r="N426" i="2"/>
  <c r="N435" i="2"/>
  <c r="N449" i="2"/>
  <c r="N335" i="2"/>
  <c r="N370" i="2"/>
  <c r="N381" i="2"/>
  <c r="N390" i="2"/>
  <c r="N409" i="2"/>
  <c r="N413" i="2"/>
  <c r="N422" i="2"/>
  <c r="N424" i="2"/>
  <c r="N433" i="2"/>
  <c r="N360" i="2"/>
  <c r="N398" i="2"/>
  <c r="N406" i="2"/>
  <c r="N416" i="2"/>
  <c r="N429" i="2"/>
  <c r="N431" i="2"/>
  <c r="N343" i="2"/>
  <c r="N372" i="2"/>
  <c r="N410" i="2"/>
  <c r="N427" i="2"/>
  <c r="N349" i="2"/>
  <c r="N352" i="2"/>
  <c r="N369" i="2"/>
  <c r="N400" i="2"/>
  <c r="N417" i="2"/>
  <c r="N425" i="2"/>
  <c r="N414" i="2"/>
  <c r="N423" i="2"/>
  <c r="N459" i="2"/>
  <c r="N470" i="2"/>
  <c r="N472" i="2"/>
  <c r="N438" i="2"/>
  <c r="N405" i="2"/>
  <c r="N418" i="2"/>
  <c r="N446" i="2"/>
  <c r="N453" i="2"/>
  <c r="N455" i="2"/>
  <c r="N466" i="2"/>
  <c r="N475" i="2"/>
  <c r="N482" i="2"/>
  <c r="N490" i="2"/>
  <c r="N421" i="2"/>
  <c r="N430" i="2"/>
  <c r="N434" i="2"/>
  <c r="N450" i="2"/>
  <c r="N462" i="2"/>
  <c r="N464" i="2"/>
  <c r="N407" i="2"/>
  <c r="N441" i="2"/>
  <c r="N442" i="2"/>
  <c r="N484" i="2"/>
  <c r="N486" i="2"/>
  <c r="N445" i="2"/>
  <c r="N461" i="2"/>
  <c r="N474" i="2"/>
  <c r="N448" i="2"/>
  <c r="N465" i="2"/>
  <c r="N478" i="2"/>
  <c r="N368" i="2"/>
  <c r="N432" i="2"/>
  <c r="N454" i="2"/>
  <c r="N458" i="2"/>
  <c r="N483" i="2"/>
  <c r="N485" i="2"/>
  <c r="N496" i="2"/>
  <c r="N498" i="2"/>
  <c r="N506" i="2"/>
  <c r="N514" i="2"/>
  <c r="N522" i="2"/>
  <c r="N341" i="2"/>
  <c r="N342" i="2"/>
  <c r="N440" i="2"/>
  <c r="N443" i="2"/>
  <c r="N457" i="2"/>
  <c r="N481" i="2"/>
  <c r="N401" i="2"/>
  <c r="N447" i="2"/>
  <c r="N451" i="2"/>
  <c r="N471" i="2"/>
  <c r="N479" i="2"/>
  <c r="N467" i="2"/>
  <c r="N491" i="2"/>
  <c r="N515" i="2"/>
  <c r="N517" i="2"/>
  <c r="N525" i="2"/>
  <c r="N533" i="2"/>
  <c r="N541" i="2"/>
  <c r="N549" i="2"/>
  <c r="N557" i="2"/>
  <c r="N473" i="2"/>
  <c r="N494" i="2"/>
  <c r="N504" i="2"/>
  <c r="N513" i="2"/>
  <c r="N530" i="2"/>
  <c r="N538" i="2"/>
  <c r="N546" i="2"/>
  <c r="N554" i="2"/>
  <c r="N562" i="2"/>
  <c r="N570" i="2"/>
  <c r="N578" i="2"/>
  <c r="N586" i="2"/>
  <c r="N594" i="2"/>
  <c r="N602" i="2"/>
  <c r="N610" i="2"/>
  <c r="N463" i="2"/>
  <c r="N500" i="2"/>
  <c r="N502" i="2"/>
  <c r="N511" i="2"/>
  <c r="N527" i="2"/>
  <c r="N535" i="2"/>
  <c r="N543" i="2"/>
  <c r="N551" i="2"/>
  <c r="N559" i="2"/>
  <c r="N567" i="2"/>
  <c r="N575" i="2"/>
  <c r="N469" i="2"/>
  <c r="N480" i="2"/>
  <c r="N487" i="2"/>
  <c r="N505" i="2"/>
  <c r="N516" i="2"/>
  <c r="N518" i="2"/>
  <c r="N529" i="2"/>
  <c r="N537" i="2"/>
  <c r="N545" i="2"/>
  <c r="N553" i="2"/>
  <c r="N561" i="2"/>
  <c r="N488" i="2"/>
  <c r="N503" i="2"/>
  <c r="N526" i="2"/>
  <c r="N534" i="2"/>
  <c r="N542" i="2"/>
  <c r="N550" i="2"/>
  <c r="N558" i="2"/>
  <c r="N566" i="2"/>
  <c r="N574" i="2"/>
  <c r="N582" i="2"/>
  <c r="N590" i="2"/>
  <c r="N312" i="2"/>
  <c r="N456" i="2"/>
  <c r="N497" i="2"/>
  <c r="N508" i="2"/>
  <c r="N510" i="2"/>
  <c r="N519" i="2"/>
  <c r="N528" i="2"/>
  <c r="N536" i="2"/>
  <c r="N544" i="2"/>
  <c r="N552" i="2"/>
  <c r="N477" i="2"/>
  <c r="N539" i="2"/>
  <c r="N548" i="2"/>
  <c r="N560" i="2"/>
  <c r="N569" i="2"/>
  <c r="N576" i="2"/>
  <c r="N583" i="2"/>
  <c r="N599" i="2"/>
  <c r="N493" i="2"/>
  <c r="N509" i="2"/>
  <c r="N512" i="2"/>
  <c r="N531" i="2"/>
  <c r="N540" i="2"/>
  <c r="N563" i="2"/>
  <c r="N587" i="2"/>
  <c r="N595" i="2"/>
  <c r="N597" i="2"/>
  <c r="N608" i="2"/>
  <c r="N492" i="2"/>
  <c r="N523" i="2"/>
  <c r="N532" i="2"/>
  <c r="N571" i="2"/>
  <c r="N577" i="2"/>
  <c r="N580" i="2"/>
  <c r="N593" i="2"/>
  <c r="N604" i="2"/>
  <c r="N606" i="2"/>
  <c r="N615" i="2"/>
  <c r="N617" i="2"/>
  <c r="N507" i="2"/>
  <c r="N521" i="2"/>
  <c r="N524" i="2"/>
  <c r="N584" i="2"/>
  <c r="N591" i="2"/>
  <c r="N501" i="2"/>
  <c r="N520" i="2"/>
  <c r="N564" i="2"/>
  <c r="N581" i="2"/>
  <c r="N600" i="2"/>
  <c r="N609" i="2"/>
  <c r="N619" i="2"/>
  <c r="N565" i="2"/>
  <c r="N589" i="2"/>
  <c r="N596" i="2"/>
  <c r="N605" i="2"/>
  <c r="N622" i="2"/>
  <c r="N630" i="2"/>
  <c r="N638" i="2"/>
  <c r="N646" i="2"/>
  <c r="N654" i="2"/>
  <c r="N662" i="2"/>
  <c r="N670" i="2"/>
  <c r="N678" i="2"/>
  <c r="N686" i="2"/>
  <c r="N694" i="2"/>
  <c r="N702" i="2"/>
  <c r="N710" i="2"/>
  <c r="N499" i="2"/>
  <c r="N568" i="2"/>
  <c r="N603" i="2"/>
  <c r="N611" i="2"/>
  <c r="N627" i="2"/>
  <c r="N635" i="2"/>
  <c r="N643" i="2"/>
  <c r="N651" i="2"/>
  <c r="N659" i="2"/>
  <c r="N667" i="2"/>
  <c r="N675" i="2"/>
  <c r="N683" i="2"/>
  <c r="N691" i="2"/>
  <c r="N555" i="2"/>
  <c r="N579" i="2"/>
  <c r="N616" i="2"/>
  <c r="N624" i="2"/>
  <c r="N632" i="2"/>
  <c r="N640" i="2"/>
  <c r="N648" i="2"/>
  <c r="N656" i="2"/>
  <c r="N664" i="2"/>
  <c r="N672" i="2"/>
  <c r="N495" i="2"/>
  <c r="N556" i="2"/>
  <c r="N572" i="2"/>
  <c r="N588" i="2"/>
  <c r="N601" i="2"/>
  <c r="N618" i="2"/>
  <c r="N621" i="2"/>
  <c r="N629" i="2"/>
  <c r="N637" i="2"/>
  <c r="N645" i="2"/>
  <c r="N653" i="2"/>
  <c r="N661" i="2"/>
  <c r="N489" i="2"/>
  <c r="N607" i="2"/>
  <c r="N612" i="2"/>
  <c r="N613" i="2"/>
  <c r="N614" i="2"/>
  <c r="N626" i="2"/>
  <c r="N634" i="2"/>
  <c r="N642" i="2"/>
  <c r="N650" i="2"/>
  <c r="N658" i="2"/>
  <c r="N666" i="2"/>
  <c r="N547" i="2"/>
  <c r="N585" i="2"/>
  <c r="N592" i="2"/>
  <c r="N623" i="2"/>
  <c r="N631" i="2"/>
  <c r="N639" i="2"/>
  <c r="N647" i="2"/>
  <c r="N625" i="2"/>
  <c r="N641" i="2"/>
  <c r="N660" i="2"/>
  <c r="N665" i="2"/>
  <c r="N673" i="2"/>
  <c r="N681" i="2"/>
  <c r="N685" i="2"/>
  <c r="N688" i="2"/>
  <c r="N695" i="2"/>
  <c r="N697" i="2"/>
  <c r="N708" i="2"/>
  <c r="N717" i="2"/>
  <c r="N722" i="2"/>
  <c r="N730" i="2"/>
  <c r="N738" i="2"/>
  <c r="N746" i="2"/>
  <c r="N727" i="2"/>
  <c r="N743" i="2"/>
  <c r="N598" i="2"/>
  <c r="N668" i="2"/>
  <c r="N674" i="2"/>
  <c r="N692" i="2"/>
  <c r="N704" i="2"/>
  <c r="N706" i="2"/>
  <c r="N715" i="2"/>
  <c r="N719" i="2"/>
  <c r="N735" i="2"/>
  <c r="N663" i="2"/>
  <c r="N736" i="2"/>
  <c r="N573" i="2"/>
  <c r="N628" i="2"/>
  <c r="N644" i="2"/>
  <c r="N669" i="2"/>
  <c r="N679" i="2"/>
  <c r="N682" i="2"/>
  <c r="N711" i="2"/>
  <c r="N713" i="2"/>
  <c r="N724" i="2"/>
  <c r="N732" i="2"/>
  <c r="N740" i="2"/>
  <c r="N748" i="2"/>
  <c r="N684" i="2"/>
  <c r="N714" i="2"/>
  <c r="N720" i="2"/>
  <c r="N620" i="2"/>
  <c r="N725" i="2"/>
  <c r="N741" i="2"/>
  <c r="N655" i="2"/>
  <c r="N676" i="2"/>
  <c r="N689" i="2"/>
  <c r="N693" i="2"/>
  <c r="N700" i="2"/>
  <c r="N709" i="2"/>
  <c r="N721" i="2"/>
  <c r="N729" i="2"/>
  <c r="N737" i="2"/>
  <c r="N745" i="2"/>
  <c r="N718" i="2"/>
  <c r="N734" i="2"/>
  <c r="N742" i="2"/>
  <c r="N750" i="2"/>
  <c r="N712" i="2"/>
  <c r="N699" i="2"/>
  <c r="N633" i="2"/>
  <c r="N649" i="2"/>
  <c r="N657" i="2"/>
  <c r="N671" i="2"/>
  <c r="N696" i="2"/>
  <c r="N698" i="2"/>
  <c r="N707" i="2"/>
  <c r="N726" i="2"/>
  <c r="N636" i="2"/>
  <c r="N701" i="2"/>
  <c r="N728" i="2"/>
  <c r="N677" i="2"/>
  <c r="N680" i="2"/>
  <c r="N687" i="2"/>
  <c r="N690" i="2"/>
  <c r="N703" i="2"/>
  <c r="N705" i="2"/>
  <c r="N716" i="2"/>
  <c r="N723" i="2"/>
  <c r="N731" i="2"/>
  <c r="N739" i="2"/>
  <c r="N747" i="2"/>
  <c r="N749" i="2"/>
  <c r="N652" i="2"/>
  <c r="N744" i="2"/>
  <c r="N733" i="2"/>
  <c r="N170" i="2"/>
  <c r="N79" i="2"/>
  <c r="N254" i="2"/>
  <c r="N14" i="2"/>
  <c r="N9" i="2"/>
  <c r="N60" i="2"/>
  <c r="N165" i="2"/>
  <c r="N243" i="2"/>
  <c r="N179" i="2"/>
  <c r="N63" i="2"/>
  <c r="N268" i="2"/>
  <c r="N58" i="2"/>
  <c r="N136" i="2"/>
  <c r="N20" i="2"/>
  <c r="N302" i="2"/>
  <c r="N31" i="2"/>
  <c r="N101" i="2"/>
  <c r="N118" i="2"/>
  <c r="N303" i="2"/>
  <c r="N175" i="2"/>
  <c r="N104" i="2"/>
  <c r="N107" i="2"/>
  <c r="N310" i="2"/>
  <c r="N238" i="2"/>
  <c r="N257" i="2"/>
  <c r="N295" i="2"/>
  <c r="N125" i="2"/>
  <c r="N185" i="2"/>
  <c r="N96" i="2"/>
  <c r="N204" i="2"/>
  <c r="N141" i="2"/>
  <c r="N289" i="2"/>
  <c r="N265" i="2"/>
  <c r="N183" i="2"/>
  <c r="N115" i="2"/>
  <c r="N46" i="2"/>
  <c r="N77" i="2"/>
  <c r="N171" i="2"/>
  <c r="N206" i="2"/>
  <c r="N271" i="2"/>
  <c r="N117" i="2"/>
  <c r="N260" i="2"/>
  <c r="N86" i="2"/>
  <c r="N210" i="2"/>
  <c r="N241" i="2"/>
  <c r="N113" i="2"/>
  <c r="N208" i="2"/>
  <c r="N80" i="2"/>
  <c r="N124" i="2"/>
  <c r="N75" i="2"/>
  <c r="N11" i="2"/>
  <c r="N248" i="2"/>
  <c r="N190" i="2"/>
  <c r="N154" i="2"/>
  <c r="N82" i="2"/>
  <c r="N13" i="2"/>
  <c r="N37" i="2"/>
  <c r="N90" i="2"/>
  <c r="N187" i="2"/>
  <c r="N263" i="2"/>
  <c r="N103" i="2"/>
  <c r="N244" i="2"/>
  <c r="N47" i="2"/>
  <c r="N198" i="2"/>
  <c r="N225" i="2"/>
  <c r="N97" i="2"/>
  <c r="N184" i="2"/>
  <c r="N48" i="2"/>
  <c r="N116" i="2"/>
  <c r="N203" i="2"/>
  <c r="N251" i="2"/>
  <c r="N221" i="2"/>
  <c r="N157" i="2"/>
  <c r="N119" i="2"/>
  <c r="N18" i="2"/>
  <c r="N275" i="2"/>
  <c r="N15" i="2"/>
  <c r="N69" i="2"/>
  <c r="N146" i="2"/>
  <c r="N237" i="2"/>
  <c r="N66" i="2"/>
  <c r="N234" i="2"/>
  <c r="N22" i="2"/>
  <c r="N173" i="2"/>
  <c r="N201" i="2"/>
  <c r="N65" i="2"/>
  <c r="N176" i="2"/>
  <c r="N40" i="2"/>
  <c r="N108" i="2"/>
  <c r="N135" i="2"/>
  <c r="N71" i="2"/>
  <c r="N226" i="2"/>
  <c r="N195" i="2"/>
  <c r="N93" i="2"/>
  <c r="N21" i="2"/>
  <c r="N299" i="2"/>
  <c r="N262" i="2"/>
  <c r="N309" i="2"/>
  <c r="N29" i="2"/>
  <c r="N85" i="2"/>
  <c r="N227" i="2"/>
  <c r="N39" i="2"/>
  <c r="N222" i="2"/>
  <c r="N298" i="2"/>
  <c r="N122" i="2"/>
  <c r="N193" i="2"/>
  <c r="N57" i="2"/>
  <c r="N168" i="2"/>
  <c r="N16" i="2"/>
  <c r="N76" i="2"/>
  <c r="N2" i="2"/>
  <c r="N253" i="2"/>
  <c r="N273" i="2"/>
  <c r="N133" i="2"/>
  <c r="N62" i="2"/>
  <c r="N26" i="2"/>
  <c r="N261" i="2"/>
  <c r="N207" i="2"/>
  <c r="N199" i="2"/>
  <c r="N245" i="2"/>
  <c r="N305" i="2"/>
  <c r="N23" i="2"/>
  <c r="N181" i="2"/>
  <c r="N308" i="2"/>
  <c r="N163" i="2"/>
  <c r="N282" i="2"/>
  <c r="N70" i="2"/>
  <c r="N153" i="2"/>
  <c r="N25" i="2"/>
  <c r="N120" i="2"/>
  <c r="N188" i="2"/>
  <c r="N44" i="2"/>
  <c r="I14" i="5"/>
  <c r="I62" i="5"/>
  <c r="I4" i="5"/>
  <c r="K61" i="5"/>
  <c r="I8" i="5"/>
  <c r="K7" i="5"/>
  <c r="I45" i="5"/>
  <c r="I44" i="5"/>
  <c r="I109" i="5"/>
  <c r="K81" i="5"/>
  <c r="I304" i="2"/>
  <c r="I126" i="2"/>
  <c r="I193" i="2"/>
  <c r="I297" i="2"/>
  <c r="I105" i="2"/>
  <c r="K303" i="2"/>
  <c r="I65" i="2"/>
  <c r="I236" i="2"/>
  <c r="I54" i="2"/>
  <c r="I125" i="2"/>
  <c r="I235" i="2"/>
  <c r="I53" i="2"/>
  <c r="I294" i="2"/>
  <c r="I39" i="2"/>
  <c r="I204" i="2"/>
  <c r="I141" i="2"/>
  <c r="I258" i="2"/>
  <c r="K225" i="2"/>
  <c r="K64" i="2"/>
  <c r="N102" i="2"/>
  <c r="N174" i="2"/>
  <c r="N291" i="2"/>
  <c r="N67" i="2"/>
  <c r="N162" i="2"/>
  <c r="N246" i="2"/>
  <c r="N304" i="2"/>
  <c r="N87" i="2"/>
  <c r="N182" i="2"/>
  <c r="N259" i="2"/>
  <c r="N301" i="2"/>
  <c r="N158" i="2"/>
  <c r="N296" i="2"/>
  <c r="N151" i="2"/>
  <c r="N280" i="2"/>
  <c r="N126" i="2"/>
  <c r="N287" i="2"/>
  <c r="N205" i="2"/>
  <c r="N91" i="2"/>
  <c r="N292" i="2"/>
  <c r="N212" i="2"/>
  <c r="N74" i="2"/>
  <c r="N274" i="2"/>
  <c r="N159" i="2"/>
  <c r="N19" i="2"/>
  <c r="N177" i="2"/>
  <c r="N89" i="2"/>
  <c r="N240" i="2"/>
  <c r="N160" i="2"/>
  <c r="N72" i="2"/>
  <c r="N180" i="2"/>
  <c r="N100" i="2"/>
  <c r="N12" i="2"/>
  <c r="K187" i="2"/>
  <c r="K71" i="2"/>
  <c r="I188" i="2"/>
  <c r="N297" i="2"/>
  <c r="N42" i="2"/>
  <c r="N272" i="2"/>
  <c r="N34" i="2"/>
  <c r="N127" i="2"/>
  <c r="N219" i="2"/>
  <c r="N285" i="2"/>
  <c r="N54" i="2"/>
  <c r="N149" i="2"/>
  <c r="N236" i="2"/>
  <c r="N288" i="2"/>
  <c r="N139" i="2"/>
  <c r="N283" i="2"/>
  <c r="N110" i="2"/>
  <c r="N267" i="2"/>
  <c r="N106" i="2"/>
  <c r="N279" i="2"/>
  <c r="N194" i="2"/>
  <c r="N78" i="2"/>
  <c r="N284" i="2"/>
  <c r="N189" i="2"/>
  <c r="N61" i="2"/>
  <c r="N258" i="2"/>
  <c r="N134" i="2"/>
  <c r="N6" i="2"/>
  <c r="N161" i="2"/>
  <c r="N73" i="2"/>
  <c r="N232" i="2"/>
  <c r="N144" i="2"/>
  <c r="N56" i="2"/>
  <c r="N172" i="2"/>
  <c r="N84" i="2"/>
  <c r="I225" i="2"/>
  <c r="I71" i="2"/>
  <c r="N5" i="2"/>
  <c r="N294" i="2"/>
  <c r="N38" i="2"/>
  <c r="N197" i="2"/>
  <c r="N269" i="2"/>
  <c r="N30" i="2"/>
  <c r="N123" i="2"/>
  <c r="N214" i="2"/>
  <c r="N281" i="2"/>
  <c r="N51" i="2"/>
  <c r="N143" i="2"/>
  <c r="N235" i="2"/>
  <c r="N55" i="2"/>
  <c r="N228" i="2"/>
  <c r="N50" i="2"/>
  <c r="N223" i="2"/>
  <c r="N43" i="2"/>
  <c r="N255" i="2"/>
  <c r="N142" i="2"/>
  <c r="N27" i="2"/>
  <c r="N252" i="2"/>
  <c r="N150" i="2"/>
  <c r="N10" i="2"/>
  <c r="N220" i="2"/>
  <c r="N95" i="2"/>
  <c r="N217" i="2"/>
  <c r="N129" i="2"/>
  <c r="N49" i="2"/>
  <c r="N200" i="2"/>
  <c r="N112" i="2"/>
  <c r="N32" i="2"/>
  <c r="N140" i="2"/>
  <c r="N52" i="2"/>
  <c r="N138" i="2"/>
  <c r="N35" i="2"/>
  <c r="N266" i="2"/>
  <c r="N186" i="2"/>
  <c r="N83" i="2"/>
  <c r="N233" i="2"/>
  <c r="N169" i="2"/>
  <c r="N105" i="2"/>
  <c r="N41" i="2"/>
  <c r="N216" i="2"/>
  <c r="N152" i="2"/>
  <c r="N88" i="2"/>
  <c r="N24" i="2"/>
  <c r="N156" i="2"/>
  <c r="N92" i="2"/>
  <c r="N28" i="2"/>
  <c r="N114" i="2"/>
  <c r="N249" i="2"/>
  <c r="N98" i="2"/>
  <c r="N270" i="2"/>
  <c r="N131" i="2"/>
  <c r="N293" i="2"/>
  <c r="N166" i="2"/>
  <c r="N3" i="2"/>
  <c r="N247" i="2"/>
  <c r="N155" i="2"/>
  <c r="N53" i="2"/>
  <c r="N276" i="2"/>
  <c r="N202" i="2"/>
  <c r="N99" i="2"/>
  <c r="N306" i="2"/>
  <c r="N242" i="2"/>
  <c r="N147" i="2"/>
  <c r="N45" i="2"/>
  <c r="N209" i="2"/>
  <c r="N145" i="2"/>
  <c r="N81" i="2"/>
  <c r="N17" i="2"/>
  <c r="N192" i="2"/>
  <c r="N128" i="2"/>
  <c r="N64" i="2"/>
  <c r="N196" i="2"/>
  <c r="N132" i="2"/>
  <c r="N68" i="2"/>
  <c r="I130" i="5"/>
  <c r="I112" i="5"/>
  <c r="I290" i="2"/>
  <c r="I46" i="2"/>
  <c r="K45" i="2"/>
  <c r="I309" i="2"/>
  <c r="K88" i="5"/>
  <c r="K62" i="5"/>
  <c r="I79" i="5"/>
  <c r="I115" i="5"/>
  <c r="I291" i="2"/>
  <c r="N41" i="5"/>
  <c r="I99" i="2"/>
  <c r="K125" i="2"/>
  <c r="I80" i="2"/>
  <c r="K129" i="5"/>
  <c r="K98" i="2"/>
  <c r="I37" i="2"/>
  <c r="I310" i="2"/>
  <c r="K54" i="5"/>
  <c r="I129" i="2"/>
  <c r="I55" i="5"/>
  <c r="I101" i="2"/>
  <c r="I100" i="2"/>
  <c r="I75" i="5"/>
  <c r="I22" i="5"/>
  <c r="I175" i="2"/>
  <c r="K46" i="2"/>
  <c r="K66" i="5"/>
  <c r="K175" i="2"/>
  <c r="K230" i="2"/>
  <c r="I239" i="2"/>
  <c r="I124" i="5"/>
  <c r="I125" i="5"/>
  <c r="K55" i="5"/>
  <c r="I231" i="2"/>
  <c r="K310" i="2"/>
  <c r="K52" i="5"/>
  <c r="I147" i="2"/>
  <c r="I67" i="5"/>
  <c r="K93" i="5"/>
  <c r="I293" i="2"/>
  <c r="K108" i="5"/>
  <c r="K238" i="2"/>
  <c r="I108" i="5"/>
  <c r="I126" i="5"/>
  <c r="Q2" i="2" l="1"/>
  <c r="Q2" i="5"/>
</calcChain>
</file>

<file path=xl/sharedStrings.xml><?xml version="1.0" encoding="utf-8"?>
<sst xmlns="http://schemas.openxmlformats.org/spreadsheetml/2006/main" count="1926" uniqueCount="22">
  <si>
    <t>Validation</t>
  </si>
  <si>
    <t>Prob</t>
  </si>
  <si>
    <t>Training</t>
  </si>
  <si>
    <t>ID</t>
  </si>
  <si>
    <t>Threshold</t>
  </si>
  <si>
    <t>TP</t>
  </si>
  <si>
    <t>FP</t>
  </si>
  <si>
    <t>TN</t>
  </si>
  <si>
    <t>FN</t>
  </si>
  <si>
    <t>FPR</t>
  </si>
  <si>
    <t>Precision</t>
  </si>
  <si>
    <t>F1</t>
  </si>
  <si>
    <t>Area</t>
  </si>
  <si>
    <t>Baseline</t>
  </si>
  <si>
    <t>Percent</t>
  </si>
  <si>
    <t>Lift</t>
  </si>
  <si>
    <t>Positive</t>
  </si>
  <si>
    <t>Negative</t>
  </si>
  <si>
    <t>Partition</t>
  </si>
  <si>
    <t>Y</t>
  </si>
  <si>
    <t>TPR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</si>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</sst>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chartsheet" Target="chartsheets/sheet2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 - Ensemble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Training!$G$2:$G$1258</c:f>
              <c:numCache>
                <c:formatCode>General</c:formatCode>
                <c:ptCount val="1257"/>
                <c:pt idx="0">
                  <c:v>0</c:v>
                </c:pt>
                <c:pt idx="1">
                  <c:v>0</c:v>
                </c:pt>
                <c:pt idx="2">
                  <c:v>1.3831258644536654E-3</c:v>
                </c:pt>
                <c:pt idx="3">
                  <c:v>1.3831258644536654E-3</c:v>
                </c:pt>
                <c:pt idx="4">
                  <c:v>1.3831258644536654E-3</c:v>
                </c:pt>
                <c:pt idx="5">
                  <c:v>1.3831258644536654E-3</c:v>
                </c:pt>
                <c:pt idx="6">
                  <c:v>1.3831258644536654E-3</c:v>
                </c:pt>
                <c:pt idx="7">
                  <c:v>1.3831258644536654E-3</c:v>
                </c:pt>
                <c:pt idx="8">
                  <c:v>1.3831258644536654E-3</c:v>
                </c:pt>
                <c:pt idx="9">
                  <c:v>1.3831258644536654E-3</c:v>
                </c:pt>
                <c:pt idx="10">
                  <c:v>1.3831258644536654E-3</c:v>
                </c:pt>
                <c:pt idx="11">
                  <c:v>1.3831258644536654E-3</c:v>
                </c:pt>
                <c:pt idx="12">
                  <c:v>1.3831258644536654E-3</c:v>
                </c:pt>
                <c:pt idx="13">
                  <c:v>1.3831258644536654E-3</c:v>
                </c:pt>
                <c:pt idx="14">
                  <c:v>1.3831258644536654E-3</c:v>
                </c:pt>
                <c:pt idx="15">
                  <c:v>1.3831258644536654E-3</c:v>
                </c:pt>
                <c:pt idx="16">
                  <c:v>1.3831258644536654E-3</c:v>
                </c:pt>
                <c:pt idx="17">
                  <c:v>1.3831258644536654E-3</c:v>
                </c:pt>
                <c:pt idx="18">
                  <c:v>1.3831258644536654E-3</c:v>
                </c:pt>
                <c:pt idx="19">
                  <c:v>1.3831258644536654E-3</c:v>
                </c:pt>
                <c:pt idx="20">
                  <c:v>1.3831258644536654E-3</c:v>
                </c:pt>
                <c:pt idx="21">
                  <c:v>2.7662517289073307E-3</c:v>
                </c:pt>
                <c:pt idx="22">
                  <c:v>2.7662517289073307E-3</c:v>
                </c:pt>
                <c:pt idx="23">
                  <c:v>2.7662517289073307E-3</c:v>
                </c:pt>
                <c:pt idx="24">
                  <c:v>2.7662517289073307E-3</c:v>
                </c:pt>
                <c:pt idx="25">
                  <c:v>2.7662517289073307E-3</c:v>
                </c:pt>
                <c:pt idx="26">
                  <c:v>2.7662517289073307E-3</c:v>
                </c:pt>
                <c:pt idx="27">
                  <c:v>2.7662517289073307E-3</c:v>
                </c:pt>
                <c:pt idx="28">
                  <c:v>2.7662517289073307E-3</c:v>
                </c:pt>
                <c:pt idx="29">
                  <c:v>2.7662517289073307E-3</c:v>
                </c:pt>
                <c:pt idx="30">
                  <c:v>4.1493775933609959E-3</c:v>
                </c:pt>
                <c:pt idx="31">
                  <c:v>4.1493775933609959E-3</c:v>
                </c:pt>
                <c:pt idx="32">
                  <c:v>5.5325034578146614E-3</c:v>
                </c:pt>
                <c:pt idx="33">
                  <c:v>5.5325034578146614E-3</c:v>
                </c:pt>
                <c:pt idx="34">
                  <c:v>5.5325034578146614E-3</c:v>
                </c:pt>
                <c:pt idx="35">
                  <c:v>5.5325034578146614E-3</c:v>
                </c:pt>
                <c:pt idx="36">
                  <c:v>5.5325034578146614E-3</c:v>
                </c:pt>
                <c:pt idx="37">
                  <c:v>5.5325034578146614E-3</c:v>
                </c:pt>
                <c:pt idx="38">
                  <c:v>6.9156293222683261E-3</c:v>
                </c:pt>
                <c:pt idx="39">
                  <c:v>6.9156293222683261E-3</c:v>
                </c:pt>
                <c:pt idx="40">
                  <c:v>6.9156293222683261E-3</c:v>
                </c:pt>
                <c:pt idx="41">
                  <c:v>6.9156293222683261E-3</c:v>
                </c:pt>
                <c:pt idx="42">
                  <c:v>6.9156293222683261E-3</c:v>
                </c:pt>
                <c:pt idx="43">
                  <c:v>6.9156293222683261E-3</c:v>
                </c:pt>
                <c:pt idx="44">
                  <c:v>6.9156293222683261E-3</c:v>
                </c:pt>
                <c:pt idx="45">
                  <c:v>8.2987551867219917E-3</c:v>
                </c:pt>
                <c:pt idx="46">
                  <c:v>8.2987551867219917E-3</c:v>
                </c:pt>
                <c:pt idx="47">
                  <c:v>8.2987551867219917E-3</c:v>
                </c:pt>
                <c:pt idx="48">
                  <c:v>9.6818810511756573E-3</c:v>
                </c:pt>
                <c:pt idx="49">
                  <c:v>9.6818810511756573E-3</c:v>
                </c:pt>
                <c:pt idx="50">
                  <c:v>9.6818810511756573E-3</c:v>
                </c:pt>
                <c:pt idx="51">
                  <c:v>9.6818810511756573E-3</c:v>
                </c:pt>
                <c:pt idx="52">
                  <c:v>9.6818810511756573E-3</c:v>
                </c:pt>
                <c:pt idx="53">
                  <c:v>1.1065006915629323E-2</c:v>
                </c:pt>
                <c:pt idx="54">
                  <c:v>1.1065006915629323E-2</c:v>
                </c:pt>
                <c:pt idx="55">
                  <c:v>1.2448132780082987E-2</c:v>
                </c:pt>
                <c:pt idx="56">
                  <c:v>1.2448132780082987E-2</c:v>
                </c:pt>
                <c:pt idx="57">
                  <c:v>1.2448132780082987E-2</c:v>
                </c:pt>
                <c:pt idx="58">
                  <c:v>1.2448132780082987E-2</c:v>
                </c:pt>
                <c:pt idx="59">
                  <c:v>1.2448132780082987E-2</c:v>
                </c:pt>
                <c:pt idx="60">
                  <c:v>1.3831258644536652E-2</c:v>
                </c:pt>
                <c:pt idx="61">
                  <c:v>1.3831258644536652E-2</c:v>
                </c:pt>
                <c:pt idx="62">
                  <c:v>1.3831258644536652E-2</c:v>
                </c:pt>
                <c:pt idx="63">
                  <c:v>1.3831258644536652E-2</c:v>
                </c:pt>
                <c:pt idx="64">
                  <c:v>1.3831258644536652E-2</c:v>
                </c:pt>
                <c:pt idx="65">
                  <c:v>1.3831258644536652E-2</c:v>
                </c:pt>
                <c:pt idx="66">
                  <c:v>1.3831258644536652E-2</c:v>
                </c:pt>
                <c:pt idx="67">
                  <c:v>1.5214384508990318E-2</c:v>
                </c:pt>
                <c:pt idx="68">
                  <c:v>1.5214384508990318E-2</c:v>
                </c:pt>
                <c:pt idx="69">
                  <c:v>1.5214384508990318E-2</c:v>
                </c:pt>
                <c:pt idx="70">
                  <c:v>1.6597510373443983E-2</c:v>
                </c:pt>
                <c:pt idx="71">
                  <c:v>1.6597510373443983E-2</c:v>
                </c:pt>
                <c:pt idx="72">
                  <c:v>1.6597510373443983E-2</c:v>
                </c:pt>
                <c:pt idx="73">
                  <c:v>1.7980636237897647E-2</c:v>
                </c:pt>
                <c:pt idx="74">
                  <c:v>1.9363762102351315E-2</c:v>
                </c:pt>
                <c:pt idx="75">
                  <c:v>1.9363762102351315E-2</c:v>
                </c:pt>
                <c:pt idx="76">
                  <c:v>1.9363762102351315E-2</c:v>
                </c:pt>
                <c:pt idx="77">
                  <c:v>1.9363762102351315E-2</c:v>
                </c:pt>
                <c:pt idx="78">
                  <c:v>1.9363762102351315E-2</c:v>
                </c:pt>
                <c:pt idx="79">
                  <c:v>1.9363762102351315E-2</c:v>
                </c:pt>
                <c:pt idx="80">
                  <c:v>1.9363762102351315E-2</c:v>
                </c:pt>
                <c:pt idx="81">
                  <c:v>1.9363762102351315E-2</c:v>
                </c:pt>
                <c:pt idx="82">
                  <c:v>1.9363762102351315E-2</c:v>
                </c:pt>
                <c:pt idx="83">
                  <c:v>1.9363762102351315E-2</c:v>
                </c:pt>
                <c:pt idx="84">
                  <c:v>1.9363762102351315E-2</c:v>
                </c:pt>
                <c:pt idx="85">
                  <c:v>1.9363762102351315E-2</c:v>
                </c:pt>
                <c:pt idx="86">
                  <c:v>1.9363762102351315E-2</c:v>
                </c:pt>
                <c:pt idx="87">
                  <c:v>1.9363762102351315E-2</c:v>
                </c:pt>
                <c:pt idx="88">
                  <c:v>1.9363762102351315E-2</c:v>
                </c:pt>
                <c:pt idx="89">
                  <c:v>1.9363762102351315E-2</c:v>
                </c:pt>
                <c:pt idx="90">
                  <c:v>1.9363762102351315E-2</c:v>
                </c:pt>
                <c:pt idx="91">
                  <c:v>1.9363762102351315E-2</c:v>
                </c:pt>
                <c:pt idx="92">
                  <c:v>1.9363762102351315E-2</c:v>
                </c:pt>
                <c:pt idx="93">
                  <c:v>2.0746887966804978E-2</c:v>
                </c:pt>
                <c:pt idx="94">
                  <c:v>2.0746887966804978E-2</c:v>
                </c:pt>
                <c:pt idx="95">
                  <c:v>2.2130013831258646E-2</c:v>
                </c:pt>
                <c:pt idx="96">
                  <c:v>2.2130013831258646E-2</c:v>
                </c:pt>
                <c:pt idx="97">
                  <c:v>2.2130013831258646E-2</c:v>
                </c:pt>
                <c:pt idx="98">
                  <c:v>2.2130013831258646E-2</c:v>
                </c:pt>
                <c:pt idx="99">
                  <c:v>2.2130013831258646E-2</c:v>
                </c:pt>
                <c:pt idx="100">
                  <c:v>2.2130013831258646E-2</c:v>
                </c:pt>
                <c:pt idx="101">
                  <c:v>2.2130013831258646E-2</c:v>
                </c:pt>
                <c:pt idx="102">
                  <c:v>2.351313969571231E-2</c:v>
                </c:pt>
                <c:pt idx="103">
                  <c:v>2.351313969571231E-2</c:v>
                </c:pt>
                <c:pt idx="104">
                  <c:v>2.351313969571231E-2</c:v>
                </c:pt>
                <c:pt idx="105">
                  <c:v>2.351313969571231E-2</c:v>
                </c:pt>
                <c:pt idx="106">
                  <c:v>2.4896265560165973E-2</c:v>
                </c:pt>
                <c:pt idx="107">
                  <c:v>2.4896265560165973E-2</c:v>
                </c:pt>
                <c:pt idx="108">
                  <c:v>2.4896265560165973E-2</c:v>
                </c:pt>
                <c:pt idx="109">
                  <c:v>2.4896265560165973E-2</c:v>
                </c:pt>
                <c:pt idx="110">
                  <c:v>2.6279391424619641E-2</c:v>
                </c:pt>
                <c:pt idx="111">
                  <c:v>2.6279391424619641E-2</c:v>
                </c:pt>
                <c:pt idx="112">
                  <c:v>2.6279391424619641E-2</c:v>
                </c:pt>
                <c:pt idx="113">
                  <c:v>2.7662517289073305E-2</c:v>
                </c:pt>
                <c:pt idx="114">
                  <c:v>2.9045643153526972E-2</c:v>
                </c:pt>
                <c:pt idx="115">
                  <c:v>3.0428769017980636E-2</c:v>
                </c:pt>
                <c:pt idx="116">
                  <c:v>3.0428769017980636E-2</c:v>
                </c:pt>
                <c:pt idx="117">
                  <c:v>3.18118948824343E-2</c:v>
                </c:pt>
                <c:pt idx="118">
                  <c:v>3.3195020746887967E-2</c:v>
                </c:pt>
                <c:pt idx="119">
                  <c:v>3.4578146611341634E-2</c:v>
                </c:pt>
                <c:pt idx="120">
                  <c:v>3.5961272475795295E-2</c:v>
                </c:pt>
                <c:pt idx="121">
                  <c:v>3.5961272475795295E-2</c:v>
                </c:pt>
                <c:pt idx="122">
                  <c:v>3.7344398340248962E-2</c:v>
                </c:pt>
                <c:pt idx="123">
                  <c:v>3.7344398340248962E-2</c:v>
                </c:pt>
                <c:pt idx="124">
                  <c:v>3.8727524204702629E-2</c:v>
                </c:pt>
                <c:pt idx="125">
                  <c:v>4.0110650069156296E-2</c:v>
                </c:pt>
                <c:pt idx="126">
                  <c:v>4.0110650069156296E-2</c:v>
                </c:pt>
                <c:pt idx="127">
                  <c:v>4.0110650069156296E-2</c:v>
                </c:pt>
                <c:pt idx="128">
                  <c:v>4.0110650069156296E-2</c:v>
                </c:pt>
                <c:pt idx="129">
                  <c:v>4.0110650069156296E-2</c:v>
                </c:pt>
                <c:pt idx="130">
                  <c:v>4.1493775933609957E-2</c:v>
                </c:pt>
                <c:pt idx="131">
                  <c:v>4.2876901798063624E-2</c:v>
                </c:pt>
                <c:pt idx="132">
                  <c:v>4.2876901798063624E-2</c:v>
                </c:pt>
                <c:pt idx="133">
                  <c:v>4.4260027662517291E-2</c:v>
                </c:pt>
                <c:pt idx="134">
                  <c:v>4.4260027662517291E-2</c:v>
                </c:pt>
                <c:pt idx="135">
                  <c:v>4.4260027662517291E-2</c:v>
                </c:pt>
                <c:pt idx="136">
                  <c:v>4.4260027662517291E-2</c:v>
                </c:pt>
                <c:pt idx="137">
                  <c:v>4.4260027662517291E-2</c:v>
                </c:pt>
                <c:pt idx="138">
                  <c:v>4.5643153526970952E-2</c:v>
                </c:pt>
                <c:pt idx="139">
                  <c:v>4.5643153526970952E-2</c:v>
                </c:pt>
                <c:pt idx="140">
                  <c:v>4.5643153526970952E-2</c:v>
                </c:pt>
                <c:pt idx="141">
                  <c:v>4.5643153526970952E-2</c:v>
                </c:pt>
                <c:pt idx="142">
                  <c:v>4.7026279391424619E-2</c:v>
                </c:pt>
                <c:pt idx="143">
                  <c:v>4.7026279391424619E-2</c:v>
                </c:pt>
                <c:pt idx="144">
                  <c:v>4.8409405255878286E-2</c:v>
                </c:pt>
                <c:pt idx="145">
                  <c:v>4.9792531120331947E-2</c:v>
                </c:pt>
                <c:pt idx="146">
                  <c:v>4.9792531120331947E-2</c:v>
                </c:pt>
                <c:pt idx="147">
                  <c:v>4.9792531120331947E-2</c:v>
                </c:pt>
                <c:pt idx="148">
                  <c:v>5.1175656984785614E-2</c:v>
                </c:pt>
                <c:pt idx="149">
                  <c:v>5.1175656984785614E-2</c:v>
                </c:pt>
                <c:pt idx="150">
                  <c:v>5.1175656984785614E-2</c:v>
                </c:pt>
                <c:pt idx="151">
                  <c:v>5.1175656984785614E-2</c:v>
                </c:pt>
                <c:pt idx="152">
                  <c:v>5.1175656984785614E-2</c:v>
                </c:pt>
                <c:pt idx="153">
                  <c:v>5.1175656984785614E-2</c:v>
                </c:pt>
                <c:pt idx="154">
                  <c:v>5.1175656984785614E-2</c:v>
                </c:pt>
                <c:pt idx="155">
                  <c:v>5.1175656984785614E-2</c:v>
                </c:pt>
                <c:pt idx="156">
                  <c:v>5.2558782849239281E-2</c:v>
                </c:pt>
                <c:pt idx="157">
                  <c:v>5.2558782849239281E-2</c:v>
                </c:pt>
                <c:pt idx="158">
                  <c:v>5.3941908713692949E-2</c:v>
                </c:pt>
                <c:pt idx="159">
                  <c:v>5.5325034578146609E-2</c:v>
                </c:pt>
                <c:pt idx="160">
                  <c:v>5.5325034578146609E-2</c:v>
                </c:pt>
                <c:pt idx="161">
                  <c:v>5.6708160442600276E-2</c:v>
                </c:pt>
                <c:pt idx="162">
                  <c:v>5.6708160442600276E-2</c:v>
                </c:pt>
                <c:pt idx="163">
                  <c:v>5.6708160442600276E-2</c:v>
                </c:pt>
                <c:pt idx="164">
                  <c:v>5.6708160442600276E-2</c:v>
                </c:pt>
                <c:pt idx="165">
                  <c:v>5.8091286307053944E-2</c:v>
                </c:pt>
                <c:pt idx="166">
                  <c:v>5.9474412171507604E-2</c:v>
                </c:pt>
                <c:pt idx="167">
                  <c:v>5.9474412171507604E-2</c:v>
                </c:pt>
                <c:pt idx="168">
                  <c:v>6.0857538035961271E-2</c:v>
                </c:pt>
                <c:pt idx="169">
                  <c:v>6.0857538035961271E-2</c:v>
                </c:pt>
                <c:pt idx="170">
                  <c:v>6.2240663900414939E-2</c:v>
                </c:pt>
                <c:pt idx="171">
                  <c:v>6.3623789764868599E-2</c:v>
                </c:pt>
                <c:pt idx="172">
                  <c:v>6.3623789764868599E-2</c:v>
                </c:pt>
                <c:pt idx="173">
                  <c:v>6.3623789764868599E-2</c:v>
                </c:pt>
                <c:pt idx="174">
                  <c:v>6.5006915629322273E-2</c:v>
                </c:pt>
                <c:pt idx="175">
                  <c:v>6.6390041493775934E-2</c:v>
                </c:pt>
                <c:pt idx="176">
                  <c:v>6.7773167358229594E-2</c:v>
                </c:pt>
                <c:pt idx="177">
                  <c:v>6.7773167358229594E-2</c:v>
                </c:pt>
                <c:pt idx="178">
                  <c:v>6.7773167358229594E-2</c:v>
                </c:pt>
                <c:pt idx="179">
                  <c:v>6.9156293222683268E-2</c:v>
                </c:pt>
                <c:pt idx="180">
                  <c:v>6.9156293222683268E-2</c:v>
                </c:pt>
                <c:pt idx="181">
                  <c:v>6.9156293222683268E-2</c:v>
                </c:pt>
                <c:pt idx="182">
                  <c:v>7.0539419087136929E-2</c:v>
                </c:pt>
                <c:pt idx="183">
                  <c:v>7.0539419087136929E-2</c:v>
                </c:pt>
                <c:pt idx="184">
                  <c:v>7.0539419087136929E-2</c:v>
                </c:pt>
                <c:pt idx="185">
                  <c:v>7.1922544951590589E-2</c:v>
                </c:pt>
                <c:pt idx="186">
                  <c:v>7.1922544951590589E-2</c:v>
                </c:pt>
                <c:pt idx="187">
                  <c:v>7.1922544951590589E-2</c:v>
                </c:pt>
                <c:pt idx="188">
                  <c:v>7.1922544951590589E-2</c:v>
                </c:pt>
                <c:pt idx="189">
                  <c:v>7.1922544951590589E-2</c:v>
                </c:pt>
                <c:pt idx="190">
                  <c:v>7.1922544951590589E-2</c:v>
                </c:pt>
                <c:pt idx="191">
                  <c:v>7.1922544951590589E-2</c:v>
                </c:pt>
                <c:pt idx="192">
                  <c:v>7.1922544951590589E-2</c:v>
                </c:pt>
                <c:pt idx="193">
                  <c:v>7.1922544951590589E-2</c:v>
                </c:pt>
                <c:pt idx="194">
                  <c:v>7.1922544951590589E-2</c:v>
                </c:pt>
                <c:pt idx="195">
                  <c:v>7.1922544951590589E-2</c:v>
                </c:pt>
                <c:pt idx="196">
                  <c:v>7.1922544951590589E-2</c:v>
                </c:pt>
                <c:pt idx="197">
                  <c:v>7.1922544951590589E-2</c:v>
                </c:pt>
                <c:pt idx="198">
                  <c:v>7.1922544951590589E-2</c:v>
                </c:pt>
                <c:pt idx="199">
                  <c:v>7.1922544951590589E-2</c:v>
                </c:pt>
                <c:pt idx="200">
                  <c:v>7.1922544951590589E-2</c:v>
                </c:pt>
                <c:pt idx="201">
                  <c:v>7.1922544951590589E-2</c:v>
                </c:pt>
                <c:pt idx="202">
                  <c:v>7.1922544951590589E-2</c:v>
                </c:pt>
                <c:pt idx="203">
                  <c:v>7.1922544951590589E-2</c:v>
                </c:pt>
                <c:pt idx="204">
                  <c:v>7.1922544951590589E-2</c:v>
                </c:pt>
                <c:pt idx="205">
                  <c:v>7.1922544951590589E-2</c:v>
                </c:pt>
                <c:pt idx="206">
                  <c:v>7.1922544951590589E-2</c:v>
                </c:pt>
                <c:pt idx="207">
                  <c:v>7.1922544951590589E-2</c:v>
                </c:pt>
                <c:pt idx="208">
                  <c:v>7.3305670816044263E-2</c:v>
                </c:pt>
                <c:pt idx="209">
                  <c:v>7.3305670816044263E-2</c:v>
                </c:pt>
                <c:pt idx="210">
                  <c:v>7.3305670816044263E-2</c:v>
                </c:pt>
                <c:pt idx="211">
                  <c:v>7.4688796680497924E-2</c:v>
                </c:pt>
                <c:pt idx="212">
                  <c:v>7.6071922544951584E-2</c:v>
                </c:pt>
                <c:pt idx="213">
                  <c:v>7.6071922544951584E-2</c:v>
                </c:pt>
                <c:pt idx="214">
                  <c:v>7.6071922544951584E-2</c:v>
                </c:pt>
                <c:pt idx="215">
                  <c:v>7.6071922544951584E-2</c:v>
                </c:pt>
                <c:pt idx="216">
                  <c:v>7.6071922544951584E-2</c:v>
                </c:pt>
                <c:pt idx="217">
                  <c:v>7.6071922544951584E-2</c:v>
                </c:pt>
                <c:pt idx="218">
                  <c:v>7.7455048409405258E-2</c:v>
                </c:pt>
                <c:pt idx="219">
                  <c:v>7.8838174273858919E-2</c:v>
                </c:pt>
                <c:pt idx="220">
                  <c:v>8.0221300138312593E-2</c:v>
                </c:pt>
                <c:pt idx="221">
                  <c:v>8.0221300138312593E-2</c:v>
                </c:pt>
                <c:pt idx="222">
                  <c:v>8.0221300138312593E-2</c:v>
                </c:pt>
                <c:pt idx="223">
                  <c:v>8.0221300138312593E-2</c:v>
                </c:pt>
                <c:pt idx="224">
                  <c:v>8.0221300138312593E-2</c:v>
                </c:pt>
                <c:pt idx="225">
                  <c:v>8.1604426002766253E-2</c:v>
                </c:pt>
                <c:pt idx="226">
                  <c:v>8.2987551867219914E-2</c:v>
                </c:pt>
                <c:pt idx="227">
                  <c:v>8.2987551867219914E-2</c:v>
                </c:pt>
                <c:pt idx="228">
                  <c:v>8.2987551867219914E-2</c:v>
                </c:pt>
                <c:pt idx="229">
                  <c:v>8.4370677731673588E-2</c:v>
                </c:pt>
                <c:pt idx="230">
                  <c:v>8.4370677731673588E-2</c:v>
                </c:pt>
                <c:pt idx="231">
                  <c:v>8.5753803596127248E-2</c:v>
                </c:pt>
                <c:pt idx="232">
                  <c:v>8.7136929460580909E-2</c:v>
                </c:pt>
                <c:pt idx="233">
                  <c:v>8.7136929460580909E-2</c:v>
                </c:pt>
                <c:pt idx="234">
                  <c:v>8.8520055325034583E-2</c:v>
                </c:pt>
                <c:pt idx="235">
                  <c:v>8.8520055325034583E-2</c:v>
                </c:pt>
                <c:pt idx="236">
                  <c:v>8.9903181189488243E-2</c:v>
                </c:pt>
                <c:pt idx="237">
                  <c:v>9.1286307053941904E-2</c:v>
                </c:pt>
                <c:pt idx="238">
                  <c:v>9.2669432918395578E-2</c:v>
                </c:pt>
                <c:pt idx="239">
                  <c:v>9.4052558782849238E-2</c:v>
                </c:pt>
                <c:pt idx="240">
                  <c:v>9.5435684647302899E-2</c:v>
                </c:pt>
                <c:pt idx="241">
                  <c:v>9.6818810511756573E-2</c:v>
                </c:pt>
                <c:pt idx="242">
                  <c:v>9.6818810511756573E-2</c:v>
                </c:pt>
                <c:pt idx="243">
                  <c:v>9.6818810511756573E-2</c:v>
                </c:pt>
                <c:pt idx="244">
                  <c:v>9.6818810511756573E-2</c:v>
                </c:pt>
                <c:pt idx="245">
                  <c:v>9.8201936376210233E-2</c:v>
                </c:pt>
                <c:pt idx="246">
                  <c:v>9.9585062240663894E-2</c:v>
                </c:pt>
                <c:pt idx="247">
                  <c:v>9.9585062240663894E-2</c:v>
                </c:pt>
                <c:pt idx="248">
                  <c:v>9.9585062240663894E-2</c:v>
                </c:pt>
                <c:pt idx="249">
                  <c:v>9.9585062240663894E-2</c:v>
                </c:pt>
                <c:pt idx="250">
                  <c:v>9.9585062240663894E-2</c:v>
                </c:pt>
                <c:pt idx="251">
                  <c:v>9.9585062240663894E-2</c:v>
                </c:pt>
                <c:pt idx="252">
                  <c:v>9.9585062240663894E-2</c:v>
                </c:pt>
                <c:pt idx="253">
                  <c:v>9.9585062240663894E-2</c:v>
                </c:pt>
                <c:pt idx="254">
                  <c:v>9.9585062240663894E-2</c:v>
                </c:pt>
                <c:pt idx="255">
                  <c:v>0.10096818810511757</c:v>
                </c:pt>
                <c:pt idx="256">
                  <c:v>0.10096818810511757</c:v>
                </c:pt>
                <c:pt idx="257">
                  <c:v>0.10096818810511757</c:v>
                </c:pt>
                <c:pt idx="258">
                  <c:v>0.10096818810511757</c:v>
                </c:pt>
                <c:pt idx="259">
                  <c:v>0.10096818810511757</c:v>
                </c:pt>
                <c:pt idx="260">
                  <c:v>0.10235131396957123</c:v>
                </c:pt>
                <c:pt idx="261">
                  <c:v>0.10235131396957123</c:v>
                </c:pt>
                <c:pt idx="262">
                  <c:v>0.10235131396957123</c:v>
                </c:pt>
                <c:pt idx="263">
                  <c:v>0.10235131396957123</c:v>
                </c:pt>
                <c:pt idx="264">
                  <c:v>0.10235131396957123</c:v>
                </c:pt>
                <c:pt idx="265">
                  <c:v>0.10235131396957123</c:v>
                </c:pt>
                <c:pt idx="266">
                  <c:v>0.10235131396957123</c:v>
                </c:pt>
                <c:pt idx="267">
                  <c:v>0.1037344398340249</c:v>
                </c:pt>
                <c:pt idx="268">
                  <c:v>0.10511756569847856</c:v>
                </c:pt>
                <c:pt idx="269">
                  <c:v>0.10650069156293222</c:v>
                </c:pt>
                <c:pt idx="270">
                  <c:v>0.10650069156293222</c:v>
                </c:pt>
                <c:pt idx="271">
                  <c:v>0.10650069156293222</c:v>
                </c:pt>
                <c:pt idx="272">
                  <c:v>0.10650069156293222</c:v>
                </c:pt>
                <c:pt idx="273">
                  <c:v>0.1078838174273859</c:v>
                </c:pt>
                <c:pt idx="274">
                  <c:v>0.1078838174273859</c:v>
                </c:pt>
                <c:pt idx="275">
                  <c:v>0.10926694329183956</c:v>
                </c:pt>
                <c:pt idx="276">
                  <c:v>0.10926694329183956</c:v>
                </c:pt>
                <c:pt idx="277">
                  <c:v>0.11065006915629322</c:v>
                </c:pt>
                <c:pt idx="278">
                  <c:v>0.11203319502074689</c:v>
                </c:pt>
                <c:pt idx="279">
                  <c:v>0.11341632088520055</c:v>
                </c:pt>
                <c:pt idx="280">
                  <c:v>0.11341632088520055</c:v>
                </c:pt>
                <c:pt idx="281">
                  <c:v>0.11479944674965421</c:v>
                </c:pt>
                <c:pt idx="282">
                  <c:v>0.11479944674965421</c:v>
                </c:pt>
                <c:pt idx="283">
                  <c:v>0.11479944674965421</c:v>
                </c:pt>
                <c:pt idx="284">
                  <c:v>0.11479944674965421</c:v>
                </c:pt>
                <c:pt idx="285">
                  <c:v>0.11618257261410789</c:v>
                </c:pt>
                <c:pt idx="286">
                  <c:v>0.11756569847856155</c:v>
                </c:pt>
                <c:pt idx="287">
                  <c:v>0.11894882434301521</c:v>
                </c:pt>
                <c:pt idx="288">
                  <c:v>0.11894882434301521</c:v>
                </c:pt>
                <c:pt idx="289">
                  <c:v>0.11894882434301521</c:v>
                </c:pt>
                <c:pt idx="290">
                  <c:v>0.11894882434301521</c:v>
                </c:pt>
                <c:pt idx="291">
                  <c:v>0.11894882434301521</c:v>
                </c:pt>
                <c:pt idx="292">
                  <c:v>0.11894882434301521</c:v>
                </c:pt>
                <c:pt idx="293">
                  <c:v>0.12033195020746888</c:v>
                </c:pt>
                <c:pt idx="294">
                  <c:v>0.12033195020746888</c:v>
                </c:pt>
                <c:pt idx="295">
                  <c:v>0.12033195020746888</c:v>
                </c:pt>
                <c:pt idx="296">
                  <c:v>0.12033195020746888</c:v>
                </c:pt>
                <c:pt idx="297">
                  <c:v>0.12171507607192254</c:v>
                </c:pt>
                <c:pt idx="298">
                  <c:v>0.12171507607192254</c:v>
                </c:pt>
                <c:pt idx="299">
                  <c:v>0.12309820193637622</c:v>
                </c:pt>
                <c:pt idx="300">
                  <c:v>0.12309820193637622</c:v>
                </c:pt>
                <c:pt idx="301">
                  <c:v>0.12309820193637622</c:v>
                </c:pt>
                <c:pt idx="302">
                  <c:v>0.12309820193637622</c:v>
                </c:pt>
                <c:pt idx="303">
                  <c:v>0.12309820193637622</c:v>
                </c:pt>
                <c:pt idx="304">
                  <c:v>0.12448132780082988</c:v>
                </c:pt>
                <c:pt idx="305">
                  <c:v>0.12586445366528354</c:v>
                </c:pt>
                <c:pt idx="306">
                  <c:v>0.1272475795297372</c:v>
                </c:pt>
                <c:pt idx="307">
                  <c:v>0.12863070539419086</c:v>
                </c:pt>
                <c:pt idx="308">
                  <c:v>0.12863070539419086</c:v>
                </c:pt>
                <c:pt idx="309">
                  <c:v>0.13001383125864455</c:v>
                </c:pt>
                <c:pt idx="310">
                  <c:v>0.13139695712309821</c:v>
                </c:pt>
                <c:pt idx="311">
                  <c:v>0.13278008298755187</c:v>
                </c:pt>
                <c:pt idx="312">
                  <c:v>0.13416320885200553</c:v>
                </c:pt>
                <c:pt idx="313">
                  <c:v>0.13554633471645919</c:v>
                </c:pt>
                <c:pt idx="314">
                  <c:v>0.13554633471645919</c:v>
                </c:pt>
                <c:pt idx="315">
                  <c:v>0.13554633471645919</c:v>
                </c:pt>
                <c:pt idx="316">
                  <c:v>0.13692946058091288</c:v>
                </c:pt>
                <c:pt idx="317">
                  <c:v>0.13831258644536654</c:v>
                </c:pt>
                <c:pt idx="318">
                  <c:v>0.1396957123098202</c:v>
                </c:pt>
                <c:pt idx="319">
                  <c:v>0.14107883817427386</c:v>
                </c:pt>
                <c:pt idx="320">
                  <c:v>0.14107883817427386</c:v>
                </c:pt>
                <c:pt idx="321">
                  <c:v>0.14107883817427386</c:v>
                </c:pt>
                <c:pt idx="322">
                  <c:v>0.14246196403872752</c:v>
                </c:pt>
                <c:pt idx="323">
                  <c:v>0.14384508990318118</c:v>
                </c:pt>
                <c:pt idx="324">
                  <c:v>0.14384508990318118</c:v>
                </c:pt>
                <c:pt idx="325">
                  <c:v>0.14384508990318118</c:v>
                </c:pt>
                <c:pt idx="326">
                  <c:v>0.14384508990318118</c:v>
                </c:pt>
                <c:pt idx="327">
                  <c:v>0.14384508990318118</c:v>
                </c:pt>
                <c:pt idx="328">
                  <c:v>0.14522821576763487</c:v>
                </c:pt>
                <c:pt idx="329">
                  <c:v>0.14522821576763487</c:v>
                </c:pt>
                <c:pt idx="330">
                  <c:v>0.14522821576763487</c:v>
                </c:pt>
                <c:pt idx="331">
                  <c:v>0.14522821576763487</c:v>
                </c:pt>
                <c:pt idx="332">
                  <c:v>0.14522821576763487</c:v>
                </c:pt>
                <c:pt idx="333">
                  <c:v>0.14661134163208853</c:v>
                </c:pt>
                <c:pt idx="334">
                  <c:v>0.14799446749654219</c:v>
                </c:pt>
                <c:pt idx="335">
                  <c:v>0.14937759336099585</c:v>
                </c:pt>
                <c:pt idx="336">
                  <c:v>0.15076071922544951</c:v>
                </c:pt>
                <c:pt idx="337">
                  <c:v>0.15076071922544951</c:v>
                </c:pt>
                <c:pt idx="338">
                  <c:v>0.15214384508990317</c:v>
                </c:pt>
                <c:pt idx="339">
                  <c:v>0.15214384508990317</c:v>
                </c:pt>
                <c:pt idx="340">
                  <c:v>0.15214384508990317</c:v>
                </c:pt>
                <c:pt idx="341">
                  <c:v>0.15214384508990317</c:v>
                </c:pt>
                <c:pt idx="342">
                  <c:v>0.15352697095435686</c:v>
                </c:pt>
                <c:pt idx="343">
                  <c:v>0.15491009681881052</c:v>
                </c:pt>
                <c:pt idx="344">
                  <c:v>0.15491009681881052</c:v>
                </c:pt>
                <c:pt idx="345">
                  <c:v>0.15629322268326418</c:v>
                </c:pt>
                <c:pt idx="346">
                  <c:v>0.15767634854771784</c:v>
                </c:pt>
                <c:pt idx="347">
                  <c:v>0.15767634854771784</c:v>
                </c:pt>
                <c:pt idx="348">
                  <c:v>0.15767634854771784</c:v>
                </c:pt>
                <c:pt idx="349">
                  <c:v>0.1590594744121715</c:v>
                </c:pt>
                <c:pt idx="350">
                  <c:v>0.1590594744121715</c:v>
                </c:pt>
                <c:pt idx="351">
                  <c:v>0.1590594744121715</c:v>
                </c:pt>
                <c:pt idx="352">
                  <c:v>0.1590594744121715</c:v>
                </c:pt>
                <c:pt idx="353">
                  <c:v>0.1590594744121715</c:v>
                </c:pt>
                <c:pt idx="354">
                  <c:v>0.1590594744121715</c:v>
                </c:pt>
                <c:pt idx="355">
                  <c:v>0.16044260027662519</c:v>
                </c:pt>
                <c:pt idx="356">
                  <c:v>0.16044260027662519</c:v>
                </c:pt>
                <c:pt idx="357">
                  <c:v>0.16044260027662519</c:v>
                </c:pt>
                <c:pt idx="358">
                  <c:v>0.16182572614107885</c:v>
                </c:pt>
                <c:pt idx="359">
                  <c:v>0.16320885200553251</c:v>
                </c:pt>
                <c:pt idx="360">
                  <c:v>0.16320885200553251</c:v>
                </c:pt>
                <c:pt idx="361">
                  <c:v>0.16320885200553251</c:v>
                </c:pt>
                <c:pt idx="362">
                  <c:v>0.16459197786998617</c:v>
                </c:pt>
                <c:pt idx="363">
                  <c:v>0.16459197786998617</c:v>
                </c:pt>
                <c:pt idx="364">
                  <c:v>0.16459197786998617</c:v>
                </c:pt>
                <c:pt idx="365">
                  <c:v>0.16597510373443983</c:v>
                </c:pt>
                <c:pt idx="366">
                  <c:v>0.16735822959889349</c:v>
                </c:pt>
                <c:pt idx="367">
                  <c:v>0.16874135546334718</c:v>
                </c:pt>
                <c:pt idx="368">
                  <c:v>0.16874135546334718</c:v>
                </c:pt>
                <c:pt idx="369">
                  <c:v>0.16874135546334718</c:v>
                </c:pt>
                <c:pt idx="370">
                  <c:v>0.16874135546334718</c:v>
                </c:pt>
                <c:pt idx="371">
                  <c:v>0.17012448132780084</c:v>
                </c:pt>
                <c:pt idx="372">
                  <c:v>0.17012448132780084</c:v>
                </c:pt>
                <c:pt idx="373">
                  <c:v>0.1715076071922545</c:v>
                </c:pt>
                <c:pt idx="374">
                  <c:v>0.17289073305670816</c:v>
                </c:pt>
                <c:pt idx="375">
                  <c:v>0.17289073305670816</c:v>
                </c:pt>
                <c:pt idx="376">
                  <c:v>0.17289073305670816</c:v>
                </c:pt>
                <c:pt idx="377">
                  <c:v>0.17427385892116182</c:v>
                </c:pt>
                <c:pt idx="378">
                  <c:v>0.17427385892116182</c:v>
                </c:pt>
                <c:pt idx="379">
                  <c:v>0.17427385892116182</c:v>
                </c:pt>
                <c:pt idx="380">
                  <c:v>0.17565698478561548</c:v>
                </c:pt>
                <c:pt idx="381">
                  <c:v>0.17704011065006917</c:v>
                </c:pt>
                <c:pt idx="382">
                  <c:v>0.17704011065006917</c:v>
                </c:pt>
                <c:pt idx="383">
                  <c:v>0.17704011065006917</c:v>
                </c:pt>
                <c:pt idx="384">
                  <c:v>0.17704011065006917</c:v>
                </c:pt>
                <c:pt idx="385">
                  <c:v>0.17704011065006917</c:v>
                </c:pt>
                <c:pt idx="386">
                  <c:v>0.17704011065006917</c:v>
                </c:pt>
                <c:pt idx="387">
                  <c:v>0.17842323651452283</c:v>
                </c:pt>
                <c:pt idx="388">
                  <c:v>0.17980636237897649</c:v>
                </c:pt>
                <c:pt idx="389">
                  <c:v>0.17980636237897649</c:v>
                </c:pt>
                <c:pt idx="390">
                  <c:v>0.17980636237897649</c:v>
                </c:pt>
                <c:pt idx="391">
                  <c:v>0.18118948824343015</c:v>
                </c:pt>
                <c:pt idx="392">
                  <c:v>0.18118948824343015</c:v>
                </c:pt>
                <c:pt idx="393">
                  <c:v>0.18257261410788381</c:v>
                </c:pt>
                <c:pt idx="394">
                  <c:v>0.18257261410788381</c:v>
                </c:pt>
                <c:pt idx="395">
                  <c:v>0.18257261410788381</c:v>
                </c:pt>
                <c:pt idx="396">
                  <c:v>0.1839557399723375</c:v>
                </c:pt>
                <c:pt idx="397">
                  <c:v>0.1839557399723375</c:v>
                </c:pt>
                <c:pt idx="398">
                  <c:v>0.18533886583679116</c:v>
                </c:pt>
                <c:pt idx="399">
                  <c:v>0.18533886583679116</c:v>
                </c:pt>
                <c:pt idx="400">
                  <c:v>0.18672199170124482</c:v>
                </c:pt>
                <c:pt idx="401">
                  <c:v>0.18810511756569848</c:v>
                </c:pt>
                <c:pt idx="402">
                  <c:v>0.18948824343015214</c:v>
                </c:pt>
                <c:pt idx="403">
                  <c:v>0.1908713692946058</c:v>
                </c:pt>
                <c:pt idx="404">
                  <c:v>0.19225449515905949</c:v>
                </c:pt>
                <c:pt idx="405">
                  <c:v>0.19225449515905949</c:v>
                </c:pt>
                <c:pt idx="406">
                  <c:v>0.19225449515905949</c:v>
                </c:pt>
                <c:pt idx="407">
                  <c:v>0.19225449515905949</c:v>
                </c:pt>
                <c:pt idx="408">
                  <c:v>0.19225449515905949</c:v>
                </c:pt>
                <c:pt idx="409">
                  <c:v>0.19363762102351315</c:v>
                </c:pt>
                <c:pt idx="410">
                  <c:v>0.19502074688796681</c:v>
                </c:pt>
                <c:pt idx="411">
                  <c:v>0.19640387275242047</c:v>
                </c:pt>
                <c:pt idx="412">
                  <c:v>0.19778699861687413</c:v>
                </c:pt>
                <c:pt idx="413">
                  <c:v>0.19917012448132779</c:v>
                </c:pt>
                <c:pt idx="414">
                  <c:v>0.19917012448132779</c:v>
                </c:pt>
                <c:pt idx="415">
                  <c:v>0.20055325034578148</c:v>
                </c:pt>
                <c:pt idx="416">
                  <c:v>0.20055325034578148</c:v>
                </c:pt>
                <c:pt idx="417">
                  <c:v>0.20055325034578148</c:v>
                </c:pt>
                <c:pt idx="418">
                  <c:v>0.20055325034578148</c:v>
                </c:pt>
                <c:pt idx="419">
                  <c:v>0.20055325034578148</c:v>
                </c:pt>
                <c:pt idx="420">
                  <c:v>0.20193637621023514</c:v>
                </c:pt>
                <c:pt idx="421">
                  <c:v>0.20193637621023514</c:v>
                </c:pt>
                <c:pt idx="422">
                  <c:v>0.2033195020746888</c:v>
                </c:pt>
                <c:pt idx="423">
                  <c:v>0.2033195020746888</c:v>
                </c:pt>
                <c:pt idx="424">
                  <c:v>0.2033195020746888</c:v>
                </c:pt>
                <c:pt idx="425">
                  <c:v>0.20470262793914246</c:v>
                </c:pt>
                <c:pt idx="426">
                  <c:v>0.20470262793914246</c:v>
                </c:pt>
                <c:pt idx="427">
                  <c:v>0.20470262793914246</c:v>
                </c:pt>
                <c:pt idx="428">
                  <c:v>0.20608575380359612</c:v>
                </c:pt>
                <c:pt idx="429">
                  <c:v>0.20608575380359612</c:v>
                </c:pt>
                <c:pt idx="430">
                  <c:v>0.20608575380359612</c:v>
                </c:pt>
                <c:pt idx="431">
                  <c:v>0.2074688796680498</c:v>
                </c:pt>
                <c:pt idx="432">
                  <c:v>0.20885200553250347</c:v>
                </c:pt>
                <c:pt idx="433">
                  <c:v>0.21023513139695713</c:v>
                </c:pt>
                <c:pt idx="434">
                  <c:v>0.21023513139695713</c:v>
                </c:pt>
                <c:pt idx="435">
                  <c:v>0.21161825726141079</c:v>
                </c:pt>
                <c:pt idx="436">
                  <c:v>0.21300138312586445</c:v>
                </c:pt>
                <c:pt idx="437">
                  <c:v>0.21300138312586445</c:v>
                </c:pt>
                <c:pt idx="438">
                  <c:v>0.21300138312586445</c:v>
                </c:pt>
                <c:pt idx="439">
                  <c:v>0.21300138312586445</c:v>
                </c:pt>
                <c:pt idx="440">
                  <c:v>0.21438450899031811</c:v>
                </c:pt>
                <c:pt idx="441">
                  <c:v>0.21438450899031811</c:v>
                </c:pt>
                <c:pt idx="442">
                  <c:v>0.21438450899031811</c:v>
                </c:pt>
                <c:pt idx="443">
                  <c:v>0.21438450899031811</c:v>
                </c:pt>
                <c:pt idx="444">
                  <c:v>0.21438450899031811</c:v>
                </c:pt>
                <c:pt idx="445">
                  <c:v>0.21576763485477179</c:v>
                </c:pt>
                <c:pt idx="446">
                  <c:v>0.21576763485477179</c:v>
                </c:pt>
                <c:pt idx="447">
                  <c:v>0.21576763485477179</c:v>
                </c:pt>
                <c:pt idx="448">
                  <c:v>0.21715076071922546</c:v>
                </c:pt>
                <c:pt idx="449">
                  <c:v>0.21853388658367912</c:v>
                </c:pt>
                <c:pt idx="450">
                  <c:v>0.21991701244813278</c:v>
                </c:pt>
                <c:pt idx="451">
                  <c:v>0.22130013831258644</c:v>
                </c:pt>
                <c:pt idx="452">
                  <c:v>0.22268326417704012</c:v>
                </c:pt>
                <c:pt idx="453">
                  <c:v>0.22268326417704012</c:v>
                </c:pt>
                <c:pt idx="454">
                  <c:v>0.22406639004149378</c:v>
                </c:pt>
                <c:pt idx="455">
                  <c:v>0.22406639004149378</c:v>
                </c:pt>
                <c:pt idx="456">
                  <c:v>0.22406639004149378</c:v>
                </c:pt>
                <c:pt idx="457">
                  <c:v>0.22406639004149378</c:v>
                </c:pt>
                <c:pt idx="458">
                  <c:v>0.22406639004149378</c:v>
                </c:pt>
                <c:pt idx="459">
                  <c:v>0.22406639004149378</c:v>
                </c:pt>
                <c:pt idx="460">
                  <c:v>0.22406639004149378</c:v>
                </c:pt>
                <c:pt idx="461">
                  <c:v>0.22406639004149378</c:v>
                </c:pt>
                <c:pt idx="462">
                  <c:v>0.22406639004149378</c:v>
                </c:pt>
                <c:pt idx="463">
                  <c:v>0.22544951590594745</c:v>
                </c:pt>
                <c:pt idx="464">
                  <c:v>0.22544951590594745</c:v>
                </c:pt>
                <c:pt idx="465">
                  <c:v>0.22544951590594745</c:v>
                </c:pt>
                <c:pt idx="466">
                  <c:v>0.22544951590594745</c:v>
                </c:pt>
                <c:pt idx="467">
                  <c:v>0.22683264177040111</c:v>
                </c:pt>
                <c:pt idx="468">
                  <c:v>0.22683264177040111</c:v>
                </c:pt>
                <c:pt idx="469">
                  <c:v>0.22821576763485477</c:v>
                </c:pt>
                <c:pt idx="470">
                  <c:v>0.22821576763485477</c:v>
                </c:pt>
                <c:pt idx="471">
                  <c:v>0.22821576763485477</c:v>
                </c:pt>
                <c:pt idx="472">
                  <c:v>0.22821576763485477</c:v>
                </c:pt>
                <c:pt idx="473">
                  <c:v>0.22821576763485477</c:v>
                </c:pt>
                <c:pt idx="474">
                  <c:v>0.22959889349930843</c:v>
                </c:pt>
                <c:pt idx="475">
                  <c:v>0.23098201936376211</c:v>
                </c:pt>
                <c:pt idx="476">
                  <c:v>0.23236514522821577</c:v>
                </c:pt>
                <c:pt idx="477">
                  <c:v>0.23236514522821577</c:v>
                </c:pt>
                <c:pt idx="478">
                  <c:v>0.23236514522821577</c:v>
                </c:pt>
                <c:pt idx="479">
                  <c:v>0.23236514522821577</c:v>
                </c:pt>
                <c:pt idx="480">
                  <c:v>0.23374827109266944</c:v>
                </c:pt>
                <c:pt idx="481">
                  <c:v>0.2351313969571231</c:v>
                </c:pt>
                <c:pt idx="482">
                  <c:v>0.2351313969571231</c:v>
                </c:pt>
                <c:pt idx="483">
                  <c:v>0.23651452282157676</c:v>
                </c:pt>
                <c:pt idx="484">
                  <c:v>0.23789764868603042</c:v>
                </c:pt>
                <c:pt idx="485">
                  <c:v>0.2392807745504841</c:v>
                </c:pt>
                <c:pt idx="486">
                  <c:v>0.2392807745504841</c:v>
                </c:pt>
                <c:pt idx="487">
                  <c:v>0.24066390041493776</c:v>
                </c:pt>
                <c:pt idx="488">
                  <c:v>0.24066390041493776</c:v>
                </c:pt>
                <c:pt idx="489">
                  <c:v>0.24066390041493776</c:v>
                </c:pt>
                <c:pt idx="490">
                  <c:v>0.24204702627939143</c:v>
                </c:pt>
                <c:pt idx="491">
                  <c:v>0.24204702627939143</c:v>
                </c:pt>
                <c:pt idx="492">
                  <c:v>0.24204702627939143</c:v>
                </c:pt>
                <c:pt idx="493">
                  <c:v>0.24204702627939143</c:v>
                </c:pt>
                <c:pt idx="494">
                  <c:v>0.24204702627939143</c:v>
                </c:pt>
                <c:pt idx="495">
                  <c:v>0.24204702627939143</c:v>
                </c:pt>
                <c:pt idx="496">
                  <c:v>0.24204702627939143</c:v>
                </c:pt>
                <c:pt idx="497">
                  <c:v>0.24204702627939143</c:v>
                </c:pt>
                <c:pt idx="498">
                  <c:v>0.24204702627939143</c:v>
                </c:pt>
                <c:pt idx="499">
                  <c:v>0.24204702627939143</c:v>
                </c:pt>
                <c:pt idx="500">
                  <c:v>0.24204702627939143</c:v>
                </c:pt>
                <c:pt idx="501">
                  <c:v>0.24204702627939143</c:v>
                </c:pt>
                <c:pt idx="502">
                  <c:v>0.24204702627939143</c:v>
                </c:pt>
                <c:pt idx="503">
                  <c:v>0.24343015214384509</c:v>
                </c:pt>
                <c:pt idx="504">
                  <c:v>0.24343015214384509</c:v>
                </c:pt>
                <c:pt idx="505">
                  <c:v>0.24481327800829875</c:v>
                </c:pt>
                <c:pt idx="506">
                  <c:v>0.24619640387275243</c:v>
                </c:pt>
                <c:pt idx="507">
                  <c:v>0.24619640387275243</c:v>
                </c:pt>
                <c:pt idx="508">
                  <c:v>0.24757952973720609</c:v>
                </c:pt>
                <c:pt idx="509">
                  <c:v>0.24896265560165975</c:v>
                </c:pt>
                <c:pt idx="510">
                  <c:v>0.24896265560165975</c:v>
                </c:pt>
                <c:pt idx="511">
                  <c:v>0.25034578146611342</c:v>
                </c:pt>
                <c:pt idx="512">
                  <c:v>0.25034578146611342</c:v>
                </c:pt>
                <c:pt idx="513">
                  <c:v>0.25034578146611342</c:v>
                </c:pt>
                <c:pt idx="514">
                  <c:v>0.25172890733056708</c:v>
                </c:pt>
                <c:pt idx="515">
                  <c:v>0.25311203319502074</c:v>
                </c:pt>
                <c:pt idx="516">
                  <c:v>0.2544951590594744</c:v>
                </c:pt>
                <c:pt idx="517">
                  <c:v>0.25587828492392806</c:v>
                </c:pt>
                <c:pt idx="518">
                  <c:v>0.25587828492392806</c:v>
                </c:pt>
                <c:pt idx="519">
                  <c:v>0.25587828492392806</c:v>
                </c:pt>
                <c:pt idx="520">
                  <c:v>0.25587828492392806</c:v>
                </c:pt>
                <c:pt idx="521">
                  <c:v>0.25726141078838172</c:v>
                </c:pt>
                <c:pt idx="522">
                  <c:v>0.25864453665283543</c:v>
                </c:pt>
                <c:pt idx="523">
                  <c:v>0.26002766251728909</c:v>
                </c:pt>
                <c:pt idx="524">
                  <c:v>0.26141078838174275</c:v>
                </c:pt>
                <c:pt idx="525">
                  <c:v>0.26141078838174275</c:v>
                </c:pt>
                <c:pt idx="526">
                  <c:v>0.26279391424619641</c:v>
                </c:pt>
                <c:pt idx="527">
                  <c:v>0.26417704011065007</c:v>
                </c:pt>
                <c:pt idx="528">
                  <c:v>0.26417704011065007</c:v>
                </c:pt>
                <c:pt idx="529">
                  <c:v>0.26417704011065007</c:v>
                </c:pt>
                <c:pt idx="530">
                  <c:v>0.26556016597510373</c:v>
                </c:pt>
                <c:pt idx="531">
                  <c:v>0.2669432918395574</c:v>
                </c:pt>
                <c:pt idx="532">
                  <c:v>0.26832641770401106</c:v>
                </c:pt>
                <c:pt idx="533">
                  <c:v>0.26970954356846472</c:v>
                </c:pt>
                <c:pt idx="534">
                  <c:v>0.26970954356846472</c:v>
                </c:pt>
                <c:pt idx="535">
                  <c:v>0.27109266943291838</c:v>
                </c:pt>
                <c:pt idx="536">
                  <c:v>0.27109266943291838</c:v>
                </c:pt>
                <c:pt idx="537">
                  <c:v>0.27247579529737204</c:v>
                </c:pt>
                <c:pt idx="538">
                  <c:v>0.27385892116182575</c:v>
                </c:pt>
                <c:pt idx="539">
                  <c:v>0.27524204702627941</c:v>
                </c:pt>
                <c:pt idx="540">
                  <c:v>0.27524204702627941</c:v>
                </c:pt>
                <c:pt idx="541">
                  <c:v>0.27662517289073307</c:v>
                </c:pt>
                <c:pt idx="542">
                  <c:v>0.27662517289073307</c:v>
                </c:pt>
                <c:pt idx="543">
                  <c:v>0.27662517289073307</c:v>
                </c:pt>
                <c:pt idx="544">
                  <c:v>0.27800829875518673</c:v>
                </c:pt>
                <c:pt idx="545">
                  <c:v>0.27939142461964039</c:v>
                </c:pt>
                <c:pt idx="546">
                  <c:v>0.28077455048409405</c:v>
                </c:pt>
                <c:pt idx="547">
                  <c:v>0.28215767634854771</c:v>
                </c:pt>
                <c:pt idx="548">
                  <c:v>0.28215767634854771</c:v>
                </c:pt>
                <c:pt idx="549">
                  <c:v>0.28215767634854771</c:v>
                </c:pt>
                <c:pt idx="550">
                  <c:v>0.28215767634854771</c:v>
                </c:pt>
                <c:pt idx="551">
                  <c:v>0.28354080221300137</c:v>
                </c:pt>
                <c:pt idx="552">
                  <c:v>0.28354080221300137</c:v>
                </c:pt>
                <c:pt idx="553">
                  <c:v>0.28492392807745504</c:v>
                </c:pt>
                <c:pt idx="554">
                  <c:v>0.28492392807745504</c:v>
                </c:pt>
                <c:pt idx="555">
                  <c:v>0.2863070539419087</c:v>
                </c:pt>
                <c:pt idx="556">
                  <c:v>0.28769017980636236</c:v>
                </c:pt>
                <c:pt idx="557">
                  <c:v>0.28907330567081607</c:v>
                </c:pt>
                <c:pt idx="558">
                  <c:v>0.29045643153526973</c:v>
                </c:pt>
                <c:pt idx="559">
                  <c:v>0.29183955739972339</c:v>
                </c:pt>
                <c:pt idx="560">
                  <c:v>0.29322268326417705</c:v>
                </c:pt>
                <c:pt idx="561">
                  <c:v>0.29460580912863071</c:v>
                </c:pt>
                <c:pt idx="562">
                  <c:v>0.29598893499308437</c:v>
                </c:pt>
                <c:pt idx="563">
                  <c:v>0.29737206085753803</c:v>
                </c:pt>
                <c:pt idx="564">
                  <c:v>0.29875518672199169</c:v>
                </c:pt>
                <c:pt idx="565">
                  <c:v>0.30013831258644535</c:v>
                </c:pt>
                <c:pt idx="566">
                  <c:v>0.30152143845089902</c:v>
                </c:pt>
                <c:pt idx="567">
                  <c:v>0.30290456431535268</c:v>
                </c:pt>
                <c:pt idx="568">
                  <c:v>0.30428769017980634</c:v>
                </c:pt>
                <c:pt idx="569">
                  <c:v>0.30567081604426005</c:v>
                </c:pt>
                <c:pt idx="570">
                  <c:v>0.30567081604426005</c:v>
                </c:pt>
                <c:pt idx="571">
                  <c:v>0.30567081604426005</c:v>
                </c:pt>
                <c:pt idx="572">
                  <c:v>0.30567081604426005</c:v>
                </c:pt>
                <c:pt idx="573">
                  <c:v>0.30705394190871371</c:v>
                </c:pt>
                <c:pt idx="574">
                  <c:v>0.30843706777316737</c:v>
                </c:pt>
                <c:pt idx="575">
                  <c:v>0.30982019363762103</c:v>
                </c:pt>
                <c:pt idx="576">
                  <c:v>0.31120331950207469</c:v>
                </c:pt>
                <c:pt idx="577">
                  <c:v>0.31258644536652835</c:v>
                </c:pt>
                <c:pt idx="578">
                  <c:v>0.31258644536652835</c:v>
                </c:pt>
                <c:pt idx="579">
                  <c:v>0.31258644536652835</c:v>
                </c:pt>
                <c:pt idx="580">
                  <c:v>0.31258644536652835</c:v>
                </c:pt>
                <c:pt idx="581">
                  <c:v>0.31396957123098201</c:v>
                </c:pt>
                <c:pt idx="582">
                  <c:v>0.31535269709543567</c:v>
                </c:pt>
                <c:pt idx="583">
                  <c:v>0.31535269709543567</c:v>
                </c:pt>
                <c:pt idx="584">
                  <c:v>0.31673582295988933</c:v>
                </c:pt>
                <c:pt idx="585">
                  <c:v>0.318118948824343</c:v>
                </c:pt>
                <c:pt idx="586">
                  <c:v>0.31950207468879666</c:v>
                </c:pt>
                <c:pt idx="587">
                  <c:v>0.31950207468879666</c:v>
                </c:pt>
                <c:pt idx="588">
                  <c:v>0.31950207468879666</c:v>
                </c:pt>
                <c:pt idx="589">
                  <c:v>0.31950207468879666</c:v>
                </c:pt>
                <c:pt idx="590">
                  <c:v>0.31950207468879666</c:v>
                </c:pt>
                <c:pt idx="591">
                  <c:v>0.32088520055325037</c:v>
                </c:pt>
                <c:pt idx="592">
                  <c:v>0.32226832641770403</c:v>
                </c:pt>
                <c:pt idx="593">
                  <c:v>0.32226832641770403</c:v>
                </c:pt>
                <c:pt idx="594">
                  <c:v>0.32365145228215769</c:v>
                </c:pt>
                <c:pt idx="595">
                  <c:v>0.32503457814661135</c:v>
                </c:pt>
                <c:pt idx="596">
                  <c:v>0.32641770401106501</c:v>
                </c:pt>
                <c:pt idx="597">
                  <c:v>0.32641770401106501</c:v>
                </c:pt>
                <c:pt idx="598">
                  <c:v>0.32780082987551867</c:v>
                </c:pt>
                <c:pt idx="599">
                  <c:v>0.32918395573997233</c:v>
                </c:pt>
                <c:pt idx="600">
                  <c:v>0.33056708160442599</c:v>
                </c:pt>
                <c:pt idx="601">
                  <c:v>0.33195020746887965</c:v>
                </c:pt>
                <c:pt idx="602">
                  <c:v>0.33195020746887965</c:v>
                </c:pt>
                <c:pt idx="603">
                  <c:v>0.33195020746887965</c:v>
                </c:pt>
                <c:pt idx="604">
                  <c:v>0.33333333333333331</c:v>
                </c:pt>
                <c:pt idx="605">
                  <c:v>0.33333333333333331</c:v>
                </c:pt>
                <c:pt idx="606">
                  <c:v>0.33333333333333331</c:v>
                </c:pt>
                <c:pt idx="607">
                  <c:v>0.33333333333333331</c:v>
                </c:pt>
                <c:pt idx="608">
                  <c:v>0.33471645919778698</c:v>
                </c:pt>
                <c:pt idx="609">
                  <c:v>0.33609958506224069</c:v>
                </c:pt>
                <c:pt idx="610">
                  <c:v>0.33609958506224069</c:v>
                </c:pt>
                <c:pt idx="611">
                  <c:v>0.33609958506224069</c:v>
                </c:pt>
                <c:pt idx="612">
                  <c:v>0.33748271092669435</c:v>
                </c:pt>
                <c:pt idx="613">
                  <c:v>0.33886583679114801</c:v>
                </c:pt>
                <c:pt idx="614">
                  <c:v>0.34024896265560167</c:v>
                </c:pt>
                <c:pt idx="615">
                  <c:v>0.34163208852005533</c:v>
                </c:pt>
                <c:pt idx="616">
                  <c:v>0.34301521438450899</c:v>
                </c:pt>
                <c:pt idx="617">
                  <c:v>0.34301521438450899</c:v>
                </c:pt>
                <c:pt idx="618">
                  <c:v>0.34439834024896265</c:v>
                </c:pt>
                <c:pt idx="619">
                  <c:v>0.34439834024896265</c:v>
                </c:pt>
                <c:pt idx="620">
                  <c:v>0.34578146611341631</c:v>
                </c:pt>
                <c:pt idx="621">
                  <c:v>0.34716459197786997</c:v>
                </c:pt>
                <c:pt idx="622">
                  <c:v>0.34854771784232363</c:v>
                </c:pt>
                <c:pt idx="623">
                  <c:v>0.34993084370677729</c:v>
                </c:pt>
                <c:pt idx="624">
                  <c:v>0.35131396957123096</c:v>
                </c:pt>
                <c:pt idx="625">
                  <c:v>0.35131396957123096</c:v>
                </c:pt>
                <c:pt idx="626">
                  <c:v>0.35269709543568467</c:v>
                </c:pt>
                <c:pt idx="627">
                  <c:v>0.35269709543568467</c:v>
                </c:pt>
                <c:pt idx="628">
                  <c:v>0.35408022130013833</c:v>
                </c:pt>
                <c:pt idx="629">
                  <c:v>0.35408022130013833</c:v>
                </c:pt>
                <c:pt idx="630">
                  <c:v>0.35408022130013833</c:v>
                </c:pt>
                <c:pt idx="631">
                  <c:v>0.35408022130013833</c:v>
                </c:pt>
                <c:pt idx="632">
                  <c:v>0.35408022130013833</c:v>
                </c:pt>
                <c:pt idx="633">
                  <c:v>0.35408022130013833</c:v>
                </c:pt>
                <c:pt idx="634">
                  <c:v>0.35546334716459199</c:v>
                </c:pt>
                <c:pt idx="635">
                  <c:v>0.35684647302904565</c:v>
                </c:pt>
                <c:pt idx="636">
                  <c:v>0.35822959889349931</c:v>
                </c:pt>
                <c:pt idx="637">
                  <c:v>0.35961272475795297</c:v>
                </c:pt>
                <c:pt idx="638">
                  <c:v>0.36099585062240663</c:v>
                </c:pt>
                <c:pt idx="639">
                  <c:v>0.36099585062240663</c:v>
                </c:pt>
                <c:pt idx="640">
                  <c:v>0.36099585062240663</c:v>
                </c:pt>
                <c:pt idx="641">
                  <c:v>0.36099585062240663</c:v>
                </c:pt>
                <c:pt idx="642">
                  <c:v>0.36237897648686029</c:v>
                </c:pt>
                <c:pt idx="643">
                  <c:v>0.36376210235131395</c:v>
                </c:pt>
                <c:pt idx="644">
                  <c:v>0.36376210235131395</c:v>
                </c:pt>
                <c:pt idx="645">
                  <c:v>0.36376210235131395</c:v>
                </c:pt>
                <c:pt idx="646">
                  <c:v>0.36376210235131395</c:v>
                </c:pt>
                <c:pt idx="647">
                  <c:v>0.36514522821576761</c:v>
                </c:pt>
                <c:pt idx="648">
                  <c:v>0.36652835408022127</c:v>
                </c:pt>
                <c:pt idx="649">
                  <c:v>0.36791147994467499</c:v>
                </c:pt>
                <c:pt idx="650">
                  <c:v>0.36929460580912865</c:v>
                </c:pt>
                <c:pt idx="651">
                  <c:v>0.36929460580912865</c:v>
                </c:pt>
                <c:pt idx="652">
                  <c:v>0.36929460580912865</c:v>
                </c:pt>
                <c:pt idx="653">
                  <c:v>0.36929460580912865</c:v>
                </c:pt>
                <c:pt idx="654">
                  <c:v>0.37067773167358231</c:v>
                </c:pt>
                <c:pt idx="655">
                  <c:v>0.37067773167358231</c:v>
                </c:pt>
                <c:pt idx="656">
                  <c:v>0.37206085753803597</c:v>
                </c:pt>
                <c:pt idx="657">
                  <c:v>0.37344398340248963</c:v>
                </c:pt>
                <c:pt idx="658">
                  <c:v>0.37482710926694329</c:v>
                </c:pt>
                <c:pt idx="659">
                  <c:v>0.37621023513139695</c:v>
                </c:pt>
                <c:pt idx="660">
                  <c:v>0.37759336099585061</c:v>
                </c:pt>
                <c:pt idx="661">
                  <c:v>0.37897648686030427</c:v>
                </c:pt>
                <c:pt idx="662">
                  <c:v>0.37897648686030427</c:v>
                </c:pt>
                <c:pt idx="663">
                  <c:v>0.38035961272475793</c:v>
                </c:pt>
                <c:pt idx="664">
                  <c:v>0.38174273858921159</c:v>
                </c:pt>
                <c:pt idx="665">
                  <c:v>0.38312586445366531</c:v>
                </c:pt>
                <c:pt idx="666">
                  <c:v>0.38312586445366531</c:v>
                </c:pt>
                <c:pt idx="667">
                  <c:v>0.38312586445366531</c:v>
                </c:pt>
                <c:pt idx="668">
                  <c:v>0.38312586445366531</c:v>
                </c:pt>
                <c:pt idx="669">
                  <c:v>0.38450899031811897</c:v>
                </c:pt>
                <c:pt idx="670">
                  <c:v>0.38450899031811897</c:v>
                </c:pt>
                <c:pt idx="671">
                  <c:v>0.38450899031811897</c:v>
                </c:pt>
                <c:pt idx="672">
                  <c:v>0.38450899031811897</c:v>
                </c:pt>
                <c:pt idx="673">
                  <c:v>0.38450899031811897</c:v>
                </c:pt>
                <c:pt idx="674">
                  <c:v>0.38589211618257263</c:v>
                </c:pt>
                <c:pt idx="675">
                  <c:v>0.38727524204702629</c:v>
                </c:pt>
                <c:pt idx="676">
                  <c:v>0.38865836791147995</c:v>
                </c:pt>
                <c:pt idx="677">
                  <c:v>0.38865836791147995</c:v>
                </c:pt>
                <c:pt idx="678">
                  <c:v>0.39004149377593361</c:v>
                </c:pt>
                <c:pt idx="679">
                  <c:v>0.39142461964038727</c:v>
                </c:pt>
                <c:pt idx="680">
                  <c:v>0.39280774550484093</c:v>
                </c:pt>
                <c:pt idx="681">
                  <c:v>0.39419087136929459</c:v>
                </c:pt>
                <c:pt idx="682">
                  <c:v>0.39419087136929459</c:v>
                </c:pt>
                <c:pt idx="683">
                  <c:v>0.39419087136929459</c:v>
                </c:pt>
                <c:pt idx="684">
                  <c:v>0.39557399723374825</c:v>
                </c:pt>
                <c:pt idx="685">
                  <c:v>0.39695712309820191</c:v>
                </c:pt>
                <c:pt idx="686">
                  <c:v>0.39695712309820191</c:v>
                </c:pt>
                <c:pt idx="687">
                  <c:v>0.39834024896265557</c:v>
                </c:pt>
                <c:pt idx="688">
                  <c:v>0.39834024896265557</c:v>
                </c:pt>
                <c:pt idx="689">
                  <c:v>0.39972337482710929</c:v>
                </c:pt>
                <c:pt idx="690">
                  <c:v>0.39972337482710929</c:v>
                </c:pt>
                <c:pt idx="691">
                  <c:v>0.40110650069156295</c:v>
                </c:pt>
                <c:pt idx="692">
                  <c:v>0.40248962655601661</c:v>
                </c:pt>
                <c:pt idx="693">
                  <c:v>0.40248962655601661</c:v>
                </c:pt>
                <c:pt idx="694">
                  <c:v>0.40387275242047027</c:v>
                </c:pt>
                <c:pt idx="695">
                  <c:v>0.40525587828492393</c:v>
                </c:pt>
                <c:pt idx="696">
                  <c:v>0.40663900414937759</c:v>
                </c:pt>
                <c:pt idx="697">
                  <c:v>0.40802213001383125</c:v>
                </c:pt>
                <c:pt idx="698">
                  <c:v>0.40802213001383125</c:v>
                </c:pt>
                <c:pt idx="699">
                  <c:v>0.40940525587828491</c:v>
                </c:pt>
                <c:pt idx="700">
                  <c:v>0.40940525587828491</c:v>
                </c:pt>
                <c:pt idx="701">
                  <c:v>0.40940525587828491</c:v>
                </c:pt>
                <c:pt idx="702">
                  <c:v>0.40940525587828491</c:v>
                </c:pt>
                <c:pt idx="703">
                  <c:v>0.41078838174273857</c:v>
                </c:pt>
                <c:pt idx="704">
                  <c:v>0.41078838174273857</c:v>
                </c:pt>
                <c:pt idx="705">
                  <c:v>0.41078838174273857</c:v>
                </c:pt>
                <c:pt idx="706">
                  <c:v>0.41217150760719223</c:v>
                </c:pt>
                <c:pt idx="707">
                  <c:v>0.41217150760719223</c:v>
                </c:pt>
                <c:pt idx="708">
                  <c:v>0.41355463347164589</c:v>
                </c:pt>
                <c:pt idx="709">
                  <c:v>0.41355463347164589</c:v>
                </c:pt>
                <c:pt idx="710">
                  <c:v>0.41355463347164589</c:v>
                </c:pt>
                <c:pt idx="711">
                  <c:v>0.41355463347164589</c:v>
                </c:pt>
                <c:pt idx="712">
                  <c:v>0.41493775933609961</c:v>
                </c:pt>
                <c:pt idx="713">
                  <c:v>0.41493775933609961</c:v>
                </c:pt>
                <c:pt idx="714">
                  <c:v>0.41632088520055327</c:v>
                </c:pt>
                <c:pt idx="715">
                  <c:v>0.41770401106500693</c:v>
                </c:pt>
                <c:pt idx="716">
                  <c:v>0.41908713692946059</c:v>
                </c:pt>
                <c:pt idx="717">
                  <c:v>0.42047026279391425</c:v>
                </c:pt>
                <c:pt idx="718">
                  <c:v>0.42047026279391425</c:v>
                </c:pt>
                <c:pt idx="719">
                  <c:v>0.42047026279391425</c:v>
                </c:pt>
                <c:pt idx="720">
                  <c:v>0.42047026279391425</c:v>
                </c:pt>
                <c:pt idx="721">
                  <c:v>0.42185338865836791</c:v>
                </c:pt>
                <c:pt idx="722">
                  <c:v>0.42323651452282157</c:v>
                </c:pt>
                <c:pt idx="723">
                  <c:v>0.42461964038727523</c:v>
                </c:pt>
                <c:pt idx="724">
                  <c:v>0.42461964038727523</c:v>
                </c:pt>
                <c:pt idx="725">
                  <c:v>0.42600276625172889</c:v>
                </c:pt>
                <c:pt idx="726">
                  <c:v>0.42600276625172889</c:v>
                </c:pt>
                <c:pt idx="727">
                  <c:v>0.42600276625172889</c:v>
                </c:pt>
                <c:pt idx="728">
                  <c:v>0.42600276625172889</c:v>
                </c:pt>
                <c:pt idx="729">
                  <c:v>0.42738589211618255</c:v>
                </c:pt>
                <c:pt idx="730">
                  <c:v>0.42738589211618255</c:v>
                </c:pt>
                <c:pt idx="731">
                  <c:v>0.42876901798063621</c:v>
                </c:pt>
                <c:pt idx="732">
                  <c:v>0.42876901798063621</c:v>
                </c:pt>
                <c:pt idx="733">
                  <c:v>0.43015214384508993</c:v>
                </c:pt>
                <c:pt idx="734">
                  <c:v>0.43153526970954359</c:v>
                </c:pt>
                <c:pt idx="735">
                  <c:v>0.43291839557399725</c:v>
                </c:pt>
                <c:pt idx="736">
                  <c:v>0.43291839557399725</c:v>
                </c:pt>
                <c:pt idx="737">
                  <c:v>0.43430152143845091</c:v>
                </c:pt>
                <c:pt idx="738">
                  <c:v>0.43430152143845091</c:v>
                </c:pt>
                <c:pt idx="739">
                  <c:v>0.43568464730290457</c:v>
                </c:pt>
                <c:pt idx="740">
                  <c:v>0.43706777316735823</c:v>
                </c:pt>
                <c:pt idx="741">
                  <c:v>0.43845089903181189</c:v>
                </c:pt>
                <c:pt idx="742">
                  <c:v>0.43983402489626555</c:v>
                </c:pt>
                <c:pt idx="743">
                  <c:v>0.44121715076071921</c:v>
                </c:pt>
                <c:pt idx="744">
                  <c:v>0.44260027662517287</c:v>
                </c:pt>
                <c:pt idx="745">
                  <c:v>0.44398340248962653</c:v>
                </c:pt>
                <c:pt idx="746">
                  <c:v>0.44398340248962653</c:v>
                </c:pt>
                <c:pt idx="747">
                  <c:v>0.44536652835408025</c:v>
                </c:pt>
                <c:pt idx="748">
                  <c:v>0.44536652835408025</c:v>
                </c:pt>
                <c:pt idx="749">
                  <c:v>0.44536652835408025</c:v>
                </c:pt>
                <c:pt idx="750">
                  <c:v>0.44674965421853391</c:v>
                </c:pt>
                <c:pt idx="751">
                  <c:v>0.44813278008298757</c:v>
                </c:pt>
                <c:pt idx="752">
                  <c:v>0.44951590594744123</c:v>
                </c:pt>
                <c:pt idx="753">
                  <c:v>0.45089903181189489</c:v>
                </c:pt>
                <c:pt idx="754">
                  <c:v>0.45228215767634855</c:v>
                </c:pt>
                <c:pt idx="755">
                  <c:v>0.45366528354080221</c:v>
                </c:pt>
                <c:pt idx="756">
                  <c:v>0.45366528354080221</c:v>
                </c:pt>
                <c:pt idx="757">
                  <c:v>0.45504840940525587</c:v>
                </c:pt>
                <c:pt idx="758">
                  <c:v>0.45643153526970953</c:v>
                </c:pt>
                <c:pt idx="759">
                  <c:v>0.45781466113416319</c:v>
                </c:pt>
                <c:pt idx="760">
                  <c:v>0.45919778699861685</c:v>
                </c:pt>
                <c:pt idx="761">
                  <c:v>0.46058091286307051</c:v>
                </c:pt>
                <c:pt idx="762">
                  <c:v>0.46196403872752423</c:v>
                </c:pt>
                <c:pt idx="763">
                  <c:v>0.46334716459197789</c:v>
                </c:pt>
                <c:pt idx="764">
                  <c:v>0.46473029045643155</c:v>
                </c:pt>
                <c:pt idx="765">
                  <c:v>0.46473029045643155</c:v>
                </c:pt>
                <c:pt idx="766">
                  <c:v>0.46473029045643155</c:v>
                </c:pt>
                <c:pt idx="767">
                  <c:v>0.46473029045643155</c:v>
                </c:pt>
                <c:pt idx="768">
                  <c:v>0.46611341632088521</c:v>
                </c:pt>
                <c:pt idx="769">
                  <c:v>0.46749654218533887</c:v>
                </c:pt>
                <c:pt idx="770">
                  <c:v>0.46887966804979253</c:v>
                </c:pt>
                <c:pt idx="771">
                  <c:v>0.47026279391424619</c:v>
                </c:pt>
                <c:pt idx="772">
                  <c:v>0.47026279391424619</c:v>
                </c:pt>
                <c:pt idx="773">
                  <c:v>0.47164591977869985</c:v>
                </c:pt>
                <c:pt idx="774">
                  <c:v>0.47302904564315351</c:v>
                </c:pt>
                <c:pt idx="775">
                  <c:v>0.47302904564315351</c:v>
                </c:pt>
                <c:pt idx="776">
                  <c:v>0.47441217150760717</c:v>
                </c:pt>
                <c:pt idx="777">
                  <c:v>0.47579529737206083</c:v>
                </c:pt>
                <c:pt idx="778">
                  <c:v>0.47717842323651455</c:v>
                </c:pt>
                <c:pt idx="779">
                  <c:v>0.47856154910096821</c:v>
                </c:pt>
                <c:pt idx="780">
                  <c:v>0.47856154910096821</c:v>
                </c:pt>
                <c:pt idx="781">
                  <c:v>0.47856154910096821</c:v>
                </c:pt>
                <c:pt idx="782">
                  <c:v>0.47994467496542187</c:v>
                </c:pt>
                <c:pt idx="783">
                  <c:v>0.48132780082987553</c:v>
                </c:pt>
                <c:pt idx="784">
                  <c:v>0.48271092669432919</c:v>
                </c:pt>
                <c:pt idx="785">
                  <c:v>0.48409405255878285</c:v>
                </c:pt>
                <c:pt idx="786">
                  <c:v>0.48547717842323651</c:v>
                </c:pt>
                <c:pt idx="787">
                  <c:v>0.48686030428769017</c:v>
                </c:pt>
                <c:pt idx="788">
                  <c:v>0.48686030428769017</c:v>
                </c:pt>
                <c:pt idx="789">
                  <c:v>0.48824343015214383</c:v>
                </c:pt>
                <c:pt idx="790">
                  <c:v>0.48824343015214383</c:v>
                </c:pt>
                <c:pt idx="791">
                  <c:v>0.48962655601659749</c:v>
                </c:pt>
                <c:pt idx="792">
                  <c:v>0.48962655601659749</c:v>
                </c:pt>
                <c:pt idx="793">
                  <c:v>0.49100968188105115</c:v>
                </c:pt>
                <c:pt idx="794">
                  <c:v>0.49100968188105115</c:v>
                </c:pt>
                <c:pt idx="795">
                  <c:v>0.49239280774550487</c:v>
                </c:pt>
                <c:pt idx="796">
                  <c:v>0.49377593360995853</c:v>
                </c:pt>
                <c:pt idx="797">
                  <c:v>0.49515905947441219</c:v>
                </c:pt>
                <c:pt idx="798">
                  <c:v>0.49515905947441219</c:v>
                </c:pt>
                <c:pt idx="799">
                  <c:v>0.49515905947441219</c:v>
                </c:pt>
                <c:pt idx="800">
                  <c:v>0.49654218533886585</c:v>
                </c:pt>
                <c:pt idx="801">
                  <c:v>0.49792531120331951</c:v>
                </c:pt>
                <c:pt idx="802">
                  <c:v>0.49930843706777317</c:v>
                </c:pt>
                <c:pt idx="803">
                  <c:v>0.50069156293222683</c:v>
                </c:pt>
                <c:pt idx="804">
                  <c:v>0.50069156293222683</c:v>
                </c:pt>
                <c:pt idx="805">
                  <c:v>0.50207468879668049</c:v>
                </c:pt>
                <c:pt idx="806">
                  <c:v>0.50345781466113415</c:v>
                </c:pt>
                <c:pt idx="807">
                  <c:v>0.50484094052558781</c:v>
                </c:pt>
                <c:pt idx="808">
                  <c:v>0.50622406639004147</c:v>
                </c:pt>
                <c:pt idx="809">
                  <c:v>0.50760719225449513</c:v>
                </c:pt>
                <c:pt idx="810">
                  <c:v>0.50899031811894879</c:v>
                </c:pt>
                <c:pt idx="811">
                  <c:v>0.50899031811894879</c:v>
                </c:pt>
                <c:pt idx="812">
                  <c:v>0.50899031811894879</c:v>
                </c:pt>
                <c:pt idx="813">
                  <c:v>0.51037344398340245</c:v>
                </c:pt>
                <c:pt idx="814">
                  <c:v>0.51175656984785611</c:v>
                </c:pt>
                <c:pt idx="815">
                  <c:v>0.51313969571230977</c:v>
                </c:pt>
                <c:pt idx="816">
                  <c:v>0.51452282157676343</c:v>
                </c:pt>
                <c:pt idx="817">
                  <c:v>0.51590594744121721</c:v>
                </c:pt>
                <c:pt idx="818">
                  <c:v>0.51728907330567087</c:v>
                </c:pt>
                <c:pt idx="819">
                  <c:v>0.51728907330567087</c:v>
                </c:pt>
                <c:pt idx="820">
                  <c:v>0.51867219917012453</c:v>
                </c:pt>
                <c:pt idx="821">
                  <c:v>0.52005532503457819</c:v>
                </c:pt>
                <c:pt idx="822">
                  <c:v>0.52005532503457819</c:v>
                </c:pt>
                <c:pt idx="823">
                  <c:v>0.52005532503457819</c:v>
                </c:pt>
                <c:pt idx="824">
                  <c:v>0.52143845089903185</c:v>
                </c:pt>
                <c:pt idx="825">
                  <c:v>0.52143845089903185</c:v>
                </c:pt>
                <c:pt idx="826">
                  <c:v>0.52143845089903185</c:v>
                </c:pt>
                <c:pt idx="827">
                  <c:v>0.52143845089903185</c:v>
                </c:pt>
                <c:pt idx="828">
                  <c:v>0.52282157676348551</c:v>
                </c:pt>
                <c:pt idx="829">
                  <c:v>0.52420470262793917</c:v>
                </c:pt>
                <c:pt idx="830">
                  <c:v>0.52558782849239283</c:v>
                </c:pt>
                <c:pt idx="831">
                  <c:v>0.52558782849239283</c:v>
                </c:pt>
                <c:pt idx="832">
                  <c:v>0.52558782849239283</c:v>
                </c:pt>
                <c:pt idx="833">
                  <c:v>0.52558782849239283</c:v>
                </c:pt>
                <c:pt idx="834">
                  <c:v>0.52558782849239283</c:v>
                </c:pt>
                <c:pt idx="835">
                  <c:v>0.52558782849239283</c:v>
                </c:pt>
                <c:pt idx="836">
                  <c:v>0.52558782849239283</c:v>
                </c:pt>
                <c:pt idx="837">
                  <c:v>0.52697095435684649</c:v>
                </c:pt>
                <c:pt idx="838">
                  <c:v>0.52835408022130015</c:v>
                </c:pt>
                <c:pt idx="839">
                  <c:v>0.52973720608575381</c:v>
                </c:pt>
                <c:pt idx="840">
                  <c:v>0.53112033195020747</c:v>
                </c:pt>
                <c:pt idx="841">
                  <c:v>0.53250345781466113</c:v>
                </c:pt>
                <c:pt idx="842">
                  <c:v>0.53250345781466113</c:v>
                </c:pt>
                <c:pt idx="843">
                  <c:v>0.53250345781466113</c:v>
                </c:pt>
                <c:pt idx="844">
                  <c:v>0.53388658367911479</c:v>
                </c:pt>
                <c:pt idx="845">
                  <c:v>0.53526970954356845</c:v>
                </c:pt>
                <c:pt idx="846">
                  <c:v>0.53526970954356845</c:v>
                </c:pt>
                <c:pt idx="847">
                  <c:v>0.53526970954356845</c:v>
                </c:pt>
                <c:pt idx="848">
                  <c:v>0.53665283540802211</c:v>
                </c:pt>
                <c:pt idx="849">
                  <c:v>0.53803596127247577</c:v>
                </c:pt>
                <c:pt idx="850">
                  <c:v>0.53941908713692943</c:v>
                </c:pt>
                <c:pt idx="851">
                  <c:v>0.53941908713692943</c:v>
                </c:pt>
                <c:pt idx="852">
                  <c:v>0.53941908713692943</c:v>
                </c:pt>
                <c:pt idx="853">
                  <c:v>0.54080221300138309</c:v>
                </c:pt>
                <c:pt idx="854">
                  <c:v>0.54218533886583675</c:v>
                </c:pt>
                <c:pt idx="855">
                  <c:v>0.54356846473029041</c:v>
                </c:pt>
                <c:pt idx="856">
                  <c:v>0.54495159059474407</c:v>
                </c:pt>
                <c:pt idx="857">
                  <c:v>0.54633471645919773</c:v>
                </c:pt>
                <c:pt idx="858">
                  <c:v>0.5477178423236515</c:v>
                </c:pt>
                <c:pt idx="859">
                  <c:v>0.5477178423236515</c:v>
                </c:pt>
                <c:pt idx="860">
                  <c:v>0.54910096818810517</c:v>
                </c:pt>
                <c:pt idx="861">
                  <c:v>0.54910096818810517</c:v>
                </c:pt>
                <c:pt idx="862">
                  <c:v>0.55048409405255883</c:v>
                </c:pt>
                <c:pt idx="863">
                  <c:v>0.55186721991701249</c:v>
                </c:pt>
                <c:pt idx="864">
                  <c:v>0.55325034578146615</c:v>
                </c:pt>
                <c:pt idx="865">
                  <c:v>0.55463347164591981</c:v>
                </c:pt>
                <c:pt idx="866">
                  <c:v>0.55601659751037347</c:v>
                </c:pt>
                <c:pt idx="867">
                  <c:v>0.55739972337482713</c:v>
                </c:pt>
                <c:pt idx="868">
                  <c:v>0.55878284923928079</c:v>
                </c:pt>
                <c:pt idx="869">
                  <c:v>0.56016597510373445</c:v>
                </c:pt>
                <c:pt idx="870">
                  <c:v>0.56154910096818811</c:v>
                </c:pt>
                <c:pt idx="871">
                  <c:v>0.56293222683264177</c:v>
                </c:pt>
                <c:pt idx="872">
                  <c:v>0.56431535269709543</c:v>
                </c:pt>
                <c:pt idx="873">
                  <c:v>0.56431535269709543</c:v>
                </c:pt>
                <c:pt idx="874">
                  <c:v>0.56569847856154909</c:v>
                </c:pt>
                <c:pt idx="875">
                  <c:v>0.56708160442600275</c:v>
                </c:pt>
                <c:pt idx="876">
                  <c:v>0.56846473029045641</c:v>
                </c:pt>
                <c:pt idx="877">
                  <c:v>0.56984785615491007</c:v>
                </c:pt>
                <c:pt idx="878">
                  <c:v>0.56984785615491007</c:v>
                </c:pt>
                <c:pt idx="879">
                  <c:v>0.57123098201936373</c:v>
                </c:pt>
                <c:pt idx="880">
                  <c:v>0.57261410788381739</c:v>
                </c:pt>
                <c:pt idx="881">
                  <c:v>0.57261410788381739</c:v>
                </c:pt>
                <c:pt idx="882">
                  <c:v>0.57261410788381739</c:v>
                </c:pt>
                <c:pt idx="883">
                  <c:v>0.57261410788381739</c:v>
                </c:pt>
                <c:pt idx="884">
                  <c:v>0.57399723374827105</c:v>
                </c:pt>
                <c:pt idx="885">
                  <c:v>0.57538035961272471</c:v>
                </c:pt>
                <c:pt idx="886">
                  <c:v>0.57676348547717837</c:v>
                </c:pt>
                <c:pt idx="887">
                  <c:v>0.57814661134163214</c:v>
                </c:pt>
                <c:pt idx="888">
                  <c:v>0.57814661134163214</c:v>
                </c:pt>
                <c:pt idx="889">
                  <c:v>0.5795297372060858</c:v>
                </c:pt>
                <c:pt idx="890">
                  <c:v>0.58091286307053946</c:v>
                </c:pt>
                <c:pt idx="891">
                  <c:v>0.58229598893499313</c:v>
                </c:pt>
                <c:pt idx="892">
                  <c:v>0.58367911479944679</c:v>
                </c:pt>
                <c:pt idx="893">
                  <c:v>0.58506224066390045</c:v>
                </c:pt>
                <c:pt idx="894">
                  <c:v>0.58644536652835411</c:v>
                </c:pt>
                <c:pt idx="895">
                  <c:v>0.58782849239280777</c:v>
                </c:pt>
                <c:pt idx="896">
                  <c:v>0.58782849239280777</c:v>
                </c:pt>
                <c:pt idx="897">
                  <c:v>0.58921161825726143</c:v>
                </c:pt>
                <c:pt idx="898">
                  <c:v>0.59059474412171509</c:v>
                </c:pt>
                <c:pt idx="899">
                  <c:v>0.59197786998616875</c:v>
                </c:pt>
                <c:pt idx="900">
                  <c:v>0.59336099585062241</c:v>
                </c:pt>
                <c:pt idx="901">
                  <c:v>0.59474412171507607</c:v>
                </c:pt>
                <c:pt idx="902">
                  <c:v>0.59474412171507607</c:v>
                </c:pt>
                <c:pt idx="903">
                  <c:v>0.59612724757952973</c:v>
                </c:pt>
                <c:pt idx="904">
                  <c:v>0.59751037344398339</c:v>
                </c:pt>
                <c:pt idx="905">
                  <c:v>0.59889349930843705</c:v>
                </c:pt>
                <c:pt idx="906">
                  <c:v>0.59889349930843705</c:v>
                </c:pt>
                <c:pt idx="907">
                  <c:v>0.60027662517289071</c:v>
                </c:pt>
                <c:pt idx="908">
                  <c:v>0.60165975103734437</c:v>
                </c:pt>
                <c:pt idx="909">
                  <c:v>0.60165975103734437</c:v>
                </c:pt>
                <c:pt idx="910">
                  <c:v>0.60304287690179803</c:v>
                </c:pt>
                <c:pt idx="911">
                  <c:v>0.60304287690179803</c:v>
                </c:pt>
                <c:pt idx="912">
                  <c:v>0.60442600276625169</c:v>
                </c:pt>
                <c:pt idx="913">
                  <c:v>0.60442600276625169</c:v>
                </c:pt>
                <c:pt idx="914">
                  <c:v>0.60442600276625169</c:v>
                </c:pt>
                <c:pt idx="915">
                  <c:v>0.60442600276625169</c:v>
                </c:pt>
                <c:pt idx="916">
                  <c:v>0.60580912863070535</c:v>
                </c:pt>
                <c:pt idx="917">
                  <c:v>0.60719225449515901</c:v>
                </c:pt>
                <c:pt idx="918">
                  <c:v>0.60719225449515901</c:v>
                </c:pt>
                <c:pt idx="919">
                  <c:v>0.60857538035961267</c:v>
                </c:pt>
                <c:pt idx="920">
                  <c:v>0.60995850622406644</c:v>
                </c:pt>
                <c:pt idx="921">
                  <c:v>0.6113416320885201</c:v>
                </c:pt>
                <c:pt idx="922">
                  <c:v>0.6113416320885201</c:v>
                </c:pt>
                <c:pt idx="923">
                  <c:v>0.6113416320885201</c:v>
                </c:pt>
                <c:pt idx="924">
                  <c:v>0.6113416320885201</c:v>
                </c:pt>
                <c:pt idx="925">
                  <c:v>0.61272475795297376</c:v>
                </c:pt>
                <c:pt idx="926">
                  <c:v>0.61272475795297376</c:v>
                </c:pt>
                <c:pt idx="927">
                  <c:v>0.61272475795297376</c:v>
                </c:pt>
                <c:pt idx="928">
                  <c:v>0.61272475795297376</c:v>
                </c:pt>
                <c:pt idx="929">
                  <c:v>0.61272475795297376</c:v>
                </c:pt>
                <c:pt idx="930">
                  <c:v>0.61272475795297376</c:v>
                </c:pt>
                <c:pt idx="931">
                  <c:v>0.61272475795297376</c:v>
                </c:pt>
                <c:pt idx="932">
                  <c:v>0.61410788381742742</c:v>
                </c:pt>
                <c:pt idx="933">
                  <c:v>0.61549100968188108</c:v>
                </c:pt>
                <c:pt idx="934">
                  <c:v>0.61687413554633475</c:v>
                </c:pt>
                <c:pt idx="935">
                  <c:v>0.61825726141078841</c:v>
                </c:pt>
                <c:pt idx="936">
                  <c:v>0.61964038727524207</c:v>
                </c:pt>
                <c:pt idx="937">
                  <c:v>0.62102351313969573</c:v>
                </c:pt>
                <c:pt idx="938">
                  <c:v>0.62102351313969573</c:v>
                </c:pt>
                <c:pt idx="939">
                  <c:v>0.62240663900414939</c:v>
                </c:pt>
                <c:pt idx="940">
                  <c:v>0.62378976486860305</c:v>
                </c:pt>
                <c:pt idx="941">
                  <c:v>0.62517289073305671</c:v>
                </c:pt>
                <c:pt idx="942">
                  <c:v>0.62517289073305671</c:v>
                </c:pt>
                <c:pt idx="943">
                  <c:v>0.62655601659751037</c:v>
                </c:pt>
                <c:pt idx="944">
                  <c:v>0.62793914246196403</c:v>
                </c:pt>
                <c:pt idx="945">
                  <c:v>0.62932226832641769</c:v>
                </c:pt>
                <c:pt idx="946">
                  <c:v>0.62932226832641769</c:v>
                </c:pt>
                <c:pt idx="947">
                  <c:v>0.62932226832641769</c:v>
                </c:pt>
                <c:pt idx="948">
                  <c:v>0.63070539419087135</c:v>
                </c:pt>
                <c:pt idx="949">
                  <c:v>0.63208852005532501</c:v>
                </c:pt>
                <c:pt idx="950">
                  <c:v>0.63347164591977867</c:v>
                </c:pt>
                <c:pt idx="951">
                  <c:v>0.63485477178423233</c:v>
                </c:pt>
                <c:pt idx="952">
                  <c:v>0.63623789764868599</c:v>
                </c:pt>
                <c:pt idx="953">
                  <c:v>0.63623789764868599</c:v>
                </c:pt>
                <c:pt idx="954">
                  <c:v>0.63762102351313965</c:v>
                </c:pt>
                <c:pt idx="955">
                  <c:v>0.63900414937759331</c:v>
                </c:pt>
                <c:pt idx="956">
                  <c:v>0.64038727524204697</c:v>
                </c:pt>
                <c:pt idx="957">
                  <c:v>0.64177040110650074</c:v>
                </c:pt>
                <c:pt idx="958">
                  <c:v>0.6431535269709544</c:v>
                </c:pt>
                <c:pt idx="959">
                  <c:v>0.64453665283540806</c:v>
                </c:pt>
                <c:pt idx="960">
                  <c:v>0.64591977869986172</c:v>
                </c:pt>
                <c:pt idx="961">
                  <c:v>0.64730290456431538</c:v>
                </c:pt>
                <c:pt idx="962">
                  <c:v>0.64868603042876904</c:v>
                </c:pt>
                <c:pt idx="963">
                  <c:v>0.65006915629322271</c:v>
                </c:pt>
                <c:pt idx="964">
                  <c:v>0.65145228215767637</c:v>
                </c:pt>
                <c:pt idx="965">
                  <c:v>0.65283540802213003</c:v>
                </c:pt>
                <c:pt idx="966">
                  <c:v>0.65421853388658369</c:v>
                </c:pt>
                <c:pt idx="967">
                  <c:v>0.65560165975103735</c:v>
                </c:pt>
                <c:pt idx="968">
                  <c:v>0.65698478561549101</c:v>
                </c:pt>
                <c:pt idx="969">
                  <c:v>0.65836791147994467</c:v>
                </c:pt>
                <c:pt idx="970">
                  <c:v>0.65836791147994467</c:v>
                </c:pt>
                <c:pt idx="971">
                  <c:v>0.65975103734439833</c:v>
                </c:pt>
                <c:pt idx="972">
                  <c:v>0.66113416320885199</c:v>
                </c:pt>
                <c:pt idx="973">
                  <c:v>0.66251728907330565</c:v>
                </c:pt>
                <c:pt idx="974">
                  <c:v>0.66390041493775931</c:v>
                </c:pt>
                <c:pt idx="975">
                  <c:v>0.66528354080221297</c:v>
                </c:pt>
                <c:pt idx="976">
                  <c:v>0.66528354080221297</c:v>
                </c:pt>
                <c:pt idx="977">
                  <c:v>0.66666666666666663</c:v>
                </c:pt>
                <c:pt idx="978">
                  <c:v>0.66804979253112029</c:v>
                </c:pt>
                <c:pt idx="979">
                  <c:v>0.66943291839557395</c:v>
                </c:pt>
                <c:pt idx="980">
                  <c:v>0.67081604426002761</c:v>
                </c:pt>
                <c:pt idx="981">
                  <c:v>0.67081604426002761</c:v>
                </c:pt>
                <c:pt idx="982">
                  <c:v>0.67219917012448138</c:v>
                </c:pt>
                <c:pt idx="983">
                  <c:v>0.67358229598893504</c:v>
                </c:pt>
                <c:pt idx="984">
                  <c:v>0.6749654218533887</c:v>
                </c:pt>
                <c:pt idx="985">
                  <c:v>0.67634854771784236</c:v>
                </c:pt>
                <c:pt idx="986">
                  <c:v>0.67773167358229602</c:v>
                </c:pt>
                <c:pt idx="987">
                  <c:v>0.67911479944674968</c:v>
                </c:pt>
                <c:pt idx="988">
                  <c:v>0.68049792531120334</c:v>
                </c:pt>
                <c:pt idx="989">
                  <c:v>0.681881051175657</c:v>
                </c:pt>
                <c:pt idx="990">
                  <c:v>0.68326417704011067</c:v>
                </c:pt>
                <c:pt idx="991">
                  <c:v>0.68464730290456433</c:v>
                </c:pt>
                <c:pt idx="992">
                  <c:v>0.68603042876901799</c:v>
                </c:pt>
                <c:pt idx="993">
                  <c:v>0.68741355463347165</c:v>
                </c:pt>
                <c:pt idx="994">
                  <c:v>0.68879668049792531</c:v>
                </c:pt>
                <c:pt idx="995">
                  <c:v>0.69017980636237897</c:v>
                </c:pt>
                <c:pt idx="996">
                  <c:v>0.69017980636237897</c:v>
                </c:pt>
                <c:pt idx="997">
                  <c:v>0.69017980636237897</c:v>
                </c:pt>
                <c:pt idx="998">
                  <c:v>0.69156293222683263</c:v>
                </c:pt>
                <c:pt idx="999">
                  <c:v>0.69294605809128629</c:v>
                </c:pt>
                <c:pt idx="1000">
                  <c:v>0.69432918395573995</c:v>
                </c:pt>
                <c:pt idx="1001">
                  <c:v>0.69571230982019361</c:v>
                </c:pt>
                <c:pt idx="1002">
                  <c:v>0.69709543568464727</c:v>
                </c:pt>
                <c:pt idx="1003">
                  <c:v>0.69709543568464727</c:v>
                </c:pt>
                <c:pt idx="1004">
                  <c:v>0.69847856154910093</c:v>
                </c:pt>
                <c:pt idx="1005">
                  <c:v>0.69986168741355459</c:v>
                </c:pt>
                <c:pt idx="1006">
                  <c:v>0.70124481327800825</c:v>
                </c:pt>
                <c:pt idx="1007">
                  <c:v>0.70262793914246191</c:v>
                </c:pt>
                <c:pt idx="1008">
                  <c:v>0.70401106500691568</c:v>
                </c:pt>
                <c:pt idx="1009">
                  <c:v>0.70401106500691568</c:v>
                </c:pt>
                <c:pt idx="1010">
                  <c:v>0.70401106500691568</c:v>
                </c:pt>
                <c:pt idx="1011">
                  <c:v>0.70539419087136934</c:v>
                </c:pt>
                <c:pt idx="1012">
                  <c:v>0.706777316735823</c:v>
                </c:pt>
                <c:pt idx="1013">
                  <c:v>0.70816044260027666</c:v>
                </c:pt>
                <c:pt idx="1014">
                  <c:v>0.70954356846473032</c:v>
                </c:pt>
                <c:pt idx="1015">
                  <c:v>0.71092669432918398</c:v>
                </c:pt>
                <c:pt idx="1016">
                  <c:v>0.71230982019363764</c:v>
                </c:pt>
                <c:pt idx="1017">
                  <c:v>0.7136929460580913</c:v>
                </c:pt>
                <c:pt idx="1018">
                  <c:v>0.71507607192254496</c:v>
                </c:pt>
                <c:pt idx="1019">
                  <c:v>0.71645919778699863</c:v>
                </c:pt>
                <c:pt idx="1020">
                  <c:v>0.71645919778699863</c:v>
                </c:pt>
                <c:pt idx="1021">
                  <c:v>0.71784232365145229</c:v>
                </c:pt>
                <c:pt idx="1022">
                  <c:v>0.71922544951590595</c:v>
                </c:pt>
                <c:pt idx="1023">
                  <c:v>0.72060857538035961</c:v>
                </c:pt>
                <c:pt idx="1024">
                  <c:v>0.72199170124481327</c:v>
                </c:pt>
                <c:pt idx="1025">
                  <c:v>0.72337482710926693</c:v>
                </c:pt>
                <c:pt idx="1026">
                  <c:v>0.72337482710926693</c:v>
                </c:pt>
                <c:pt idx="1027">
                  <c:v>0.72475795297372059</c:v>
                </c:pt>
                <c:pt idx="1028">
                  <c:v>0.72614107883817425</c:v>
                </c:pt>
                <c:pt idx="1029">
                  <c:v>0.72752420470262791</c:v>
                </c:pt>
                <c:pt idx="1030">
                  <c:v>0.72752420470262791</c:v>
                </c:pt>
                <c:pt idx="1031">
                  <c:v>0.72890733056708157</c:v>
                </c:pt>
                <c:pt idx="1032">
                  <c:v>0.73029045643153523</c:v>
                </c:pt>
                <c:pt idx="1033">
                  <c:v>0.73167358229598889</c:v>
                </c:pt>
                <c:pt idx="1034">
                  <c:v>0.73305670816044255</c:v>
                </c:pt>
                <c:pt idx="1035">
                  <c:v>0.73443983402489632</c:v>
                </c:pt>
                <c:pt idx="1036">
                  <c:v>0.73443983402489632</c:v>
                </c:pt>
                <c:pt idx="1037">
                  <c:v>0.73582295988934998</c:v>
                </c:pt>
                <c:pt idx="1038">
                  <c:v>0.73720608575380364</c:v>
                </c:pt>
                <c:pt idx="1039">
                  <c:v>0.7385892116182573</c:v>
                </c:pt>
                <c:pt idx="1040">
                  <c:v>0.73997233748271096</c:v>
                </c:pt>
                <c:pt idx="1041">
                  <c:v>0.74135546334716462</c:v>
                </c:pt>
                <c:pt idx="1042">
                  <c:v>0.74273858921161828</c:v>
                </c:pt>
                <c:pt idx="1043">
                  <c:v>0.74412171507607194</c:v>
                </c:pt>
                <c:pt idx="1044">
                  <c:v>0.7455048409405256</c:v>
                </c:pt>
                <c:pt idx="1045">
                  <c:v>0.74688796680497926</c:v>
                </c:pt>
                <c:pt idx="1046">
                  <c:v>0.74688796680497926</c:v>
                </c:pt>
                <c:pt idx="1047">
                  <c:v>0.74827109266943292</c:v>
                </c:pt>
                <c:pt idx="1048">
                  <c:v>0.74965421853388658</c:v>
                </c:pt>
                <c:pt idx="1049">
                  <c:v>0.75103734439834025</c:v>
                </c:pt>
                <c:pt idx="1050">
                  <c:v>0.75242047026279391</c:v>
                </c:pt>
                <c:pt idx="1051">
                  <c:v>0.75380359612724757</c:v>
                </c:pt>
                <c:pt idx="1052">
                  <c:v>0.75518672199170123</c:v>
                </c:pt>
                <c:pt idx="1053">
                  <c:v>0.75656984785615489</c:v>
                </c:pt>
                <c:pt idx="1054">
                  <c:v>0.75795297372060855</c:v>
                </c:pt>
                <c:pt idx="1055">
                  <c:v>0.75933609958506221</c:v>
                </c:pt>
                <c:pt idx="1056">
                  <c:v>0.76071922544951587</c:v>
                </c:pt>
                <c:pt idx="1057">
                  <c:v>0.76210235131396953</c:v>
                </c:pt>
                <c:pt idx="1058">
                  <c:v>0.76348547717842319</c:v>
                </c:pt>
                <c:pt idx="1059">
                  <c:v>0.76486860304287685</c:v>
                </c:pt>
                <c:pt idx="1060">
                  <c:v>0.76486860304287685</c:v>
                </c:pt>
                <c:pt idx="1061">
                  <c:v>0.76486860304287685</c:v>
                </c:pt>
                <c:pt idx="1062">
                  <c:v>0.76625172890733062</c:v>
                </c:pt>
                <c:pt idx="1063">
                  <c:v>0.76763485477178428</c:v>
                </c:pt>
                <c:pt idx="1064">
                  <c:v>0.76901798063623794</c:v>
                </c:pt>
                <c:pt idx="1065">
                  <c:v>0.7704011065006916</c:v>
                </c:pt>
                <c:pt idx="1066">
                  <c:v>0.77178423236514526</c:v>
                </c:pt>
                <c:pt idx="1067">
                  <c:v>0.77178423236514526</c:v>
                </c:pt>
                <c:pt idx="1068">
                  <c:v>0.77316735822959892</c:v>
                </c:pt>
                <c:pt idx="1069">
                  <c:v>0.77455048409405258</c:v>
                </c:pt>
                <c:pt idx="1070">
                  <c:v>0.77593360995850624</c:v>
                </c:pt>
                <c:pt idx="1071">
                  <c:v>0.77593360995850624</c:v>
                </c:pt>
                <c:pt idx="1072">
                  <c:v>0.7773167358229599</c:v>
                </c:pt>
                <c:pt idx="1073">
                  <c:v>0.77869986168741356</c:v>
                </c:pt>
                <c:pt idx="1074">
                  <c:v>0.78008298755186722</c:v>
                </c:pt>
                <c:pt idx="1075">
                  <c:v>0.78146611341632088</c:v>
                </c:pt>
                <c:pt idx="1076">
                  <c:v>0.78284923928077454</c:v>
                </c:pt>
                <c:pt idx="1077">
                  <c:v>0.78423236514522821</c:v>
                </c:pt>
                <c:pt idx="1078">
                  <c:v>0.78561549100968187</c:v>
                </c:pt>
                <c:pt idx="1079">
                  <c:v>0.78699861687413553</c:v>
                </c:pt>
                <c:pt idx="1080">
                  <c:v>0.78838174273858919</c:v>
                </c:pt>
                <c:pt idx="1081">
                  <c:v>0.78976486860304285</c:v>
                </c:pt>
                <c:pt idx="1082">
                  <c:v>0.79114799446749651</c:v>
                </c:pt>
                <c:pt idx="1083">
                  <c:v>0.79253112033195017</c:v>
                </c:pt>
                <c:pt idx="1084">
                  <c:v>0.79391424619640383</c:v>
                </c:pt>
                <c:pt idx="1085">
                  <c:v>0.79529737206085749</c:v>
                </c:pt>
                <c:pt idx="1086">
                  <c:v>0.79529737206085749</c:v>
                </c:pt>
                <c:pt idx="1087">
                  <c:v>0.79529737206085749</c:v>
                </c:pt>
                <c:pt idx="1088">
                  <c:v>0.79668049792531115</c:v>
                </c:pt>
                <c:pt idx="1089">
                  <c:v>0.79806362378976492</c:v>
                </c:pt>
                <c:pt idx="1090">
                  <c:v>0.79944674965421858</c:v>
                </c:pt>
                <c:pt idx="1091">
                  <c:v>0.80082987551867224</c:v>
                </c:pt>
                <c:pt idx="1092">
                  <c:v>0.8022130013831259</c:v>
                </c:pt>
                <c:pt idx="1093">
                  <c:v>0.80359612724757956</c:v>
                </c:pt>
                <c:pt idx="1094">
                  <c:v>0.80359612724757956</c:v>
                </c:pt>
                <c:pt idx="1095">
                  <c:v>0.80497925311203322</c:v>
                </c:pt>
                <c:pt idx="1096">
                  <c:v>0.80636237897648688</c:v>
                </c:pt>
                <c:pt idx="1097">
                  <c:v>0.80636237897648688</c:v>
                </c:pt>
                <c:pt idx="1098">
                  <c:v>0.80774550484094054</c:v>
                </c:pt>
                <c:pt idx="1099">
                  <c:v>0.8091286307053942</c:v>
                </c:pt>
                <c:pt idx="1100">
                  <c:v>0.81051175656984786</c:v>
                </c:pt>
                <c:pt idx="1101">
                  <c:v>0.81189488243430152</c:v>
                </c:pt>
                <c:pt idx="1102">
                  <c:v>0.81327800829875518</c:v>
                </c:pt>
                <c:pt idx="1103">
                  <c:v>0.81466113416320884</c:v>
                </c:pt>
                <c:pt idx="1104">
                  <c:v>0.8160442600276625</c:v>
                </c:pt>
                <c:pt idx="1105">
                  <c:v>0.81742738589211617</c:v>
                </c:pt>
                <c:pt idx="1106">
                  <c:v>0.81881051175656983</c:v>
                </c:pt>
                <c:pt idx="1107">
                  <c:v>0.82019363762102349</c:v>
                </c:pt>
                <c:pt idx="1108">
                  <c:v>0.82157676348547715</c:v>
                </c:pt>
                <c:pt idx="1109">
                  <c:v>0.82157676348547715</c:v>
                </c:pt>
                <c:pt idx="1110">
                  <c:v>0.82295988934993081</c:v>
                </c:pt>
                <c:pt idx="1111">
                  <c:v>0.82434301521438447</c:v>
                </c:pt>
                <c:pt idx="1112">
                  <c:v>0.82572614107883813</c:v>
                </c:pt>
                <c:pt idx="1113">
                  <c:v>0.82572614107883813</c:v>
                </c:pt>
                <c:pt idx="1114">
                  <c:v>0.82710926694329179</c:v>
                </c:pt>
                <c:pt idx="1115">
                  <c:v>0.82849239280774556</c:v>
                </c:pt>
                <c:pt idx="1116">
                  <c:v>0.82987551867219922</c:v>
                </c:pt>
                <c:pt idx="1117">
                  <c:v>0.83125864453665288</c:v>
                </c:pt>
                <c:pt idx="1118">
                  <c:v>0.83125864453665288</c:v>
                </c:pt>
                <c:pt idx="1119">
                  <c:v>0.83125864453665288</c:v>
                </c:pt>
                <c:pt idx="1120">
                  <c:v>0.83125864453665288</c:v>
                </c:pt>
                <c:pt idx="1121">
                  <c:v>0.83264177040110654</c:v>
                </c:pt>
                <c:pt idx="1122">
                  <c:v>0.8340248962655602</c:v>
                </c:pt>
                <c:pt idx="1123">
                  <c:v>0.83540802213001386</c:v>
                </c:pt>
                <c:pt idx="1124">
                  <c:v>0.83679114799446752</c:v>
                </c:pt>
                <c:pt idx="1125">
                  <c:v>0.83817427385892118</c:v>
                </c:pt>
                <c:pt idx="1126">
                  <c:v>0.83955739972337484</c:v>
                </c:pt>
                <c:pt idx="1127">
                  <c:v>0.83955739972337484</c:v>
                </c:pt>
                <c:pt idx="1128">
                  <c:v>0.8409405255878285</c:v>
                </c:pt>
                <c:pt idx="1129">
                  <c:v>0.84232365145228216</c:v>
                </c:pt>
                <c:pt idx="1130">
                  <c:v>0.84370677731673582</c:v>
                </c:pt>
                <c:pt idx="1131">
                  <c:v>0.84508990318118948</c:v>
                </c:pt>
                <c:pt idx="1132">
                  <c:v>0.84508990318118948</c:v>
                </c:pt>
                <c:pt idx="1133">
                  <c:v>0.84647302904564314</c:v>
                </c:pt>
                <c:pt idx="1134">
                  <c:v>0.8478561549100968</c:v>
                </c:pt>
                <c:pt idx="1135">
                  <c:v>0.84923928077455046</c:v>
                </c:pt>
                <c:pt idx="1136">
                  <c:v>0.85062240663900412</c:v>
                </c:pt>
                <c:pt idx="1137">
                  <c:v>0.85062240663900412</c:v>
                </c:pt>
                <c:pt idx="1138">
                  <c:v>0.85200553250345779</c:v>
                </c:pt>
                <c:pt idx="1139">
                  <c:v>0.85200553250345779</c:v>
                </c:pt>
                <c:pt idx="1140">
                  <c:v>0.85338865836791145</c:v>
                </c:pt>
                <c:pt idx="1141">
                  <c:v>0.85477178423236511</c:v>
                </c:pt>
                <c:pt idx="1142">
                  <c:v>0.85615491009681877</c:v>
                </c:pt>
                <c:pt idx="1143">
                  <c:v>0.85753803596127243</c:v>
                </c:pt>
                <c:pt idx="1144">
                  <c:v>0.85892116182572609</c:v>
                </c:pt>
                <c:pt idx="1145">
                  <c:v>0.86030428769017986</c:v>
                </c:pt>
                <c:pt idx="1146">
                  <c:v>0.86030428769017986</c:v>
                </c:pt>
                <c:pt idx="1147">
                  <c:v>0.86168741355463352</c:v>
                </c:pt>
                <c:pt idx="1148">
                  <c:v>0.86307053941908718</c:v>
                </c:pt>
                <c:pt idx="1149">
                  <c:v>0.86445366528354084</c:v>
                </c:pt>
                <c:pt idx="1150">
                  <c:v>0.8658367911479945</c:v>
                </c:pt>
                <c:pt idx="1151">
                  <c:v>0.86721991701244816</c:v>
                </c:pt>
                <c:pt idx="1152">
                  <c:v>0.86721991701244816</c:v>
                </c:pt>
                <c:pt idx="1153">
                  <c:v>0.86721991701244816</c:v>
                </c:pt>
                <c:pt idx="1154">
                  <c:v>0.86860304287690182</c:v>
                </c:pt>
                <c:pt idx="1155">
                  <c:v>0.86998616874135548</c:v>
                </c:pt>
                <c:pt idx="1156">
                  <c:v>0.87136929460580914</c:v>
                </c:pt>
                <c:pt idx="1157">
                  <c:v>0.8727524204702628</c:v>
                </c:pt>
                <c:pt idx="1158">
                  <c:v>0.87413554633471646</c:v>
                </c:pt>
                <c:pt idx="1159">
                  <c:v>0.87551867219917012</c:v>
                </c:pt>
                <c:pt idx="1160">
                  <c:v>0.87690179806362378</c:v>
                </c:pt>
                <c:pt idx="1161">
                  <c:v>0.87828492392807744</c:v>
                </c:pt>
                <c:pt idx="1162">
                  <c:v>0.87828492392807744</c:v>
                </c:pt>
                <c:pt idx="1163">
                  <c:v>0.87828492392807744</c:v>
                </c:pt>
                <c:pt idx="1164">
                  <c:v>0.87828492392807744</c:v>
                </c:pt>
                <c:pt idx="1165">
                  <c:v>0.8796680497925311</c:v>
                </c:pt>
                <c:pt idx="1166">
                  <c:v>0.88105117565698476</c:v>
                </c:pt>
                <c:pt idx="1167">
                  <c:v>0.88243430152143842</c:v>
                </c:pt>
                <c:pt idx="1168">
                  <c:v>0.88381742738589208</c:v>
                </c:pt>
                <c:pt idx="1169">
                  <c:v>0.88520055325034575</c:v>
                </c:pt>
                <c:pt idx="1170">
                  <c:v>0.88658367911479941</c:v>
                </c:pt>
                <c:pt idx="1171">
                  <c:v>0.88796680497925307</c:v>
                </c:pt>
                <c:pt idx="1172">
                  <c:v>0.88934993084370673</c:v>
                </c:pt>
                <c:pt idx="1173">
                  <c:v>0.8907330567081605</c:v>
                </c:pt>
                <c:pt idx="1174">
                  <c:v>0.8907330567081605</c:v>
                </c:pt>
                <c:pt idx="1175">
                  <c:v>0.89211618257261416</c:v>
                </c:pt>
                <c:pt idx="1176">
                  <c:v>0.89349930843706782</c:v>
                </c:pt>
                <c:pt idx="1177">
                  <c:v>0.89488243430152148</c:v>
                </c:pt>
                <c:pt idx="1178">
                  <c:v>0.89626556016597514</c:v>
                </c:pt>
                <c:pt idx="1179">
                  <c:v>0.8976486860304288</c:v>
                </c:pt>
                <c:pt idx="1180">
                  <c:v>0.89903181189488246</c:v>
                </c:pt>
                <c:pt idx="1181">
                  <c:v>0.90041493775933612</c:v>
                </c:pt>
                <c:pt idx="1182">
                  <c:v>0.90041493775933612</c:v>
                </c:pt>
                <c:pt idx="1183">
                  <c:v>0.90041493775933612</c:v>
                </c:pt>
                <c:pt idx="1184">
                  <c:v>0.90179806362378978</c:v>
                </c:pt>
                <c:pt idx="1185">
                  <c:v>0.90318118948824344</c:v>
                </c:pt>
                <c:pt idx="1186">
                  <c:v>0.9045643153526971</c:v>
                </c:pt>
                <c:pt idx="1187">
                  <c:v>0.90594744121715076</c:v>
                </c:pt>
                <c:pt idx="1188">
                  <c:v>0.90733056708160442</c:v>
                </c:pt>
                <c:pt idx="1189">
                  <c:v>0.90871369294605808</c:v>
                </c:pt>
                <c:pt idx="1190">
                  <c:v>0.91009681881051174</c:v>
                </c:pt>
                <c:pt idx="1191">
                  <c:v>0.9114799446749654</c:v>
                </c:pt>
                <c:pt idx="1192">
                  <c:v>0.91286307053941906</c:v>
                </c:pt>
                <c:pt idx="1193">
                  <c:v>0.91424619640387272</c:v>
                </c:pt>
                <c:pt idx="1194">
                  <c:v>0.91562932226832638</c:v>
                </c:pt>
                <c:pt idx="1195">
                  <c:v>0.91701244813278004</c:v>
                </c:pt>
                <c:pt idx="1196">
                  <c:v>0.91839557399723371</c:v>
                </c:pt>
                <c:pt idx="1197">
                  <c:v>0.91977869986168737</c:v>
                </c:pt>
                <c:pt idx="1198">
                  <c:v>0.92116182572614103</c:v>
                </c:pt>
                <c:pt idx="1199">
                  <c:v>0.9225449515905948</c:v>
                </c:pt>
                <c:pt idx="1200">
                  <c:v>0.9225449515905948</c:v>
                </c:pt>
                <c:pt idx="1201">
                  <c:v>0.92392807745504846</c:v>
                </c:pt>
                <c:pt idx="1202">
                  <c:v>0.92531120331950212</c:v>
                </c:pt>
                <c:pt idx="1203">
                  <c:v>0.92669432918395578</c:v>
                </c:pt>
                <c:pt idx="1204">
                  <c:v>0.92807745504840944</c:v>
                </c:pt>
                <c:pt idx="1205">
                  <c:v>0.9294605809128631</c:v>
                </c:pt>
                <c:pt idx="1206">
                  <c:v>0.93084370677731676</c:v>
                </c:pt>
                <c:pt idx="1207">
                  <c:v>0.93222683264177042</c:v>
                </c:pt>
                <c:pt idx="1208">
                  <c:v>0.93360995850622408</c:v>
                </c:pt>
                <c:pt idx="1209">
                  <c:v>0.93499308437067774</c:v>
                </c:pt>
                <c:pt idx="1210">
                  <c:v>0.9363762102351314</c:v>
                </c:pt>
                <c:pt idx="1211">
                  <c:v>0.93775933609958506</c:v>
                </c:pt>
                <c:pt idx="1212">
                  <c:v>0.93914246196403872</c:v>
                </c:pt>
                <c:pt idx="1213">
                  <c:v>0.94052558782849238</c:v>
                </c:pt>
                <c:pt idx="1214">
                  <c:v>0.94190871369294604</c:v>
                </c:pt>
                <c:pt idx="1215">
                  <c:v>0.9432918395573997</c:v>
                </c:pt>
                <c:pt idx="1216">
                  <c:v>0.94467496542185336</c:v>
                </c:pt>
                <c:pt idx="1217">
                  <c:v>0.94605809128630702</c:v>
                </c:pt>
                <c:pt idx="1218">
                  <c:v>0.94744121715076068</c:v>
                </c:pt>
                <c:pt idx="1219">
                  <c:v>0.94882434301521434</c:v>
                </c:pt>
                <c:pt idx="1220">
                  <c:v>0.950207468879668</c:v>
                </c:pt>
                <c:pt idx="1221">
                  <c:v>0.95159059474412167</c:v>
                </c:pt>
                <c:pt idx="1222">
                  <c:v>0.95297372060857533</c:v>
                </c:pt>
                <c:pt idx="1223">
                  <c:v>0.9543568464730291</c:v>
                </c:pt>
                <c:pt idx="1224">
                  <c:v>0.95573997233748276</c:v>
                </c:pt>
                <c:pt idx="1225">
                  <c:v>0.95712309820193642</c:v>
                </c:pt>
                <c:pt idx="1226">
                  <c:v>0.95850622406639008</c:v>
                </c:pt>
                <c:pt idx="1227">
                  <c:v>0.95988934993084374</c:v>
                </c:pt>
                <c:pt idx="1228">
                  <c:v>0.9612724757952974</c:v>
                </c:pt>
                <c:pt idx="1229">
                  <c:v>0.96265560165975106</c:v>
                </c:pt>
                <c:pt idx="1230">
                  <c:v>0.96403872752420472</c:v>
                </c:pt>
                <c:pt idx="1231">
                  <c:v>0.96542185338865838</c:v>
                </c:pt>
                <c:pt idx="1232">
                  <c:v>0.96680497925311204</c:v>
                </c:pt>
                <c:pt idx="1233">
                  <c:v>0.9681881051175657</c:v>
                </c:pt>
                <c:pt idx="1234">
                  <c:v>0.96957123098201936</c:v>
                </c:pt>
                <c:pt idx="1235">
                  <c:v>0.97095435684647302</c:v>
                </c:pt>
                <c:pt idx="1236">
                  <c:v>0.97233748271092668</c:v>
                </c:pt>
                <c:pt idx="1237">
                  <c:v>0.97372060857538034</c:v>
                </c:pt>
                <c:pt idx="1238">
                  <c:v>0.975103734439834</c:v>
                </c:pt>
                <c:pt idx="1239">
                  <c:v>0.97648686030428766</c:v>
                </c:pt>
                <c:pt idx="1240">
                  <c:v>0.97786998616874132</c:v>
                </c:pt>
                <c:pt idx="1241">
                  <c:v>0.97925311203319498</c:v>
                </c:pt>
                <c:pt idx="1242">
                  <c:v>0.98063623789764864</c:v>
                </c:pt>
                <c:pt idx="1243">
                  <c:v>0.9820193637621023</c:v>
                </c:pt>
                <c:pt idx="1244">
                  <c:v>0.98340248962655596</c:v>
                </c:pt>
                <c:pt idx="1245">
                  <c:v>0.98478561549100974</c:v>
                </c:pt>
                <c:pt idx="1246">
                  <c:v>0.9861687413554634</c:v>
                </c:pt>
                <c:pt idx="1247">
                  <c:v>0.98755186721991706</c:v>
                </c:pt>
                <c:pt idx="1248">
                  <c:v>0.98893499308437072</c:v>
                </c:pt>
                <c:pt idx="1249">
                  <c:v>0.99031811894882438</c:v>
                </c:pt>
                <c:pt idx="1250">
                  <c:v>0.99170124481327804</c:v>
                </c:pt>
                <c:pt idx="1251">
                  <c:v>0.9930843706777317</c:v>
                </c:pt>
                <c:pt idx="1252">
                  <c:v>0.99446749654218536</c:v>
                </c:pt>
                <c:pt idx="1253">
                  <c:v>0.99585062240663902</c:v>
                </c:pt>
                <c:pt idx="1254">
                  <c:v>0.99723374827109268</c:v>
                </c:pt>
                <c:pt idx="1255">
                  <c:v>0.99861687413554634</c:v>
                </c:pt>
                <c:pt idx="1256">
                  <c:v>1</c:v>
                </c:pt>
              </c:numCache>
            </c:numRef>
          </c:xVal>
          <c:yVal>
            <c:numRef>
              <c:f>Training!$H$2:$H$1258</c:f>
              <c:numCache>
                <c:formatCode>General</c:formatCode>
                <c:ptCount val="1257"/>
                <c:pt idx="0">
                  <c:v>1.8726591760299626E-3</c:v>
                </c:pt>
                <c:pt idx="1">
                  <c:v>3.7453183520599251E-3</c:v>
                </c:pt>
                <c:pt idx="2">
                  <c:v>7.4906367041198503E-3</c:v>
                </c:pt>
                <c:pt idx="3">
                  <c:v>7.4906367041198503E-3</c:v>
                </c:pt>
                <c:pt idx="4">
                  <c:v>7.4906367041198503E-3</c:v>
                </c:pt>
                <c:pt idx="5">
                  <c:v>9.3632958801498131E-3</c:v>
                </c:pt>
                <c:pt idx="6">
                  <c:v>1.1235955056179775E-2</c:v>
                </c:pt>
                <c:pt idx="7">
                  <c:v>1.4981273408239701E-2</c:v>
                </c:pt>
                <c:pt idx="8">
                  <c:v>1.4981273408239701E-2</c:v>
                </c:pt>
                <c:pt idx="9">
                  <c:v>1.6853932584269662E-2</c:v>
                </c:pt>
                <c:pt idx="10">
                  <c:v>2.0599250936329586E-2</c:v>
                </c:pt>
                <c:pt idx="11">
                  <c:v>2.0599250936329586E-2</c:v>
                </c:pt>
                <c:pt idx="12">
                  <c:v>2.247191011235955E-2</c:v>
                </c:pt>
                <c:pt idx="13">
                  <c:v>3.1835205992509365E-2</c:v>
                </c:pt>
                <c:pt idx="14">
                  <c:v>3.1835205992509365E-2</c:v>
                </c:pt>
                <c:pt idx="15">
                  <c:v>3.1835205992509365E-2</c:v>
                </c:pt>
                <c:pt idx="16">
                  <c:v>3.1835205992509365E-2</c:v>
                </c:pt>
                <c:pt idx="17">
                  <c:v>3.1835205992509365E-2</c:v>
                </c:pt>
                <c:pt idx="18">
                  <c:v>3.3707865168539325E-2</c:v>
                </c:pt>
                <c:pt idx="19">
                  <c:v>3.7453183520599252E-2</c:v>
                </c:pt>
                <c:pt idx="20">
                  <c:v>3.7453183520599252E-2</c:v>
                </c:pt>
                <c:pt idx="21">
                  <c:v>3.7453183520599252E-2</c:v>
                </c:pt>
                <c:pt idx="22">
                  <c:v>4.49438202247191E-2</c:v>
                </c:pt>
                <c:pt idx="23">
                  <c:v>4.49438202247191E-2</c:v>
                </c:pt>
                <c:pt idx="24">
                  <c:v>4.49438202247191E-2</c:v>
                </c:pt>
                <c:pt idx="25">
                  <c:v>4.49438202247191E-2</c:v>
                </c:pt>
                <c:pt idx="26">
                  <c:v>4.6816479400749067E-2</c:v>
                </c:pt>
                <c:pt idx="27">
                  <c:v>5.0561797752808987E-2</c:v>
                </c:pt>
                <c:pt idx="28">
                  <c:v>5.0561797752808987E-2</c:v>
                </c:pt>
                <c:pt idx="29">
                  <c:v>5.2434456928838954E-2</c:v>
                </c:pt>
                <c:pt idx="30">
                  <c:v>5.2434456928838954E-2</c:v>
                </c:pt>
                <c:pt idx="31">
                  <c:v>5.4307116104868915E-2</c:v>
                </c:pt>
                <c:pt idx="32">
                  <c:v>5.4307116104868915E-2</c:v>
                </c:pt>
                <c:pt idx="33">
                  <c:v>5.6179775280898875E-2</c:v>
                </c:pt>
                <c:pt idx="34">
                  <c:v>5.8052434456928842E-2</c:v>
                </c:pt>
                <c:pt idx="35">
                  <c:v>6.1797752808988762E-2</c:v>
                </c:pt>
                <c:pt idx="36">
                  <c:v>6.1797752808988762E-2</c:v>
                </c:pt>
                <c:pt idx="37">
                  <c:v>6.3670411985018729E-2</c:v>
                </c:pt>
                <c:pt idx="38">
                  <c:v>6.3670411985018729E-2</c:v>
                </c:pt>
                <c:pt idx="39">
                  <c:v>6.741573033707865E-2</c:v>
                </c:pt>
                <c:pt idx="40">
                  <c:v>6.741573033707865E-2</c:v>
                </c:pt>
                <c:pt idx="41">
                  <c:v>6.9288389513108617E-2</c:v>
                </c:pt>
                <c:pt idx="42">
                  <c:v>7.4906367041198504E-2</c:v>
                </c:pt>
                <c:pt idx="43">
                  <c:v>7.4906367041198504E-2</c:v>
                </c:pt>
                <c:pt idx="44">
                  <c:v>7.4906367041198504E-2</c:v>
                </c:pt>
                <c:pt idx="45">
                  <c:v>7.8651685393258425E-2</c:v>
                </c:pt>
                <c:pt idx="46">
                  <c:v>7.8651685393258425E-2</c:v>
                </c:pt>
                <c:pt idx="47">
                  <c:v>7.8651685393258425E-2</c:v>
                </c:pt>
                <c:pt idx="48">
                  <c:v>7.8651685393258425E-2</c:v>
                </c:pt>
                <c:pt idx="49">
                  <c:v>8.4269662921348312E-2</c:v>
                </c:pt>
                <c:pt idx="50">
                  <c:v>8.4269662921348312E-2</c:v>
                </c:pt>
                <c:pt idx="51">
                  <c:v>8.4269662921348312E-2</c:v>
                </c:pt>
                <c:pt idx="52">
                  <c:v>8.6142322097378279E-2</c:v>
                </c:pt>
                <c:pt idx="53">
                  <c:v>8.6142322097378279E-2</c:v>
                </c:pt>
                <c:pt idx="54">
                  <c:v>8.8014981273408247E-2</c:v>
                </c:pt>
                <c:pt idx="55">
                  <c:v>8.8014981273408247E-2</c:v>
                </c:pt>
                <c:pt idx="56">
                  <c:v>9.1760299625468167E-2</c:v>
                </c:pt>
                <c:pt idx="57">
                  <c:v>9.1760299625468167E-2</c:v>
                </c:pt>
                <c:pt idx="58">
                  <c:v>9.5505617977528087E-2</c:v>
                </c:pt>
                <c:pt idx="59">
                  <c:v>9.5505617977528087E-2</c:v>
                </c:pt>
                <c:pt idx="60">
                  <c:v>9.5505617977528087E-2</c:v>
                </c:pt>
                <c:pt idx="61">
                  <c:v>0.10112359550561797</c:v>
                </c:pt>
                <c:pt idx="62">
                  <c:v>0.10112359550561797</c:v>
                </c:pt>
                <c:pt idx="63">
                  <c:v>0.10112359550561797</c:v>
                </c:pt>
                <c:pt idx="64">
                  <c:v>0.10486891385767791</c:v>
                </c:pt>
                <c:pt idx="65">
                  <c:v>0.10486891385767791</c:v>
                </c:pt>
                <c:pt idx="66">
                  <c:v>0.10674157303370786</c:v>
                </c:pt>
                <c:pt idx="67">
                  <c:v>0.10674157303370786</c:v>
                </c:pt>
                <c:pt idx="68">
                  <c:v>0.10861423220973783</c:v>
                </c:pt>
                <c:pt idx="69">
                  <c:v>0.1104868913857678</c:v>
                </c:pt>
                <c:pt idx="70">
                  <c:v>0.1104868913857678</c:v>
                </c:pt>
                <c:pt idx="71">
                  <c:v>0.11235955056179775</c:v>
                </c:pt>
                <c:pt idx="72">
                  <c:v>0.11423220973782772</c:v>
                </c:pt>
                <c:pt idx="73">
                  <c:v>0.11423220973782772</c:v>
                </c:pt>
                <c:pt idx="74">
                  <c:v>0.11423220973782772</c:v>
                </c:pt>
                <c:pt idx="75">
                  <c:v>0.11797752808988764</c:v>
                </c:pt>
                <c:pt idx="76">
                  <c:v>0.11797752808988764</c:v>
                </c:pt>
                <c:pt idx="77">
                  <c:v>0.1198501872659176</c:v>
                </c:pt>
                <c:pt idx="78">
                  <c:v>0.12172284644194757</c:v>
                </c:pt>
                <c:pt idx="79">
                  <c:v>0.12359550561797752</c:v>
                </c:pt>
                <c:pt idx="80">
                  <c:v>0.12546816479400749</c:v>
                </c:pt>
                <c:pt idx="81">
                  <c:v>0.12921348314606743</c:v>
                </c:pt>
                <c:pt idx="82">
                  <c:v>0.12921348314606743</c:v>
                </c:pt>
                <c:pt idx="83">
                  <c:v>0.13295880149812733</c:v>
                </c:pt>
                <c:pt idx="84">
                  <c:v>0.13295880149812733</c:v>
                </c:pt>
                <c:pt idx="85">
                  <c:v>0.1348314606741573</c:v>
                </c:pt>
                <c:pt idx="86">
                  <c:v>0.13670411985018727</c:v>
                </c:pt>
                <c:pt idx="87">
                  <c:v>0.1404494382022472</c:v>
                </c:pt>
                <c:pt idx="88">
                  <c:v>0.1404494382022472</c:v>
                </c:pt>
                <c:pt idx="89">
                  <c:v>0.14419475655430711</c:v>
                </c:pt>
                <c:pt idx="90">
                  <c:v>0.14419475655430711</c:v>
                </c:pt>
                <c:pt idx="91">
                  <c:v>0.14606741573033707</c:v>
                </c:pt>
                <c:pt idx="92">
                  <c:v>0.14794007490636704</c:v>
                </c:pt>
                <c:pt idx="93">
                  <c:v>0.14794007490636704</c:v>
                </c:pt>
                <c:pt idx="94">
                  <c:v>0.14981273408239701</c:v>
                </c:pt>
                <c:pt idx="95">
                  <c:v>0.14981273408239701</c:v>
                </c:pt>
                <c:pt idx="96">
                  <c:v>0.15355805243445692</c:v>
                </c:pt>
                <c:pt idx="97">
                  <c:v>0.15355805243445692</c:v>
                </c:pt>
                <c:pt idx="98">
                  <c:v>0.15730337078651685</c:v>
                </c:pt>
                <c:pt idx="99">
                  <c:v>0.15730337078651685</c:v>
                </c:pt>
                <c:pt idx="100">
                  <c:v>0.16104868913857678</c:v>
                </c:pt>
                <c:pt idx="101">
                  <c:v>0.16104868913857678</c:v>
                </c:pt>
                <c:pt idx="102">
                  <c:v>0.16479400749063669</c:v>
                </c:pt>
                <c:pt idx="103">
                  <c:v>0.16479400749063669</c:v>
                </c:pt>
                <c:pt idx="104">
                  <c:v>0.16479400749063669</c:v>
                </c:pt>
                <c:pt idx="105">
                  <c:v>0.16666666666666666</c:v>
                </c:pt>
                <c:pt idx="106">
                  <c:v>0.16853932584269662</c:v>
                </c:pt>
                <c:pt idx="107">
                  <c:v>0.16853932584269662</c:v>
                </c:pt>
                <c:pt idx="108">
                  <c:v>0.17228464419475656</c:v>
                </c:pt>
                <c:pt idx="109">
                  <c:v>0.17228464419475656</c:v>
                </c:pt>
                <c:pt idx="110">
                  <c:v>0.17228464419475656</c:v>
                </c:pt>
                <c:pt idx="111">
                  <c:v>0.17602996254681649</c:v>
                </c:pt>
                <c:pt idx="112">
                  <c:v>0.17602996254681649</c:v>
                </c:pt>
                <c:pt idx="113">
                  <c:v>0.17602996254681649</c:v>
                </c:pt>
                <c:pt idx="114">
                  <c:v>0.17602996254681649</c:v>
                </c:pt>
                <c:pt idx="115">
                  <c:v>0.17602996254681649</c:v>
                </c:pt>
                <c:pt idx="116">
                  <c:v>0.17790262172284643</c:v>
                </c:pt>
                <c:pt idx="117">
                  <c:v>0.17790262172284643</c:v>
                </c:pt>
                <c:pt idx="118">
                  <c:v>0.17790262172284643</c:v>
                </c:pt>
                <c:pt idx="119">
                  <c:v>0.17790262172284643</c:v>
                </c:pt>
                <c:pt idx="120">
                  <c:v>0.17790262172284643</c:v>
                </c:pt>
                <c:pt idx="121">
                  <c:v>0.1797752808988764</c:v>
                </c:pt>
                <c:pt idx="122">
                  <c:v>0.1797752808988764</c:v>
                </c:pt>
                <c:pt idx="123">
                  <c:v>0.18164794007490637</c:v>
                </c:pt>
                <c:pt idx="124">
                  <c:v>0.18164794007490637</c:v>
                </c:pt>
                <c:pt idx="125">
                  <c:v>0.18164794007490637</c:v>
                </c:pt>
                <c:pt idx="126">
                  <c:v>0.18726591760299627</c:v>
                </c:pt>
                <c:pt idx="127">
                  <c:v>0.18726591760299627</c:v>
                </c:pt>
                <c:pt idx="128">
                  <c:v>0.18726591760299627</c:v>
                </c:pt>
                <c:pt idx="129">
                  <c:v>0.18913857677902621</c:v>
                </c:pt>
                <c:pt idx="130">
                  <c:v>0.18913857677902621</c:v>
                </c:pt>
                <c:pt idx="131">
                  <c:v>0.18913857677902621</c:v>
                </c:pt>
                <c:pt idx="132">
                  <c:v>0.19101123595505617</c:v>
                </c:pt>
                <c:pt idx="133">
                  <c:v>0.19101123595505617</c:v>
                </c:pt>
                <c:pt idx="134">
                  <c:v>0.19288389513108614</c:v>
                </c:pt>
                <c:pt idx="135">
                  <c:v>0.19662921348314608</c:v>
                </c:pt>
                <c:pt idx="136">
                  <c:v>0.19662921348314608</c:v>
                </c:pt>
                <c:pt idx="137">
                  <c:v>0.19850187265917604</c:v>
                </c:pt>
                <c:pt idx="138">
                  <c:v>0.19850187265917604</c:v>
                </c:pt>
                <c:pt idx="139">
                  <c:v>0.20224719101123595</c:v>
                </c:pt>
                <c:pt idx="140">
                  <c:v>0.20224719101123595</c:v>
                </c:pt>
                <c:pt idx="141">
                  <c:v>0.20411985018726592</c:v>
                </c:pt>
                <c:pt idx="142">
                  <c:v>0.20411985018726592</c:v>
                </c:pt>
                <c:pt idx="143">
                  <c:v>0.20599250936329588</c:v>
                </c:pt>
                <c:pt idx="144">
                  <c:v>0.20599250936329588</c:v>
                </c:pt>
                <c:pt idx="145">
                  <c:v>0.20786516853932585</c:v>
                </c:pt>
                <c:pt idx="146">
                  <c:v>0.20786516853932585</c:v>
                </c:pt>
                <c:pt idx="147">
                  <c:v>0.20973782771535582</c:v>
                </c:pt>
                <c:pt idx="148">
                  <c:v>0.20973782771535582</c:v>
                </c:pt>
                <c:pt idx="149">
                  <c:v>0.21161048689138576</c:v>
                </c:pt>
                <c:pt idx="150">
                  <c:v>0.21348314606741572</c:v>
                </c:pt>
                <c:pt idx="151">
                  <c:v>0.21722846441947566</c:v>
                </c:pt>
                <c:pt idx="152">
                  <c:v>0.21722846441947566</c:v>
                </c:pt>
                <c:pt idx="153">
                  <c:v>0.21910112359550563</c:v>
                </c:pt>
                <c:pt idx="154">
                  <c:v>0.22284644194756553</c:v>
                </c:pt>
                <c:pt idx="155">
                  <c:v>0.22284644194756553</c:v>
                </c:pt>
                <c:pt idx="156">
                  <c:v>0.22284644194756553</c:v>
                </c:pt>
                <c:pt idx="157">
                  <c:v>0.2247191011235955</c:v>
                </c:pt>
                <c:pt idx="158">
                  <c:v>0.2247191011235955</c:v>
                </c:pt>
                <c:pt idx="159">
                  <c:v>0.2247191011235955</c:v>
                </c:pt>
                <c:pt idx="160">
                  <c:v>0.22659176029962547</c:v>
                </c:pt>
                <c:pt idx="161">
                  <c:v>0.22659176029962547</c:v>
                </c:pt>
                <c:pt idx="162">
                  <c:v>0.22846441947565543</c:v>
                </c:pt>
                <c:pt idx="163">
                  <c:v>0.23220973782771537</c:v>
                </c:pt>
                <c:pt idx="164">
                  <c:v>0.23220973782771537</c:v>
                </c:pt>
                <c:pt idx="165">
                  <c:v>0.23220973782771537</c:v>
                </c:pt>
                <c:pt idx="166">
                  <c:v>0.23220973782771537</c:v>
                </c:pt>
                <c:pt idx="167">
                  <c:v>0.23408239700374531</c:v>
                </c:pt>
                <c:pt idx="168">
                  <c:v>0.23408239700374531</c:v>
                </c:pt>
                <c:pt idx="169">
                  <c:v>0.23595505617977527</c:v>
                </c:pt>
                <c:pt idx="170">
                  <c:v>0.23595505617977527</c:v>
                </c:pt>
                <c:pt idx="171">
                  <c:v>0.23595505617977527</c:v>
                </c:pt>
                <c:pt idx="172">
                  <c:v>0.23970037453183521</c:v>
                </c:pt>
                <c:pt idx="173">
                  <c:v>0.23970037453183521</c:v>
                </c:pt>
                <c:pt idx="174">
                  <c:v>0.23970037453183521</c:v>
                </c:pt>
                <c:pt idx="175">
                  <c:v>0.23970037453183521</c:v>
                </c:pt>
                <c:pt idx="176">
                  <c:v>0.23970037453183521</c:v>
                </c:pt>
                <c:pt idx="177">
                  <c:v>0.24157303370786518</c:v>
                </c:pt>
                <c:pt idx="178">
                  <c:v>0.24344569288389514</c:v>
                </c:pt>
                <c:pt idx="179">
                  <c:v>0.24344569288389514</c:v>
                </c:pt>
                <c:pt idx="180">
                  <c:v>0.24719101123595505</c:v>
                </c:pt>
                <c:pt idx="181">
                  <c:v>0.24719101123595505</c:v>
                </c:pt>
                <c:pt idx="182">
                  <c:v>0.24719101123595505</c:v>
                </c:pt>
                <c:pt idx="183">
                  <c:v>0.24906367041198502</c:v>
                </c:pt>
                <c:pt idx="184">
                  <c:v>0.25093632958801498</c:v>
                </c:pt>
                <c:pt idx="185">
                  <c:v>0.25093632958801498</c:v>
                </c:pt>
                <c:pt idx="186">
                  <c:v>0.25280898876404495</c:v>
                </c:pt>
                <c:pt idx="187">
                  <c:v>0.25468164794007492</c:v>
                </c:pt>
                <c:pt idx="188">
                  <c:v>0.26217228464419473</c:v>
                </c:pt>
                <c:pt idx="189">
                  <c:v>0.26217228464419473</c:v>
                </c:pt>
                <c:pt idx="190">
                  <c:v>0.26217228464419473</c:v>
                </c:pt>
                <c:pt idx="191">
                  <c:v>0.26217228464419473</c:v>
                </c:pt>
                <c:pt idx="192">
                  <c:v>0.26779026217228463</c:v>
                </c:pt>
                <c:pt idx="193">
                  <c:v>0.26779026217228463</c:v>
                </c:pt>
                <c:pt idx="194">
                  <c:v>0.26779026217228463</c:v>
                </c:pt>
                <c:pt idx="195">
                  <c:v>0.2696629213483146</c:v>
                </c:pt>
                <c:pt idx="196">
                  <c:v>0.27340823970037453</c:v>
                </c:pt>
                <c:pt idx="197">
                  <c:v>0.27340823970037453</c:v>
                </c:pt>
                <c:pt idx="198">
                  <c:v>0.2752808988764045</c:v>
                </c:pt>
                <c:pt idx="199">
                  <c:v>0.27715355805243447</c:v>
                </c:pt>
                <c:pt idx="200">
                  <c:v>0.27902621722846443</c:v>
                </c:pt>
                <c:pt idx="201">
                  <c:v>0.2808988764044944</c:v>
                </c:pt>
                <c:pt idx="202">
                  <c:v>0.28277153558052437</c:v>
                </c:pt>
                <c:pt idx="203">
                  <c:v>0.28651685393258425</c:v>
                </c:pt>
                <c:pt idx="204">
                  <c:v>0.28651685393258425</c:v>
                </c:pt>
                <c:pt idx="205">
                  <c:v>0.28838951310861421</c:v>
                </c:pt>
                <c:pt idx="206">
                  <c:v>0.29026217228464418</c:v>
                </c:pt>
                <c:pt idx="207">
                  <c:v>0.29213483146067415</c:v>
                </c:pt>
                <c:pt idx="208">
                  <c:v>0.29213483146067415</c:v>
                </c:pt>
                <c:pt idx="209">
                  <c:v>0.29400749063670412</c:v>
                </c:pt>
                <c:pt idx="210">
                  <c:v>0.29588014981273408</c:v>
                </c:pt>
                <c:pt idx="211">
                  <c:v>0.29588014981273408</c:v>
                </c:pt>
                <c:pt idx="212">
                  <c:v>0.29588014981273408</c:v>
                </c:pt>
                <c:pt idx="213">
                  <c:v>0.29775280898876405</c:v>
                </c:pt>
                <c:pt idx="214">
                  <c:v>0.30149812734082398</c:v>
                </c:pt>
                <c:pt idx="215">
                  <c:v>0.30149812734082398</c:v>
                </c:pt>
                <c:pt idx="216">
                  <c:v>0.30524344569288392</c:v>
                </c:pt>
                <c:pt idx="217">
                  <c:v>0.30524344569288392</c:v>
                </c:pt>
                <c:pt idx="218">
                  <c:v>0.30524344569288392</c:v>
                </c:pt>
                <c:pt idx="219">
                  <c:v>0.30524344569288392</c:v>
                </c:pt>
                <c:pt idx="220">
                  <c:v>0.30524344569288392</c:v>
                </c:pt>
                <c:pt idx="221">
                  <c:v>0.3089887640449438</c:v>
                </c:pt>
                <c:pt idx="222">
                  <c:v>0.3089887640449438</c:v>
                </c:pt>
                <c:pt idx="223">
                  <c:v>0.31273408239700373</c:v>
                </c:pt>
                <c:pt idx="224">
                  <c:v>0.31273408239700373</c:v>
                </c:pt>
                <c:pt idx="225">
                  <c:v>0.31273408239700373</c:v>
                </c:pt>
                <c:pt idx="226">
                  <c:v>0.31273408239700373</c:v>
                </c:pt>
                <c:pt idx="227">
                  <c:v>0.3146067415730337</c:v>
                </c:pt>
                <c:pt idx="228">
                  <c:v>0.31647940074906367</c:v>
                </c:pt>
                <c:pt idx="229">
                  <c:v>0.31647940074906367</c:v>
                </c:pt>
                <c:pt idx="230">
                  <c:v>0.31835205992509363</c:v>
                </c:pt>
                <c:pt idx="231">
                  <c:v>0.31835205992509363</c:v>
                </c:pt>
                <c:pt idx="232">
                  <c:v>0.31835205992509363</c:v>
                </c:pt>
                <c:pt idx="233">
                  <c:v>0.3202247191011236</c:v>
                </c:pt>
                <c:pt idx="234">
                  <c:v>0.3202247191011236</c:v>
                </c:pt>
                <c:pt idx="235">
                  <c:v>0.32209737827715357</c:v>
                </c:pt>
                <c:pt idx="236">
                  <c:v>0.32209737827715357</c:v>
                </c:pt>
                <c:pt idx="237">
                  <c:v>0.32209737827715357</c:v>
                </c:pt>
                <c:pt idx="238">
                  <c:v>0.32209737827715357</c:v>
                </c:pt>
                <c:pt idx="239">
                  <c:v>0.32209737827715357</c:v>
                </c:pt>
                <c:pt idx="240">
                  <c:v>0.32209737827715357</c:v>
                </c:pt>
                <c:pt idx="241">
                  <c:v>0.32209737827715357</c:v>
                </c:pt>
                <c:pt idx="242">
                  <c:v>0.32397003745318353</c:v>
                </c:pt>
                <c:pt idx="243">
                  <c:v>0.32771535580524347</c:v>
                </c:pt>
                <c:pt idx="244">
                  <c:v>0.32771535580524347</c:v>
                </c:pt>
                <c:pt idx="245">
                  <c:v>0.32771535580524347</c:v>
                </c:pt>
                <c:pt idx="246">
                  <c:v>0.32771535580524347</c:v>
                </c:pt>
                <c:pt idx="247">
                  <c:v>0.33333333333333331</c:v>
                </c:pt>
                <c:pt idx="248">
                  <c:v>0.33333333333333331</c:v>
                </c:pt>
                <c:pt idx="249">
                  <c:v>0.33333333333333331</c:v>
                </c:pt>
                <c:pt idx="250">
                  <c:v>0.34269662921348315</c:v>
                </c:pt>
                <c:pt idx="251">
                  <c:v>0.34269662921348315</c:v>
                </c:pt>
                <c:pt idx="252">
                  <c:v>0.34269662921348315</c:v>
                </c:pt>
                <c:pt idx="253">
                  <c:v>0.34269662921348315</c:v>
                </c:pt>
                <c:pt idx="254">
                  <c:v>0.34269662921348315</c:v>
                </c:pt>
                <c:pt idx="255">
                  <c:v>0.34269662921348315</c:v>
                </c:pt>
                <c:pt idx="256">
                  <c:v>0.34456928838951312</c:v>
                </c:pt>
                <c:pt idx="257">
                  <c:v>0.34644194756554308</c:v>
                </c:pt>
                <c:pt idx="258">
                  <c:v>0.35018726591760302</c:v>
                </c:pt>
                <c:pt idx="259">
                  <c:v>0.35018726591760302</c:v>
                </c:pt>
                <c:pt idx="260">
                  <c:v>0.35018726591760302</c:v>
                </c:pt>
                <c:pt idx="261">
                  <c:v>0.35767790262172283</c:v>
                </c:pt>
                <c:pt idx="262">
                  <c:v>0.35767790262172283</c:v>
                </c:pt>
                <c:pt idx="263">
                  <c:v>0.35767790262172283</c:v>
                </c:pt>
                <c:pt idx="264">
                  <c:v>0.35767790262172283</c:v>
                </c:pt>
                <c:pt idx="265">
                  <c:v>0.36142322097378277</c:v>
                </c:pt>
                <c:pt idx="266">
                  <c:v>0.36142322097378277</c:v>
                </c:pt>
                <c:pt idx="267">
                  <c:v>0.36142322097378277</c:v>
                </c:pt>
                <c:pt idx="268">
                  <c:v>0.36142322097378277</c:v>
                </c:pt>
                <c:pt idx="269">
                  <c:v>0.36142322097378277</c:v>
                </c:pt>
                <c:pt idx="270">
                  <c:v>0.3651685393258427</c:v>
                </c:pt>
                <c:pt idx="271">
                  <c:v>0.3651685393258427</c:v>
                </c:pt>
                <c:pt idx="272">
                  <c:v>0.36704119850187267</c:v>
                </c:pt>
                <c:pt idx="273">
                  <c:v>0.36704119850187267</c:v>
                </c:pt>
                <c:pt idx="274">
                  <c:v>0.36891385767790263</c:v>
                </c:pt>
                <c:pt idx="275">
                  <c:v>0.36891385767790263</c:v>
                </c:pt>
                <c:pt idx="276">
                  <c:v>0.3707865168539326</c:v>
                </c:pt>
                <c:pt idx="277">
                  <c:v>0.3707865168539326</c:v>
                </c:pt>
                <c:pt idx="278">
                  <c:v>0.3707865168539326</c:v>
                </c:pt>
                <c:pt idx="279">
                  <c:v>0.3707865168539326</c:v>
                </c:pt>
                <c:pt idx="280">
                  <c:v>0.37265917602996257</c:v>
                </c:pt>
                <c:pt idx="281">
                  <c:v>0.37265917602996257</c:v>
                </c:pt>
                <c:pt idx="282">
                  <c:v>0.37640449438202245</c:v>
                </c:pt>
                <c:pt idx="283">
                  <c:v>0.37640449438202245</c:v>
                </c:pt>
                <c:pt idx="284">
                  <c:v>0.37827715355805241</c:v>
                </c:pt>
                <c:pt idx="285">
                  <c:v>0.37827715355805241</c:v>
                </c:pt>
                <c:pt idx="286">
                  <c:v>0.37827715355805241</c:v>
                </c:pt>
                <c:pt idx="287">
                  <c:v>0.37827715355805241</c:v>
                </c:pt>
                <c:pt idx="288">
                  <c:v>0.38014981273408238</c:v>
                </c:pt>
                <c:pt idx="289">
                  <c:v>0.38576779026217228</c:v>
                </c:pt>
                <c:pt idx="290">
                  <c:v>0.38576779026217228</c:v>
                </c:pt>
                <c:pt idx="291">
                  <c:v>0.38576779026217228</c:v>
                </c:pt>
                <c:pt idx="292">
                  <c:v>0.38764044943820225</c:v>
                </c:pt>
                <c:pt idx="293">
                  <c:v>0.38764044943820225</c:v>
                </c:pt>
                <c:pt idx="294">
                  <c:v>0.38951310861423222</c:v>
                </c:pt>
                <c:pt idx="295">
                  <c:v>0.39138576779026218</c:v>
                </c:pt>
                <c:pt idx="296">
                  <c:v>0.39325842696629215</c:v>
                </c:pt>
                <c:pt idx="297">
                  <c:v>0.39513108614232212</c:v>
                </c:pt>
                <c:pt idx="298">
                  <c:v>0.39513108614232212</c:v>
                </c:pt>
                <c:pt idx="299">
                  <c:v>0.39513108614232212</c:v>
                </c:pt>
                <c:pt idx="300">
                  <c:v>0.39700374531835209</c:v>
                </c:pt>
                <c:pt idx="301">
                  <c:v>0.40262172284644193</c:v>
                </c:pt>
                <c:pt idx="302">
                  <c:v>0.40262172284644193</c:v>
                </c:pt>
                <c:pt idx="303">
                  <c:v>0.40262172284644193</c:v>
                </c:pt>
                <c:pt idx="304">
                  <c:v>0.40262172284644193</c:v>
                </c:pt>
                <c:pt idx="305">
                  <c:v>0.40262172284644193</c:v>
                </c:pt>
                <c:pt idx="306">
                  <c:v>0.40262172284644193</c:v>
                </c:pt>
                <c:pt idx="307">
                  <c:v>0.40262172284644193</c:v>
                </c:pt>
                <c:pt idx="308">
                  <c:v>0.4044943820224719</c:v>
                </c:pt>
                <c:pt idx="309">
                  <c:v>0.4044943820224719</c:v>
                </c:pt>
                <c:pt idx="310">
                  <c:v>0.4044943820224719</c:v>
                </c:pt>
                <c:pt idx="311">
                  <c:v>0.4044943820224719</c:v>
                </c:pt>
                <c:pt idx="312">
                  <c:v>0.4044943820224719</c:v>
                </c:pt>
                <c:pt idx="313">
                  <c:v>0.4044943820224719</c:v>
                </c:pt>
                <c:pt idx="314">
                  <c:v>0.40636704119850187</c:v>
                </c:pt>
                <c:pt idx="315">
                  <c:v>0.40823970037453183</c:v>
                </c:pt>
                <c:pt idx="316">
                  <c:v>0.40823970037453183</c:v>
                </c:pt>
                <c:pt idx="317">
                  <c:v>0.40823970037453183</c:v>
                </c:pt>
                <c:pt idx="318">
                  <c:v>0.40823970037453183</c:v>
                </c:pt>
                <c:pt idx="319">
                  <c:v>0.40823970037453183</c:v>
                </c:pt>
                <c:pt idx="320">
                  <c:v>0.4101123595505618</c:v>
                </c:pt>
                <c:pt idx="321">
                  <c:v>0.41198501872659177</c:v>
                </c:pt>
                <c:pt idx="322">
                  <c:v>0.41198501872659177</c:v>
                </c:pt>
                <c:pt idx="323">
                  <c:v>0.4157303370786517</c:v>
                </c:pt>
                <c:pt idx="324">
                  <c:v>0.4157303370786517</c:v>
                </c:pt>
                <c:pt idx="325">
                  <c:v>0.4157303370786517</c:v>
                </c:pt>
                <c:pt idx="326">
                  <c:v>0.41760299625468167</c:v>
                </c:pt>
                <c:pt idx="327">
                  <c:v>0.41947565543071164</c:v>
                </c:pt>
                <c:pt idx="328">
                  <c:v>0.41947565543071164</c:v>
                </c:pt>
                <c:pt idx="329">
                  <c:v>0.42509363295880148</c:v>
                </c:pt>
                <c:pt idx="330">
                  <c:v>0.42509363295880148</c:v>
                </c:pt>
                <c:pt idx="331">
                  <c:v>0.42509363295880148</c:v>
                </c:pt>
                <c:pt idx="332">
                  <c:v>0.42696629213483145</c:v>
                </c:pt>
                <c:pt idx="333">
                  <c:v>0.42696629213483145</c:v>
                </c:pt>
                <c:pt idx="334">
                  <c:v>0.42696629213483145</c:v>
                </c:pt>
                <c:pt idx="335">
                  <c:v>0.42696629213483145</c:v>
                </c:pt>
                <c:pt idx="336">
                  <c:v>0.42696629213483145</c:v>
                </c:pt>
                <c:pt idx="337">
                  <c:v>0.42883895131086142</c:v>
                </c:pt>
                <c:pt idx="338">
                  <c:v>0.42883895131086142</c:v>
                </c:pt>
                <c:pt idx="339">
                  <c:v>0.43445692883895132</c:v>
                </c:pt>
                <c:pt idx="340">
                  <c:v>0.43445692883895132</c:v>
                </c:pt>
                <c:pt idx="341">
                  <c:v>0.43445692883895132</c:v>
                </c:pt>
                <c:pt idx="342">
                  <c:v>0.43445692883895132</c:v>
                </c:pt>
                <c:pt idx="343">
                  <c:v>0.43445692883895132</c:v>
                </c:pt>
                <c:pt idx="344">
                  <c:v>0.43632958801498128</c:v>
                </c:pt>
                <c:pt idx="345">
                  <c:v>0.43632958801498128</c:v>
                </c:pt>
                <c:pt idx="346">
                  <c:v>0.43632958801498128</c:v>
                </c:pt>
                <c:pt idx="347">
                  <c:v>0.43820224719101125</c:v>
                </c:pt>
                <c:pt idx="348">
                  <c:v>0.44007490636704122</c:v>
                </c:pt>
                <c:pt idx="349">
                  <c:v>0.44007490636704122</c:v>
                </c:pt>
                <c:pt idx="350">
                  <c:v>0.4438202247191011</c:v>
                </c:pt>
                <c:pt idx="351">
                  <c:v>0.4438202247191011</c:v>
                </c:pt>
                <c:pt idx="352">
                  <c:v>0.44756554307116103</c:v>
                </c:pt>
                <c:pt idx="353">
                  <c:v>0.44756554307116103</c:v>
                </c:pt>
                <c:pt idx="354">
                  <c:v>0.449438202247191</c:v>
                </c:pt>
                <c:pt idx="355">
                  <c:v>0.449438202247191</c:v>
                </c:pt>
                <c:pt idx="356">
                  <c:v>0.45318352059925093</c:v>
                </c:pt>
                <c:pt idx="357">
                  <c:v>0.45318352059925093</c:v>
                </c:pt>
                <c:pt idx="358">
                  <c:v>0.45318352059925093</c:v>
                </c:pt>
                <c:pt idx="359">
                  <c:v>0.45318352059925093</c:v>
                </c:pt>
                <c:pt idx="360">
                  <c:v>0.45692883895131087</c:v>
                </c:pt>
                <c:pt idx="361">
                  <c:v>0.45692883895131087</c:v>
                </c:pt>
                <c:pt idx="362">
                  <c:v>0.45880149812734083</c:v>
                </c:pt>
                <c:pt idx="363">
                  <c:v>0.45880149812734083</c:v>
                </c:pt>
                <c:pt idx="364">
                  <c:v>0.4606741573033708</c:v>
                </c:pt>
                <c:pt idx="365">
                  <c:v>0.4606741573033708</c:v>
                </c:pt>
                <c:pt idx="366">
                  <c:v>0.4606741573033708</c:v>
                </c:pt>
                <c:pt idx="367">
                  <c:v>0.4606741573033708</c:v>
                </c:pt>
                <c:pt idx="368">
                  <c:v>0.46254681647940077</c:v>
                </c:pt>
                <c:pt idx="369">
                  <c:v>0.46441947565543074</c:v>
                </c:pt>
                <c:pt idx="370">
                  <c:v>0.46629213483146065</c:v>
                </c:pt>
                <c:pt idx="371">
                  <c:v>0.46816479400749061</c:v>
                </c:pt>
                <c:pt idx="372">
                  <c:v>0.46816479400749061</c:v>
                </c:pt>
                <c:pt idx="373">
                  <c:v>0.46816479400749061</c:v>
                </c:pt>
                <c:pt idx="374">
                  <c:v>0.46816479400749061</c:v>
                </c:pt>
                <c:pt idx="375">
                  <c:v>0.47191011235955055</c:v>
                </c:pt>
                <c:pt idx="376">
                  <c:v>0.47191011235955055</c:v>
                </c:pt>
                <c:pt idx="377">
                  <c:v>0.47378277153558052</c:v>
                </c:pt>
                <c:pt idx="378">
                  <c:v>0.47378277153558052</c:v>
                </c:pt>
                <c:pt idx="379">
                  <c:v>0.47565543071161048</c:v>
                </c:pt>
                <c:pt idx="380">
                  <c:v>0.47565543071161048</c:v>
                </c:pt>
                <c:pt idx="381">
                  <c:v>0.47565543071161048</c:v>
                </c:pt>
                <c:pt idx="382">
                  <c:v>0.48314606741573035</c:v>
                </c:pt>
                <c:pt idx="383">
                  <c:v>0.48314606741573035</c:v>
                </c:pt>
                <c:pt idx="384">
                  <c:v>0.48314606741573035</c:v>
                </c:pt>
                <c:pt idx="385">
                  <c:v>0.48314606741573035</c:v>
                </c:pt>
                <c:pt idx="386">
                  <c:v>0.48501872659176032</c:v>
                </c:pt>
                <c:pt idx="387">
                  <c:v>0.48501872659176032</c:v>
                </c:pt>
                <c:pt idx="388">
                  <c:v>0.48501872659176032</c:v>
                </c:pt>
                <c:pt idx="389">
                  <c:v>0.4887640449438202</c:v>
                </c:pt>
                <c:pt idx="390">
                  <c:v>0.4887640449438202</c:v>
                </c:pt>
                <c:pt idx="391">
                  <c:v>0.4887640449438202</c:v>
                </c:pt>
                <c:pt idx="392">
                  <c:v>0.49063670411985016</c:v>
                </c:pt>
                <c:pt idx="393">
                  <c:v>0.49063670411985016</c:v>
                </c:pt>
                <c:pt idx="394">
                  <c:v>0.49250936329588013</c:v>
                </c:pt>
                <c:pt idx="395">
                  <c:v>0.4943820224719101</c:v>
                </c:pt>
                <c:pt idx="396">
                  <c:v>0.4943820224719101</c:v>
                </c:pt>
                <c:pt idx="397">
                  <c:v>0.49625468164794007</c:v>
                </c:pt>
                <c:pt idx="398">
                  <c:v>0.49625468164794007</c:v>
                </c:pt>
                <c:pt idx="399">
                  <c:v>0.49812734082397003</c:v>
                </c:pt>
                <c:pt idx="400">
                  <c:v>0.49812734082397003</c:v>
                </c:pt>
                <c:pt idx="401">
                  <c:v>0.49812734082397003</c:v>
                </c:pt>
                <c:pt idx="402">
                  <c:v>0.49812734082397003</c:v>
                </c:pt>
                <c:pt idx="403">
                  <c:v>0.49812734082397003</c:v>
                </c:pt>
                <c:pt idx="404">
                  <c:v>0.50187265917602997</c:v>
                </c:pt>
                <c:pt idx="405">
                  <c:v>0.50187265917602997</c:v>
                </c:pt>
                <c:pt idx="406">
                  <c:v>0.50187265917602997</c:v>
                </c:pt>
                <c:pt idx="407">
                  <c:v>0.50374531835205993</c:v>
                </c:pt>
                <c:pt idx="408">
                  <c:v>0.5056179775280899</c:v>
                </c:pt>
                <c:pt idx="409">
                  <c:v>0.5056179775280899</c:v>
                </c:pt>
                <c:pt idx="410">
                  <c:v>0.5056179775280899</c:v>
                </c:pt>
                <c:pt idx="411">
                  <c:v>0.5056179775280899</c:v>
                </c:pt>
                <c:pt idx="412">
                  <c:v>0.5056179775280899</c:v>
                </c:pt>
                <c:pt idx="413">
                  <c:v>0.5056179775280899</c:v>
                </c:pt>
                <c:pt idx="414">
                  <c:v>0.50749063670411987</c:v>
                </c:pt>
                <c:pt idx="415">
                  <c:v>0.50749063670411987</c:v>
                </c:pt>
                <c:pt idx="416">
                  <c:v>0.50936329588014984</c:v>
                </c:pt>
                <c:pt idx="417">
                  <c:v>0.51498127340823974</c:v>
                </c:pt>
                <c:pt idx="418">
                  <c:v>0.51498127340823974</c:v>
                </c:pt>
                <c:pt idx="419">
                  <c:v>0.51498127340823974</c:v>
                </c:pt>
                <c:pt idx="420">
                  <c:v>0.51498127340823974</c:v>
                </c:pt>
                <c:pt idx="421">
                  <c:v>0.5168539325842697</c:v>
                </c:pt>
                <c:pt idx="422">
                  <c:v>0.5168539325842697</c:v>
                </c:pt>
                <c:pt idx="423">
                  <c:v>0.51872659176029967</c:v>
                </c:pt>
                <c:pt idx="424">
                  <c:v>0.52059925093632964</c:v>
                </c:pt>
                <c:pt idx="425">
                  <c:v>0.52059925093632964</c:v>
                </c:pt>
                <c:pt idx="426">
                  <c:v>0.52247191011235961</c:v>
                </c:pt>
                <c:pt idx="427">
                  <c:v>0.52434456928838946</c:v>
                </c:pt>
                <c:pt idx="428">
                  <c:v>0.52434456928838946</c:v>
                </c:pt>
                <c:pt idx="429">
                  <c:v>0.5280898876404494</c:v>
                </c:pt>
                <c:pt idx="430">
                  <c:v>0.5280898876404494</c:v>
                </c:pt>
                <c:pt idx="431">
                  <c:v>0.5280898876404494</c:v>
                </c:pt>
                <c:pt idx="432">
                  <c:v>0.5280898876404494</c:v>
                </c:pt>
                <c:pt idx="433">
                  <c:v>0.5280898876404494</c:v>
                </c:pt>
                <c:pt idx="434">
                  <c:v>0.52996254681647936</c:v>
                </c:pt>
                <c:pt idx="435">
                  <c:v>0.52996254681647936</c:v>
                </c:pt>
                <c:pt idx="436">
                  <c:v>0.52996254681647936</c:v>
                </c:pt>
                <c:pt idx="437">
                  <c:v>0.53183520599250933</c:v>
                </c:pt>
                <c:pt idx="438">
                  <c:v>0.53558052434456926</c:v>
                </c:pt>
                <c:pt idx="439">
                  <c:v>0.53558052434456926</c:v>
                </c:pt>
                <c:pt idx="440">
                  <c:v>0.53558052434456926</c:v>
                </c:pt>
                <c:pt idx="441">
                  <c:v>0.54307116104868913</c:v>
                </c:pt>
                <c:pt idx="442">
                  <c:v>0.54307116104868913</c:v>
                </c:pt>
                <c:pt idx="443">
                  <c:v>0.54307116104868913</c:v>
                </c:pt>
                <c:pt idx="444">
                  <c:v>0.54307116104868913</c:v>
                </c:pt>
                <c:pt idx="445">
                  <c:v>0.54307116104868913</c:v>
                </c:pt>
                <c:pt idx="446">
                  <c:v>0.5449438202247191</c:v>
                </c:pt>
                <c:pt idx="447">
                  <c:v>0.54681647940074907</c:v>
                </c:pt>
                <c:pt idx="448">
                  <c:v>0.54681647940074907</c:v>
                </c:pt>
                <c:pt idx="449">
                  <c:v>0.54681647940074907</c:v>
                </c:pt>
                <c:pt idx="450">
                  <c:v>0.54681647940074907</c:v>
                </c:pt>
                <c:pt idx="451">
                  <c:v>0.54681647940074907</c:v>
                </c:pt>
                <c:pt idx="452">
                  <c:v>0.54681647940074907</c:v>
                </c:pt>
                <c:pt idx="453">
                  <c:v>0.54868913857677903</c:v>
                </c:pt>
                <c:pt idx="454">
                  <c:v>0.54868913857677903</c:v>
                </c:pt>
                <c:pt idx="455">
                  <c:v>0.550561797752809</c:v>
                </c:pt>
                <c:pt idx="456">
                  <c:v>0.5561797752808989</c:v>
                </c:pt>
                <c:pt idx="457">
                  <c:v>0.5561797752808989</c:v>
                </c:pt>
                <c:pt idx="458">
                  <c:v>0.5561797752808989</c:v>
                </c:pt>
                <c:pt idx="459">
                  <c:v>0.55805243445692887</c:v>
                </c:pt>
                <c:pt idx="460">
                  <c:v>0.56367041198501877</c:v>
                </c:pt>
                <c:pt idx="461">
                  <c:v>0.56367041198501877</c:v>
                </c:pt>
                <c:pt idx="462">
                  <c:v>0.56367041198501877</c:v>
                </c:pt>
                <c:pt idx="463">
                  <c:v>0.56367041198501877</c:v>
                </c:pt>
                <c:pt idx="464">
                  <c:v>0.56554307116104874</c:v>
                </c:pt>
                <c:pt idx="465">
                  <c:v>0.56741573033707871</c:v>
                </c:pt>
                <c:pt idx="466">
                  <c:v>0.56928838951310856</c:v>
                </c:pt>
                <c:pt idx="467">
                  <c:v>0.57116104868913853</c:v>
                </c:pt>
                <c:pt idx="468">
                  <c:v>0.57116104868913853</c:v>
                </c:pt>
                <c:pt idx="469">
                  <c:v>0.57116104868913853</c:v>
                </c:pt>
                <c:pt idx="470">
                  <c:v>0.5730337078651685</c:v>
                </c:pt>
                <c:pt idx="471">
                  <c:v>0.5786516853932584</c:v>
                </c:pt>
                <c:pt idx="472">
                  <c:v>0.5786516853932584</c:v>
                </c:pt>
                <c:pt idx="473">
                  <c:v>0.5786516853932584</c:v>
                </c:pt>
                <c:pt idx="474">
                  <c:v>0.5786516853932584</c:v>
                </c:pt>
                <c:pt idx="475">
                  <c:v>0.5786516853932584</c:v>
                </c:pt>
                <c:pt idx="476">
                  <c:v>0.5786516853932584</c:v>
                </c:pt>
                <c:pt idx="477">
                  <c:v>0.5842696629213483</c:v>
                </c:pt>
                <c:pt idx="478">
                  <c:v>0.5842696629213483</c:v>
                </c:pt>
                <c:pt idx="479">
                  <c:v>0.5842696629213483</c:v>
                </c:pt>
                <c:pt idx="480">
                  <c:v>0.5842696629213483</c:v>
                </c:pt>
                <c:pt idx="481">
                  <c:v>0.5842696629213483</c:v>
                </c:pt>
                <c:pt idx="482">
                  <c:v>0.58614232209737827</c:v>
                </c:pt>
                <c:pt idx="483">
                  <c:v>0.58614232209737827</c:v>
                </c:pt>
                <c:pt idx="484">
                  <c:v>0.58614232209737827</c:v>
                </c:pt>
                <c:pt idx="485">
                  <c:v>0.58614232209737827</c:v>
                </c:pt>
                <c:pt idx="486">
                  <c:v>0.58801498127340823</c:v>
                </c:pt>
                <c:pt idx="487">
                  <c:v>0.58801498127340823</c:v>
                </c:pt>
                <c:pt idx="488">
                  <c:v>0.5898876404494382</c:v>
                </c:pt>
                <c:pt idx="489">
                  <c:v>0.59176029962546817</c:v>
                </c:pt>
                <c:pt idx="490">
                  <c:v>0.59176029962546817</c:v>
                </c:pt>
                <c:pt idx="491">
                  <c:v>0.59363295880149813</c:v>
                </c:pt>
                <c:pt idx="492">
                  <c:v>0.5955056179775281</c:v>
                </c:pt>
                <c:pt idx="493">
                  <c:v>0.59925093632958804</c:v>
                </c:pt>
                <c:pt idx="494">
                  <c:v>0.59925093632958804</c:v>
                </c:pt>
                <c:pt idx="495">
                  <c:v>0.60299625468164797</c:v>
                </c:pt>
                <c:pt idx="496">
                  <c:v>0.60299625468164797</c:v>
                </c:pt>
                <c:pt idx="497">
                  <c:v>0.6067415730337079</c:v>
                </c:pt>
                <c:pt idx="498">
                  <c:v>0.6067415730337079</c:v>
                </c:pt>
                <c:pt idx="499">
                  <c:v>0.61048689138576784</c:v>
                </c:pt>
                <c:pt idx="500">
                  <c:v>0.61048689138576784</c:v>
                </c:pt>
                <c:pt idx="501">
                  <c:v>0.61235955056179781</c:v>
                </c:pt>
                <c:pt idx="502">
                  <c:v>0.61423220973782766</c:v>
                </c:pt>
                <c:pt idx="503">
                  <c:v>0.61610486891385763</c:v>
                </c:pt>
                <c:pt idx="504">
                  <c:v>0.61610486891385763</c:v>
                </c:pt>
                <c:pt idx="505">
                  <c:v>0.61610486891385763</c:v>
                </c:pt>
                <c:pt idx="506">
                  <c:v>0.61610486891385763</c:v>
                </c:pt>
                <c:pt idx="507">
                  <c:v>0.6179775280898876</c:v>
                </c:pt>
                <c:pt idx="508">
                  <c:v>0.6179775280898876</c:v>
                </c:pt>
                <c:pt idx="509">
                  <c:v>0.6179775280898876</c:v>
                </c:pt>
                <c:pt idx="510">
                  <c:v>0.61985018726591756</c:v>
                </c:pt>
                <c:pt idx="511">
                  <c:v>0.61985018726591756</c:v>
                </c:pt>
                <c:pt idx="512">
                  <c:v>0.6235955056179775</c:v>
                </c:pt>
                <c:pt idx="513">
                  <c:v>0.6235955056179775</c:v>
                </c:pt>
                <c:pt idx="514">
                  <c:v>0.6235955056179775</c:v>
                </c:pt>
                <c:pt idx="515">
                  <c:v>0.6235955056179775</c:v>
                </c:pt>
                <c:pt idx="516">
                  <c:v>0.6235955056179775</c:v>
                </c:pt>
                <c:pt idx="517">
                  <c:v>0.6235955056179775</c:v>
                </c:pt>
                <c:pt idx="518">
                  <c:v>0.62546816479400746</c:v>
                </c:pt>
                <c:pt idx="519">
                  <c:v>0.62734082397003743</c:v>
                </c:pt>
                <c:pt idx="520">
                  <c:v>0.6292134831460674</c:v>
                </c:pt>
                <c:pt idx="521">
                  <c:v>0.6292134831460674</c:v>
                </c:pt>
                <c:pt idx="522">
                  <c:v>0.6292134831460674</c:v>
                </c:pt>
                <c:pt idx="523">
                  <c:v>0.6292134831460674</c:v>
                </c:pt>
                <c:pt idx="524">
                  <c:v>0.63108614232209737</c:v>
                </c:pt>
                <c:pt idx="525">
                  <c:v>0.63108614232209737</c:v>
                </c:pt>
                <c:pt idx="526">
                  <c:v>0.63108614232209737</c:v>
                </c:pt>
                <c:pt idx="527">
                  <c:v>0.63108614232209737</c:v>
                </c:pt>
                <c:pt idx="528">
                  <c:v>0.63295880149812733</c:v>
                </c:pt>
                <c:pt idx="529">
                  <c:v>0.6348314606741573</c:v>
                </c:pt>
                <c:pt idx="530">
                  <c:v>0.6348314606741573</c:v>
                </c:pt>
                <c:pt idx="531">
                  <c:v>0.6348314606741573</c:v>
                </c:pt>
                <c:pt idx="532">
                  <c:v>0.6348314606741573</c:v>
                </c:pt>
                <c:pt idx="533">
                  <c:v>0.6348314606741573</c:v>
                </c:pt>
                <c:pt idx="534">
                  <c:v>0.63670411985018727</c:v>
                </c:pt>
                <c:pt idx="535">
                  <c:v>0.63670411985018727</c:v>
                </c:pt>
                <c:pt idx="536">
                  <c:v>0.63857677902621723</c:v>
                </c:pt>
                <c:pt idx="537">
                  <c:v>0.63857677902621723</c:v>
                </c:pt>
                <c:pt idx="538">
                  <c:v>0.63857677902621723</c:v>
                </c:pt>
                <c:pt idx="539">
                  <c:v>0.63857677902621723</c:v>
                </c:pt>
                <c:pt idx="540">
                  <c:v>0.6404494382022472</c:v>
                </c:pt>
                <c:pt idx="541">
                  <c:v>0.6404494382022472</c:v>
                </c:pt>
                <c:pt idx="542">
                  <c:v>0.64419475655430714</c:v>
                </c:pt>
                <c:pt idx="543">
                  <c:v>0.64419475655430714</c:v>
                </c:pt>
                <c:pt idx="544">
                  <c:v>0.64419475655430714</c:v>
                </c:pt>
                <c:pt idx="545">
                  <c:v>0.64419475655430714</c:v>
                </c:pt>
                <c:pt idx="546">
                  <c:v>0.64419475655430714</c:v>
                </c:pt>
                <c:pt idx="547">
                  <c:v>0.64419475655430714</c:v>
                </c:pt>
                <c:pt idx="548">
                  <c:v>0.6460674157303371</c:v>
                </c:pt>
                <c:pt idx="549">
                  <c:v>0.64794007490636707</c:v>
                </c:pt>
                <c:pt idx="550">
                  <c:v>0.64981273408239704</c:v>
                </c:pt>
                <c:pt idx="551">
                  <c:v>0.64981273408239704</c:v>
                </c:pt>
                <c:pt idx="552">
                  <c:v>0.651685393258427</c:v>
                </c:pt>
                <c:pt idx="553">
                  <c:v>0.651685393258427</c:v>
                </c:pt>
                <c:pt idx="554">
                  <c:v>0.65355805243445697</c:v>
                </c:pt>
                <c:pt idx="555">
                  <c:v>0.65355805243445697</c:v>
                </c:pt>
                <c:pt idx="556">
                  <c:v>0.65355805243445697</c:v>
                </c:pt>
                <c:pt idx="557">
                  <c:v>0.65355805243445697</c:v>
                </c:pt>
                <c:pt idx="558">
                  <c:v>0.65355805243445697</c:v>
                </c:pt>
                <c:pt idx="559">
                  <c:v>0.65355805243445697</c:v>
                </c:pt>
                <c:pt idx="560">
                  <c:v>0.65355805243445697</c:v>
                </c:pt>
                <c:pt idx="561">
                  <c:v>0.65355805243445697</c:v>
                </c:pt>
                <c:pt idx="562">
                  <c:v>0.65355805243445697</c:v>
                </c:pt>
                <c:pt idx="563">
                  <c:v>0.65355805243445697</c:v>
                </c:pt>
                <c:pt idx="564">
                  <c:v>0.65355805243445697</c:v>
                </c:pt>
                <c:pt idx="565">
                  <c:v>0.65355805243445697</c:v>
                </c:pt>
                <c:pt idx="566">
                  <c:v>0.65355805243445697</c:v>
                </c:pt>
                <c:pt idx="567">
                  <c:v>0.65355805243445697</c:v>
                </c:pt>
                <c:pt idx="568">
                  <c:v>0.65355805243445697</c:v>
                </c:pt>
                <c:pt idx="569">
                  <c:v>0.65355805243445697</c:v>
                </c:pt>
                <c:pt idx="570">
                  <c:v>0.65543071161048694</c:v>
                </c:pt>
                <c:pt idx="571">
                  <c:v>0.65730337078651691</c:v>
                </c:pt>
                <c:pt idx="572">
                  <c:v>0.65917602996254676</c:v>
                </c:pt>
                <c:pt idx="573">
                  <c:v>0.65917602996254676</c:v>
                </c:pt>
                <c:pt idx="574">
                  <c:v>0.65917602996254676</c:v>
                </c:pt>
                <c:pt idx="575">
                  <c:v>0.65917602996254676</c:v>
                </c:pt>
                <c:pt idx="576">
                  <c:v>0.65917602996254676</c:v>
                </c:pt>
                <c:pt idx="577">
                  <c:v>0.65917602996254676</c:v>
                </c:pt>
                <c:pt idx="578">
                  <c:v>0.66479400749063666</c:v>
                </c:pt>
                <c:pt idx="579">
                  <c:v>0.66479400749063666</c:v>
                </c:pt>
                <c:pt idx="580">
                  <c:v>0.66479400749063666</c:v>
                </c:pt>
                <c:pt idx="581">
                  <c:v>0.66479400749063666</c:v>
                </c:pt>
                <c:pt idx="582">
                  <c:v>0.66479400749063666</c:v>
                </c:pt>
                <c:pt idx="583">
                  <c:v>0.66666666666666663</c:v>
                </c:pt>
                <c:pt idx="584">
                  <c:v>0.66666666666666663</c:v>
                </c:pt>
                <c:pt idx="585">
                  <c:v>0.66666666666666663</c:v>
                </c:pt>
                <c:pt idx="586">
                  <c:v>0.66666666666666663</c:v>
                </c:pt>
                <c:pt idx="587">
                  <c:v>0.67228464419475653</c:v>
                </c:pt>
                <c:pt idx="588">
                  <c:v>0.67228464419475653</c:v>
                </c:pt>
                <c:pt idx="589">
                  <c:v>0.67228464419475653</c:v>
                </c:pt>
                <c:pt idx="590">
                  <c:v>0.6741573033707865</c:v>
                </c:pt>
                <c:pt idx="591">
                  <c:v>0.6741573033707865</c:v>
                </c:pt>
                <c:pt idx="592">
                  <c:v>0.6741573033707865</c:v>
                </c:pt>
                <c:pt idx="593">
                  <c:v>0.67602996254681647</c:v>
                </c:pt>
                <c:pt idx="594">
                  <c:v>0.67602996254681647</c:v>
                </c:pt>
                <c:pt idx="595">
                  <c:v>0.67602996254681647</c:v>
                </c:pt>
                <c:pt idx="596">
                  <c:v>0.67602996254681647</c:v>
                </c:pt>
                <c:pt idx="597">
                  <c:v>0.67790262172284643</c:v>
                </c:pt>
                <c:pt idx="598">
                  <c:v>0.67790262172284643</c:v>
                </c:pt>
                <c:pt idx="599">
                  <c:v>0.67790262172284643</c:v>
                </c:pt>
                <c:pt idx="600">
                  <c:v>0.67790262172284643</c:v>
                </c:pt>
                <c:pt idx="601">
                  <c:v>0.67790262172284643</c:v>
                </c:pt>
                <c:pt idx="602">
                  <c:v>0.68164794007490637</c:v>
                </c:pt>
                <c:pt idx="603">
                  <c:v>0.68164794007490637</c:v>
                </c:pt>
                <c:pt idx="604">
                  <c:v>0.68164794007490637</c:v>
                </c:pt>
                <c:pt idx="605">
                  <c:v>0.68726591760299627</c:v>
                </c:pt>
                <c:pt idx="606">
                  <c:v>0.68726591760299627</c:v>
                </c:pt>
                <c:pt idx="607">
                  <c:v>0.68726591760299627</c:v>
                </c:pt>
                <c:pt idx="608">
                  <c:v>0.68726591760299627</c:v>
                </c:pt>
                <c:pt idx="609">
                  <c:v>0.68726591760299627</c:v>
                </c:pt>
                <c:pt idx="610">
                  <c:v>0.68913857677902624</c:v>
                </c:pt>
                <c:pt idx="611">
                  <c:v>0.6910112359550562</c:v>
                </c:pt>
                <c:pt idx="612">
                  <c:v>0.6910112359550562</c:v>
                </c:pt>
                <c:pt idx="613">
                  <c:v>0.6910112359550562</c:v>
                </c:pt>
                <c:pt idx="614">
                  <c:v>0.6910112359550562</c:v>
                </c:pt>
                <c:pt idx="615">
                  <c:v>0.6910112359550562</c:v>
                </c:pt>
                <c:pt idx="616">
                  <c:v>0.6910112359550562</c:v>
                </c:pt>
                <c:pt idx="617">
                  <c:v>0.69288389513108617</c:v>
                </c:pt>
                <c:pt idx="618">
                  <c:v>0.69288389513108617</c:v>
                </c:pt>
                <c:pt idx="619">
                  <c:v>0.69475655430711614</c:v>
                </c:pt>
                <c:pt idx="620">
                  <c:v>0.69475655430711614</c:v>
                </c:pt>
                <c:pt idx="621">
                  <c:v>0.69475655430711614</c:v>
                </c:pt>
                <c:pt idx="622">
                  <c:v>0.69475655430711614</c:v>
                </c:pt>
                <c:pt idx="623">
                  <c:v>0.69475655430711614</c:v>
                </c:pt>
                <c:pt idx="624">
                  <c:v>0.69475655430711614</c:v>
                </c:pt>
                <c:pt idx="625">
                  <c:v>0.6966292134831461</c:v>
                </c:pt>
                <c:pt idx="626">
                  <c:v>0.6966292134831461</c:v>
                </c:pt>
                <c:pt idx="627">
                  <c:v>0.69850187265917607</c:v>
                </c:pt>
                <c:pt idx="628">
                  <c:v>0.69850187265917607</c:v>
                </c:pt>
                <c:pt idx="629">
                  <c:v>0.70599250936329583</c:v>
                </c:pt>
                <c:pt idx="630">
                  <c:v>0.70599250936329583</c:v>
                </c:pt>
                <c:pt idx="631">
                  <c:v>0.70599250936329583</c:v>
                </c:pt>
                <c:pt idx="632">
                  <c:v>0.70599250936329583</c:v>
                </c:pt>
                <c:pt idx="633">
                  <c:v>0.7078651685393258</c:v>
                </c:pt>
                <c:pt idx="634">
                  <c:v>0.7078651685393258</c:v>
                </c:pt>
                <c:pt idx="635">
                  <c:v>0.7078651685393258</c:v>
                </c:pt>
                <c:pt idx="636">
                  <c:v>0.7078651685393258</c:v>
                </c:pt>
                <c:pt idx="637">
                  <c:v>0.7078651685393258</c:v>
                </c:pt>
                <c:pt idx="638">
                  <c:v>0.7078651685393258</c:v>
                </c:pt>
                <c:pt idx="639">
                  <c:v>0.71161048689138573</c:v>
                </c:pt>
                <c:pt idx="640">
                  <c:v>0.71161048689138573</c:v>
                </c:pt>
                <c:pt idx="641">
                  <c:v>0.7134831460674157</c:v>
                </c:pt>
                <c:pt idx="642">
                  <c:v>0.7134831460674157</c:v>
                </c:pt>
                <c:pt idx="643">
                  <c:v>0.71722846441947563</c:v>
                </c:pt>
                <c:pt idx="644">
                  <c:v>0.71722846441947563</c:v>
                </c:pt>
                <c:pt idx="645">
                  <c:v>0.71722846441947563</c:v>
                </c:pt>
                <c:pt idx="646">
                  <c:v>0.7191011235955056</c:v>
                </c:pt>
                <c:pt idx="647">
                  <c:v>0.7191011235955056</c:v>
                </c:pt>
                <c:pt idx="648">
                  <c:v>0.7191011235955056</c:v>
                </c:pt>
                <c:pt idx="649">
                  <c:v>0.7191011235955056</c:v>
                </c:pt>
                <c:pt idx="650">
                  <c:v>0.7191011235955056</c:v>
                </c:pt>
                <c:pt idx="651">
                  <c:v>0.7247191011235955</c:v>
                </c:pt>
                <c:pt idx="652">
                  <c:v>0.7247191011235955</c:v>
                </c:pt>
                <c:pt idx="653">
                  <c:v>0.7247191011235955</c:v>
                </c:pt>
                <c:pt idx="654">
                  <c:v>0.7247191011235955</c:v>
                </c:pt>
                <c:pt idx="655">
                  <c:v>0.72659176029962547</c:v>
                </c:pt>
                <c:pt idx="656">
                  <c:v>0.72659176029962547</c:v>
                </c:pt>
                <c:pt idx="657">
                  <c:v>0.72659176029962547</c:v>
                </c:pt>
                <c:pt idx="658">
                  <c:v>0.72659176029962547</c:v>
                </c:pt>
                <c:pt idx="659">
                  <c:v>0.72659176029962547</c:v>
                </c:pt>
                <c:pt idx="660">
                  <c:v>0.72659176029962547</c:v>
                </c:pt>
                <c:pt idx="661">
                  <c:v>0.72659176029962547</c:v>
                </c:pt>
                <c:pt idx="662">
                  <c:v>0.72846441947565543</c:v>
                </c:pt>
                <c:pt idx="663">
                  <c:v>0.72846441947565543</c:v>
                </c:pt>
                <c:pt idx="664">
                  <c:v>0.72846441947565543</c:v>
                </c:pt>
                <c:pt idx="665">
                  <c:v>0.72846441947565543</c:v>
                </c:pt>
                <c:pt idx="666">
                  <c:v>0.73408239700374533</c:v>
                </c:pt>
                <c:pt idx="667">
                  <c:v>0.73408239700374533</c:v>
                </c:pt>
                <c:pt idx="668">
                  <c:v>0.73408239700374533</c:v>
                </c:pt>
                <c:pt idx="669">
                  <c:v>0.73408239700374533</c:v>
                </c:pt>
                <c:pt idx="670">
                  <c:v>0.7359550561797753</c:v>
                </c:pt>
                <c:pt idx="671">
                  <c:v>0.73970037453183524</c:v>
                </c:pt>
                <c:pt idx="672">
                  <c:v>0.73970037453183524</c:v>
                </c:pt>
                <c:pt idx="673">
                  <c:v>0.7415730337078652</c:v>
                </c:pt>
                <c:pt idx="674">
                  <c:v>0.7415730337078652</c:v>
                </c:pt>
                <c:pt idx="675">
                  <c:v>0.7415730337078652</c:v>
                </c:pt>
                <c:pt idx="676">
                  <c:v>0.7415730337078652</c:v>
                </c:pt>
                <c:pt idx="677">
                  <c:v>0.74344569288389517</c:v>
                </c:pt>
                <c:pt idx="678">
                  <c:v>0.74344569288389517</c:v>
                </c:pt>
                <c:pt idx="679">
                  <c:v>0.74344569288389517</c:v>
                </c:pt>
                <c:pt idx="680">
                  <c:v>0.74344569288389517</c:v>
                </c:pt>
                <c:pt idx="681">
                  <c:v>0.74344569288389517</c:v>
                </c:pt>
                <c:pt idx="682">
                  <c:v>0.7471910112359551</c:v>
                </c:pt>
                <c:pt idx="683">
                  <c:v>0.7471910112359551</c:v>
                </c:pt>
                <c:pt idx="684">
                  <c:v>0.7471910112359551</c:v>
                </c:pt>
                <c:pt idx="685">
                  <c:v>0.7471910112359551</c:v>
                </c:pt>
                <c:pt idx="686">
                  <c:v>0.74906367041198507</c:v>
                </c:pt>
                <c:pt idx="687">
                  <c:v>0.74906367041198507</c:v>
                </c:pt>
                <c:pt idx="688">
                  <c:v>0.75093632958801493</c:v>
                </c:pt>
                <c:pt idx="689">
                  <c:v>0.75093632958801493</c:v>
                </c:pt>
                <c:pt idx="690">
                  <c:v>0.7528089887640449</c:v>
                </c:pt>
                <c:pt idx="691">
                  <c:v>0.7528089887640449</c:v>
                </c:pt>
                <c:pt idx="692">
                  <c:v>0.7528089887640449</c:v>
                </c:pt>
                <c:pt idx="693">
                  <c:v>0.75468164794007486</c:v>
                </c:pt>
                <c:pt idx="694">
                  <c:v>0.75468164794007486</c:v>
                </c:pt>
                <c:pt idx="695">
                  <c:v>0.75468164794007486</c:v>
                </c:pt>
                <c:pt idx="696">
                  <c:v>0.75468164794007486</c:v>
                </c:pt>
                <c:pt idx="697">
                  <c:v>0.75468164794007486</c:v>
                </c:pt>
                <c:pt idx="698">
                  <c:v>0.75655430711610483</c:v>
                </c:pt>
                <c:pt idx="699">
                  <c:v>0.75655430711610483</c:v>
                </c:pt>
                <c:pt idx="700">
                  <c:v>0.76029962546816476</c:v>
                </c:pt>
                <c:pt idx="701">
                  <c:v>0.76029962546816476</c:v>
                </c:pt>
                <c:pt idx="702">
                  <c:v>0.76217228464419473</c:v>
                </c:pt>
                <c:pt idx="703">
                  <c:v>0.76217228464419473</c:v>
                </c:pt>
                <c:pt idx="704">
                  <c:v>0.76591760299625467</c:v>
                </c:pt>
                <c:pt idx="705">
                  <c:v>0.76591760299625467</c:v>
                </c:pt>
                <c:pt idx="706">
                  <c:v>0.76591760299625467</c:v>
                </c:pt>
                <c:pt idx="707">
                  <c:v>0.76779026217228463</c:v>
                </c:pt>
                <c:pt idx="708">
                  <c:v>0.76779026217228463</c:v>
                </c:pt>
                <c:pt idx="709">
                  <c:v>0.7696629213483146</c:v>
                </c:pt>
                <c:pt idx="710">
                  <c:v>0.77340823970037453</c:v>
                </c:pt>
                <c:pt idx="711">
                  <c:v>0.77340823970037453</c:v>
                </c:pt>
                <c:pt idx="712">
                  <c:v>0.77340823970037453</c:v>
                </c:pt>
                <c:pt idx="713">
                  <c:v>0.7752808988764045</c:v>
                </c:pt>
                <c:pt idx="714">
                  <c:v>0.7752808988764045</c:v>
                </c:pt>
                <c:pt idx="715">
                  <c:v>0.7752808988764045</c:v>
                </c:pt>
                <c:pt idx="716">
                  <c:v>0.7752808988764045</c:v>
                </c:pt>
                <c:pt idx="717">
                  <c:v>0.7752808988764045</c:v>
                </c:pt>
                <c:pt idx="718">
                  <c:v>0.77715355805243447</c:v>
                </c:pt>
                <c:pt idx="719">
                  <c:v>0.7808988764044944</c:v>
                </c:pt>
                <c:pt idx="720">
                  <c:v>0.7808988764044944</c:v>
                </c:pt>
                <c:pt idx="721">
                  <c:v>0.7808988764044944</c:v>
                </c:pt>
                <c:pt idx="722">
                  <c:v>0.7808988764044944</c:v>
                </c:pt>
                <c:pt idx="723">
                  <c:v>0.7808988764044944</c:v>
                </c:pt>
                <c:pt idx="724">
                  <c:v>0.78277153558052437</c:v>
                </c:pt>
                <c:pt idx="725">
                  <c:v>0.78277153558052437</c:v>
                </c:pt>
                <c:pt idx="726">
                  <c:v>0.78464419475655434</c:v>
                </c:pt>
                <c:pt idx="727">
                  <c:v>0.78838951310861427</c:v>
                </c:pt>
                <c:pt idx="728">
                  <c:v>0.78838951310861427</c:v>
                </c:pt>
                <c:pt idx="729">
                  <c:v>0.78838951310861427</c:v>
                </c:pt>
                <c:pt idx="730">
                  <c:v>0.79026217228464424</c:v>
                </c:pt>
                <c:pt idx="731">
                  <c:v>0.79026217228464424</c:v>
                </c:pt>
                <c:pt idx="732">
                  <c:v>0.7921348314606742</c:v>
                </c:pt>
                <c:pt idx="733">
                  <c:v>0.7921348314606742</c:v>
                </c:pt>
                <c:pt idx="734">
                  <c:v>0.7921348314606742</c:v>
                </c:pt>
                <c:pt idx="735">
                  <c:v>0.7921348314606742</c:v>
                </c:pt>
                <c:pt idx="736">
                  <c:v>0.79400749063670417</c:v>
                </c:pt>
                <c:pt idx="737">
                  <c:v>0.79400749063670417</c:v>
                </c:pt>
                <c:pt idx="738">
                  <c:v>0.79588014981273403</c:v>
                </c:pt>
                <c:pt idx="739">
                  <c:v>0.79588014981273403</c:v>
                </c:pt>
                <c:pt idx="740">
                  <c:v>0.79588014981273403</c:v>
                </c:pt>
                <c:pt idx="741">
                  <c:v>0.79588014981273403</c:v>
                </c:pt>
                <c:pt idx="742">
                  <c:v>0.79588014981273403</c:v>
                </c:pt>
                <c:pt idx="743">
                  <c:v>0.79588014981273403</c:v>
                </c:pt>
                <c:pt idx="744">
                  <c:v>0.79588014981273403</c:v>
                </c:pt>
                <c:pt idx="745">
                  <c:v>0.79588014981273403</c:v>
                </c:pt>
                <c:pt idx="746">
                  <c:v>0.797752808988764</c:v>
                </c:pt>
                <c:pt idx="747">
                  <c:v>0.797752808988764</c:v>
                </c:pt>
                <c:pt idx="748">
                  <c:v>0.80149812734082393</c:v>
                </c:pt>
                <c:pt idx="749">
                  <c:v>0.80149812734082393</c:v>
                </c:pt>
                <c:pt idx="750">
                  <c:v>0.80149812734082393</c:v>
                </c:pt>
                <c:pt idx="751">
                  <c:v>0.80149812734082393</c:v>
                </c:pt>
                <c:pt idx="752">
                  <c:v>0.80149812734082393</c:v>
                </c:pt>
                <c:pt idx="753">
                  <c:v>0.80149812734082393</c:v>
                </c:pt>
                <c:pt idx="754">
                  <c:v>0.80149812734082393</c:v>
                </c:pt>
                <c:pt idx="755">
                  <c:v>0.80149812734082393</c:v>
                </c:pt>
                <c:pt idx="756">
                  <c:v>0.8033707865168539</c:v>
                </c:pt>
                <c:pt idx="757">
                  <c:v>0.8033707865168539</c:v>
                </c:pt>
                <c:pt idx="758">
                  <c:v>0.8033707865168539</c:v>
                </c:pt>
                <c:pt idx="759">
                  <c:v>0.8033707865168539</c:v>
                </c:pt>
                <c:pt idx="760">
                  <c:v>0.8033707865168539</c:v>
                </c:pt>
                <c:pt idx="761">
                  <c:v>0.8033707865168539</c:v>
                </c:pt>
                <c:pt idx="762">
                  <c:v>0.8033707865168539</c:v>
                </c:pt>
                <c:pt idx="763">
                  <c:v>0.8033707865168539</c:v>
                </c:pt>
                <c:pt idx="764">
                  <c:v>0.8033707865168539</c:v>
                </c:pt>
                <c:pt idx="765">
                  <c:v>0.80524344569288386</c:v>
                </c:pt>
                <c:pt idx="766">
                  <c:v>0.80711610486891383</c:v>
                </c:pt>
                <c:pt idx="767">
                  <c:v>0.8089887640449438</c:v>
                </c:pt>
                <c:pt idx="768">
                  <c:v>0.8089887640449438</c:v>
                </c:pt>
                <c:pt idx="769">
                  <c:v>0.8089887640449438</c:v>
                </c:pt>
                <c:pt idx="770">
                  <c:v>0.8089887640449438</c:v>
                </c:pt>
                <c:pt idx="771">
                  <c:v>0.8089887640449438</c:v>
                </c:pt>
                <c:pt idx="772">
                  <c:v>0.81086142322097376</c:v>
                </c:pt>
                <c:pt idx="773">
                  <c:v>0.81086142322097376</c:v>
                </c:pt>
                <c:pt idx="774">
                  <c:v>0.81086142322097376</c:v>
                </c:pt>
                <c:pt idx="775">
                  <c:v>0.81273408239700373</c:v>
                </c:pt>
                <c:pt idx="776">
                  <c:v>0.81273408239700373</c:v>
                </c:pt>
                <c:pt idx="777">
                  <c:v>0.81273408239700373</c:v>
                </c:pt>
                <c:pt idx="778">
                  <c:v>0.81273408239700373</c:v>
                </c:pt>
                <c:pt idx="779">
                  <c:v>0.81273408239700373</c:v>
                </c:pt>
                <c:pt idx="780">
                  <c:v>0.8146067415730337</c:v>
                </c:pt>
                <c:pt idx="781">
                  <c:v>0.81647940074906367</c:v>
                </c:pt>
                <c:pt idx="782">
                  <c:v>0.81647940074906367</c:v>
                </c:pt>
                <c:pt idx="783">
                  <c:v>0.81647940074906367</c:v>
                </c:pt>
                <c:pt idx="784">
                  <c:v>0.81647940074906367</c:v>
                </c:pt>
                <c:pt idx="785">
                  <c:v>0.81647940074906367</c:v>
                </c:pt>
                <c:pt idx="786">
                  <c:v>0.81647940074906367</c:v>
                </c:pt>
                <c:pt idx="787">
                  <c:v>0.81647940074906367</c:v>
                </c:pt>
                <c:pt idx="788">
                  <c:v>0.81835205992509363</c:v>
                </c:pt>
                <c:pt idx="789">
                  <c:v>0.81835205992509363</c:v>
                </c:pt>
                <c:pt idx="790">
                  <c:v>0.8202247191011236</c:v>
                </c:pt>
                <c:pt idx="791">
                  <c:v>0.8202247191011236</c:v>
                </c:pt>
                <c:pt idx="792">
                  <c:v>0.82209737827715357</c:v>
                </c:pt>
                <c:pt idx="793">
                  <c:v>0.82209737827715357</c:v>
                </c:pt>
                <c:pt idx="794">
                  <c:v>0.82397003745318353</c:v>
                </c:pt>
                <c:pt idx="795">
                  <c:v>0.82397003745318353</c:v>
                </c:pt>
                <c:pt idx="796">
                  <c:v>0.82397003745318353</c:v>
                </c:pt>
                <c:pt idx="797">
                  <c:v>0.82397003745318353</c:v>
                </c:pt>
                <c:pt idx="798">
                  <c:v>0.82771535580524347</c:v>
                </c:pt>
                <c:pt idx="799">
                  <c:v>0.82771535580524347</c:v>
                </c:pt>
                <c:pt idx="800">
                  <c:v>0.82771535580524347</c:v>
                </c:pt>
                <c:pt idx="801">
                  <c:v>0.82771535580524347</c:v>
                </c:pt>
                <c:pt idx="802">
                  <c:v>0.82771535580524347</c:v>
                </c:pt>
                <c:pt idx="803">
                  <c:v>0.82771535580524347</c:v>
                </c:pt>
                <c:pt idx="804">
                  <c:v>0.82958801498127344</c:v>
                </c:pt>
                <c:pt idx="805">
                  <c:v>0.82958801498127344</c:v>
                </c:pt>
                <c:pt idx="806">
                  <c:v>0.82958801498127344</c:v>
                </c:pt>
                <c:pt idx="807">
                  <c:v>0.82958801498127344</c:v>
                </c:pt>
                <c:pt idx="808">
                  <c:v>0.82958801498127344</c:v>
                </c:pt>
                <c:pt idx="809">
                  <c:v>0.82958801498127344</c:v>
                </c:pt>
                <c:pt idx="810">
                  <c:v>0.82958801498127344</c:v>
                </c:pt>
                <c:pt idx="811">
                  <c:v>0.83333333333333337</c:v>
                </c:pt>
                <c:pt idx="812">
                  <c:v>0.83333333333333337</c:v>
                </c:pt>
                <c:pt idx="813">
                  <c:v>0.83333333333333337</c:v>
                </c:pt>
                <c:pt idx="814">
                  <c:v>0.83333333333333337</c:v>
                </c:pt>
                <c:pt idx="815">
                  <c:v>0.83333333333333337</c:v>
                </c:pt>
                <c:pt idx="816">
                  <c:v>0.83333333333333337</c:v>
                </c:pt>
                <c:pt idx="817">
                  <c:v>0.83333333333333337</c:v>
                </c:pt>
                <c:pt idx="818">
                  <c:v>0.83333333333333337</c:v>
                </c:pt>
                <c:pt idx="819">
                  <c:v>0.83520599250936334</c:v>
                </c:pt>
                <c:pt idx="820">
                  <c:v>0.83520599250936334</c:v>
                </c:pt>
                <c:pt idx="821">
                  <c:v>0.83520599250936334</c:v>
                </c:pt>
                <c:pt idx="822">
                  <c:v>0.83895131086142327</c:v>
                </c:pt>
                <c:pt idx="823">
                  <c:v>0.83895131086142327</c:v>
                </c:pt>
                <c:pt idx="824">
                  <c:v>0.83895131086142327</c:v>
                </c:pt>
                <c:pt idx="825">
                  <c:v>0.84456928838951306</c:v>
                </c:pt>
                <c:pt idx="826">
                  <c:v>0.84456928838951306</c:v>
                </c:pt>
                <c:pt idx="827">
                  <c:v>0.84456928838951306</c:v>
                </c:pt>
                <c:pt idx="828">
                  <c:v>0.84456928838951306</c:v>
                </c:pt>
                <c:pt idx="829">
                  <c:v>0.84456928838951306</c:v>
                </c:pt>
                <c:pt idx="830">
                  <c:v>0.84456928838951306</c:v>
                </c:pt>
                <c:pt idx="831">
                  <c:v>0.85018726591760296</c:v>
                </c:pt>
                <c:pt idx="832">
                  <c:v>0.85018726591760296</c:v>
                </c:pt>
                <c:pt idx="833">
                  <c:v>0.85018726591760296</c:v>
                </c:pt>
                <c:pt idx="834">
                  <c:v>0.85205992509363293</c:v>
                </c:pt>
                <c:pt idx="835">
                  <c:v>0.85580524344569286</c:v>
                </c:pt>
                <c:pt idx="836">
                  <c:v>0.85580524344569286</c:v>
                </c:pt>
                <c:pt idx="837">
                  <c:v>0.85580524344569286</c:v>
                </c:pt>
                <c:pt idx="838">
                  <c:v>0.85580524344569286</c:v>
                </c:pt>
                <c:pt idx="839">
                  <c:v>0.85580524344569286</c:v>
                </c:pt>
                <c:pt idx="840">
                  <c:v>0.85580524344569286</c:v>
                </c:pt>
                <c:pt idx="841">
                  <c:v>0.85580524344569286</c:v>
                </c:pt>
                <c:pt idx="842">
                  <c:v>0.85767790262172283</c:v>
                </c:pt>
                <c:pt idx="843">
                  <c:v>0.8595505617977528</c:v>
                </c:pt>
                <c:pt idx="844">
                  <c:v>0.8595505617977528</c:v>
                </c:pt>
                <c:pt idx="845">
                  <c:v>0.8595505617977528</c:v>
                </c:pt>
                <c:pt idx="846">
                  <c:v>0.86142322097378277</c:v>
                </c:pt>
                <c:pt idx="847">
                  <c:v>0.86329588014981273</c:v>
                </c:pt>
                <c:pt idx="848">
                  <c:v>0.86329588014981273</c:v>
                </c:pt>
                <c:pt idx="849">
                  <c:v>0.86329588014981273</c:v>
                </c:pt>
                <c:pt idx="850">
                  <c:v>0.86329588014981273</c:v>
                </c:pt>
                <c:pt idx="851">
                  <c:v>0.86704119850187267</c:v>
                </c:pt>
                <c:pt idx="852">
                  <c:v>0.86704119850187267</c:v>
                </c:pt>
                <c:pt idx="853">
                  <c:v>0.86704119850187267</c:v>
                </c:pt>
                <c:pt idx="854">
                  <c:v>0.86704119850187267</c:v>
                </c:pt>
                <c:pt idx="855">
                  <c:v>0.86704119850187267</c:v>
                </c:pt>
                <c:pt idx="856">
                  <c:v>0.86704119850187267</c:v>
                </c:pt>
                <c:pt idx="857">
                  <c:v>0.86704119850187267</c:v>
                </c:pt>
                <c:pt idx="858">
                  <c:v>0.86704119850187267</c:v>
                </c:pt>
                <c:pt idx="859">
                  <c:v>0.86891385767790263</c:v>
                </c:pt>
                <c:pt idx="860">
                  <c:v>0.86891385767790263</c:v>
                </c:pt>
                <c:pt idx="861">
                  <c:v>0.8707865168539326</c:v>
                </c:pt>
                <c:pt idx="862">
                  <c:v>0.8707865168539326</c:v>
                </c:pt>
                <c:pt idx="863">
                  <c:v>0.8707865168539326</c:v>
                </c:pt>
                <c:pt idx="864">
                  <c:v>0.8707865168539326</c:v>
                </c:pt>
                <c:pt idx="865">
                  <c:v>0.8707865168539326</c:v>
                </c:pt>
                <c:pt idx="866">
                  <c:v>0.8707865168539326</c:v>
                </c:pt>
                <c:pt idx="867">
                  <c:v>0.8707865168539326</c:v>
                </c:pt>
                <c:pt idx="868">
                  <c:v>0.8707865168539326</c:v>
                </c:pt>
                <c:pt idx="869">
                  <c:v>0.8707865168539326</c:v>
                </c:pt>
                <c:pt idx="870">
                  <c:v>0.8707865168539326</c:v>
                </c:pt>
                <c:pt idx="871">
                  <c:v>0.8707865168539326</c:v>
                </c:pt>
                <c:pt idx="872">
                  <c:v>0.8707865168539326</c:v>
                </c:pt>
                <c:pt idx="873">
                  <c:v>0.87265917602996257</c:v>
                </c:pt>
                <c:pt idx="874">
                  <c:v>0.87265917602996257</c:v>
                </c:pt>
                <c:pt idx="875">
                  <c:v>0.87265917602996257</c:v>
                </c:pt>
                <c:pt idx="876">
                  <c:v>0.87265917602996257</c:v>
                </c:pt>
                <c:pt idx="877">
                  <c:v>0.87265917602996257</c:v>
                </c:pt>
                <c:pt idx="878">
                  <c:v>0.87453183520599254</c:v>
                </c:pt>
                <c:pt idx="879">
                  <c:v>0.87453183520599254</c:v>
                </c:pt>
                <c:pt idx="880">
                  <c:v>0.87453183520599254</c:v>
                </c:pt>
                <c:pt idx="881">
                  <c:v>0.8764044943820225</c:v>
                </c:pt>
                <c:pt idx="882">
                  <c:v>0.88014981273408244</c:v>
                </c:pt>
                <c:pt idx="883">
                  <c:v>0.88014981273408244</c:v>
                </c:pt>
                <c:pt idx="884">
                  <c:v>0.88014981273408244</c:v>
                </c:pt>
                <c:pt idx="885">
                  <c:v>0.88014981273408244</c:v>
                </c:pt>
                <c:pt idx="886">
                  <c:v>0.88014981273408244</c:v>
                </c:pt>
                <c:pt idx="887">
                  <c:v>0.88014981273408244</c:v>
                </c:pt>
                <c:pt idx="888">
                  <c:v>0.8820224719101124</c:v>
                </c:pt>
                <c:pt idx="889">
                  <c:v>0.8820224719101124</c:v>
                </c:pt>
                <c:pt idx="890">
                  <c:v>0.8820224719101124</c:v>
                </c:pt>
                <c:pt idx="891">
                  <c:v>0.8820224719101124</c:v>
                </c:pt>
                <c:pt idx="892">
                  <c:v>0.8820224719101124</c:v>
                </c:pt>
                <c:pt idx="893">
                  <c:v>0.8820224719101124</c:v>
                </c:pt>
                <c:pt idx="894">
                  <c:v>0.8820224719101124</c:v>
                </c:pt>
                <c:pt idx="895">
                  <c:v>0.8820224719101124</c:v>
                </c:pt>
                <c:pt idx="896">
                  <c:v>0.88389513108614237</c:v>
                </c:pt>
                <c:pt idx="897">
                  <c:v>0.88389513108614237</c:v>
                </c:pt>
                <c:pt idx="898">
                  <c:v>0.88389513108614237</c:v>
                </c:pt>
                <c:pt idx="899">
                  <c:v>0.88389513108614237</c:v>
                </c:pt>
                <c:pt idx="900">
                  <c:v>0.88389513108614237</c:v>
                </c:pt>
                <c:pt idx="901">
                  <c:v>0.88389513108614237</c:v>
                </c:pt>
                <c:pt idx="902">
                  <c:v>0.88576779026217234</c:v>
                </c:pt>
                <c:pt idx="903">
                  <c:v>0.88576779026217234</c:v>
                </c:pt>
                <c:pt idx="904">
                  <c:v>0.88576779026217234</c:v>
                </c:pt>
                <c:pt idx="905">
                  <c:v>0.88576779026217234</c:v>
                </c:pt>
                <c:pt idx="906">
                  <c:v>0.88764044943820219</c:v>
                </c:pt>
                <c:pt idx="907">
                  <c:v>0.88764044943820219</c:v>
                </c:pt>
                <c:pt idx="908">
                  <c:v>0.88764044943820219</c:v>
                </c:pt>
                <c:pt idx="909">
                  <c:v>0.88951310861423216</c:v>
                </c:pt>
                <c:pt idx="910">
                  <c:v>0.88951310861423216</c:v>
                </c:pt>
                <c:pt idx="911">
                  <c:v>0.89138576779026213</c:v>
                </c:pt>
                <c:pt idx="912">
                  <c:v>0.89138576779026213</c:v>
                </c:pt>
                <c:pt idx="913">
                  <c:v>0.89700374531835203</c:v>
                </c:pt>
                <c:pt idx="914">
                  <c:v>0.89700374531835203</c:v>
                </c:pt>
                <c:pt idx="915">
                  <c:v>0.89700374531835203</c:v>
                </c:pt>
                <c:pt idx="916">
                  <c:v>0.89700374531835203</c:v>
                </c:pt>
                <c:pt idx="917">
                  <c:v>0.89700374531835203</c:v>
                </c:pt>
                <c:pt idx="918">
                  <c:v>0.898876404494382</c:v>
                </c:pt>
                <c:pt idx="919">
                  <c:v>0.898876404494382</c:v>
                </c:pt>
                <c:pt idx="920">
                  <c:v>0.898876404494382</c:v>
                </c:pt>
                <c:pt idx="921">
                  <c:v>0.898876404494382</c:v>
                </c:pt>
                <c:pt idx="922">
                  <c:v>0.90262172284644193</c:v>
                </c:pt>
                <c:pt idx="923">
                  <c:v>0.90262172284644193</c:v>
                </c:pt>
                <c:pt idx="924">
                  <c:v>0.9044943820224719</c:v>
                </c:pt>
                <c:pt idx="925">
                  <c:v>0.9044943820224719</c:v>
                </c:pt>
                <c:pt idx="926">
                  <c:v>0.91198501872659177</c:v>
                </c:pt>
                <c:pt idx="927">
                  <c:v>0.91198501872659177</c:v>
                </c:pt>
                <c:pt idx="928">
                  <c:v>0.91198501872659177</c:v>
                </c:pt>
                <c:pt idx="929">
                  <c:v>0.91198501872659177</c:v>
                </c:pt>
                <c:pt idx="930">
                  <c:v>0.9157303370786517</c:v>
                </c:pt>
                <c:pt idx="931">
                  <c:v>0.9157303370786517</c:v>
                </c:pt>
                <c:pt idx="932">
                  <c:v>0.9157303370786517</c:v>
                </c:pt>
                <c:pt idx="933">
                  <c:v>0.9157303370786517</c:v>
                </c:pt>
                <c:pt idx="934">
                  <c:v>0.9157303370786517</c:v>
                </c:pt>
                <c:pt idx="935">
                  <c:v>0.9157303370786517</c:v>
                </c:pt>
                <c:pt idx="936">
                  <c:v>0.9157303370786517</c:v>
                </c:pt>
                <c:pt idx="937">
                  <c:v>0.9157303370786517</c:v>
                </c:pt>
                <c:pt idx="938">
                  <c:v>0.91760299625468167</c:v>
                </c:pt>
                <c:pt idx="939">
                  <c:v>0.91760299625468167</c:v>
                </c:pt>
                <c:pt idx="940">
                  <c:v>0.91760299625468167</c:v>
                </c:pt>
                <c:pt idx="941">
                  <c:v>0.91760299625468167</c:v>
                </c:pt>
                <c:pt idx="942">
                  <c:v>0.91947565543071164</c:v>
                </c:pt>
                <c:pt idx="943">
                  <c:v>0.91947565543071164</c:v>
                </c:pt>
                <c:pt idx="944">
                  <c:v>0.91947565543071164</c:v>
                </c:pt>
                <c:pt idx="945">
                  <c:v>0.91947565543071164</c:v>
                </c:pt>
                <c:pt idx="946">
                  <c:v>0.92322097378277157</c:v>
                </c:pt>
                <c:pt idx="947">
                  <c:v>0.92322097378277157</c:v>
                </c:pt>
                <c:pt idx="948">
                  <c:v>0.92322097378277157</c:v>
                </c:pt>
                <c:pt idx="949">
                  <c:v>0.92322097378277157</c:v>
                </c:pt>
                <c:pt idx="950">
                  <c:v>0.92322097378277157</c:v>
                </c:pt>
                <c:pt idx="951">
                  <c:v>0.92322097378277157</c:v>
                </c:pt>
                <c:pt idx="952">
                  <c:v>0.92322097378277157</c:v>
                </c:pt>
                <c:pt idx="953">
                  <c:v>0.92509363295880154</c:v>
                </c:pt>
                <c:pt idx="954">
                  <c:v>0.92509363295880154</c:v>
                </c:pt>
                <c:pt idx="955">
                  <c:v>0.92509363295880154</c:v>
                </c:pt>
                <c:pt idx="956">
                  <c:v>0.92509363295880154</c:v>
                </c:pt>
                <c:pt idx="957">
                  <c:v>0.92509363295880154</c:v>
                </c:pt>
                <c:pt idx="958">
                  <c:v>0.92509363295880154</c:v>
                </c:pt>
                <c:pt idx="959">
                  <c:v>0.92509363295880154</c:v>
                </c:pt>
                <c:pt idx="960">
                  <c:v>0.92509363295880154</c:v>
                </c:pt>
                <c:pt idx="961">
                  <c:v>0.92509363295880154</c:v>
                </c:pt>
                <c:pt idx="962">
                  <c:v>0.92509363295880154</c:v>
                </c:pt>
                <c:pt idx="963">
                  <c:v>0.92509363295880154</c:v>
                </c:pt>
                <c:pt idx="964">
                  <c:v>0.92509363295880154</c:v>
                </c:pt>
                <c:pt idx="965">
                  <c:v>0.92509363295880154</c:v>
                </c:pt>
                <c:pt idx="966">
                  <c:v>0.92509363295880154</c:v>
                </c:pt>
                <c:pt idx="967">
                  <c:v>0.92509363295880154</c:v>
                </c:pt>
                <c:pt idx="968">
                  <c:v>0.92509363295880154</c:v>
                </c:pt>
                <c:pt idx="969">
                  <c:v>0.92509363295880154</c:v>
                </c:pt>
                <c:pt idx="970">
                  <c:v>0.9269662921348315</c:v>
                </c:pt>
                <c:pt idx="971">
                  <c:v>0.9269662921348315</c:v>
                </c:pt>
                <c:pt idx="972">
                  <c:v>0.9269662921348315</c:v>
                </c:pt>
                <c:pt idx="973">
                  <c:v>0.9269662921348315</c:v>
                </c:pt>
                <c:pt idx="974">
                  <c:v>0.9269662921348315</c:v>
                </c:pt>
                <c:pt idx="975">
                  <c:v>0.9269662921348315</c:v>
                </c:pt>
                <c:pt idx="976">
                  <c:v>0.92883895131086147</c:v>
                </c:pt>
                <c:pt idx="977">
                  <c:v>0.92883895131086147</c:v>
                </c:pt>
                <c:pt idx="978">
                  <c:v>0.92883895131086147</c:v>
                </c:pt>
                <c:pt idx="979">
                  <c:v>0.92883895131086147</c:v>
                </c:pt>
                <c:pt idx="980">
                  <c:v>0.92883895131086147</c:v>
                </c:pt>
                <c:pt idx="981">
                  <c:v>0.93071161048689144</c:v>
                </c:pt>
                <c:pt idx="982">
                  <c:v>0.93071161048689144</c:v>
                </c:pt>
                <c:pt idx="983">
                  <c:v>0.93071161048689144</c:v>
                </c:pt>
                <c:pt idx="984">
                  <c:v>0.93071161048689144</c:v>
                </c:pt>
                <c:pt idx="985">
                  <c:v>0.93071161048689144</c:v>
                </c:pt>
                <c:pt idx="986">
                  <c:v>0.93071161048689144</c:v>
                </c:pt>
                <c:pt idx="987">
                  <c:v>0.93071161048689144</c:v>
                </c:pt>
                <c:pt idx="988">
                  <c:v>0.93071161048689144</c:v>
                </c:pt>
                <c:pt idx="989">
                  <c:v>0.93071161048689144</c:v>
                </c:pt>
                <c:pt idx="990">
                  <c:v>0.93071161048689144</c:v>
                </c:pt>
                <c:pt idx="991">
                  <c:v>0.93071161048689144</c:v>
                </c:pt>
                <c:pt idx="992">
                  <c:v>0.93071161048689144</c:v>
                </c:pt>
                <c:pt idx="993">
                  <c:v>0.93071161048689144</c:v>
                </c:pt>
                <c:pt idx="994">
                  <c:v>0.93071161048689144</c:v>
                </c:pt>
                <c:pt idx="995">
                  <c:v>0.93071161048689144</c:v>
                </c:pt>
                <c:pt idx="996">
                  <c:v>0.93258426966292129</c:v>
                </c:pt>
                <c:pt idx="997">
                  <c:v>0.93445692883895126</c:v>
                </c:pt>
                <c:pt idx="998">
                  <c:v>0.93445692883895126</c:v>
                </c:pt>
                <c:pt idx="999">
                  <c:v>0.93445692883895126</c:v>
                </c:pt>
                <c:pt idx="1000">
                  <c:v>0.93445692883895126</c:v>
                </c:pt>
                <c:pt idx="1001">
                  <c:v>0.93445692883895126</c:v>
                </c:pt>
                <c:pt idx="1002">
                  <c:v>0.93445692883895126</c:v>
                </c:pt>
                <c:pt idx="1003">
                  <c:v>0.93632958801498123</c:v>
                </c:pt>
                <c:pt idx="1004">
                  <c:v>0.93632958801498123</c:v>
                </c:pt>
                <c:pt idx="1005">
                  <c:v>0.93632958801498123</c:v>
                </c:pt>
                <c:pt idx="1006">
                  <c:v>0.93632958801498123</c:v>
                </c:pt>
                <c:pt idx="1007">
                  <c:v>0.93632958801498123</c:v>
                </c:pt>
                <c:pt idx="1008">
                  <c:v>0.93632958801498123</c:v>
                </c:pt>
                <c:pt idx="1009">
                  <c:v>0.94007490636704116</c:v>
                </c:pt>
                <c:pt idx="1010">
                  <c:v>0.94007490636704116</c:v>
                </c:pt>
                <c:pt idx="1011">
                  <c:v>0.94007490636704116</c:v>
                </c:pt>
                <c:pt idx="1012">
                  <c:v>0.94007490636704116</c:v>
                </c:pt>
                <c:pt idx="1013">
                  <c:v>0.94007490636704116</c:v>
                </c:pt>
                <c:pt idx="1014">
                  <c:v>0.94007490636704116</c:v>
                </c:pt>
                <c:pt idx="1015">
                  <c:v>0.94007490636704116</c:v>
                </c:pt>
                <c:pt idx="1016">
                  <c:v>0.94007490636704116</c:v>
                </c:pt>
                <c:pt idx="1017">
                  <c:v>0.94007490636704116</c:v>
                </c:pt>
                <c:pt idx="1018">
                  <c:v>0.94007490636704116</c:v>
                </c:pt>
                <c:pt idx="1019">
                  <c:v>0.94007490636704116</c:v>
                </c:pt>
                <c:pt idx="1020">
                  <c:v>0.94194756554307113</c:v>
                </c:pt>
                <c:pt idx="1021">
                  <c:v>0.94194756554307113</c:v>
                </c:pt>
                <c:pt idx="1022">
                  <c:v>0.94194756554307113</c:v>
                </c:pt>
                <c:pt idx="1023">
                  <c:v>0.94194756554307113</c:v>
                </c:pt>
                <c:pt idx="1024">
                  <c:v>0.94194756554307113</c:v>
                </c:pt>
                <c:pt idx="1025">
                  <c:v>0.94194756554307113</c:v>
                </c:pt>
                <c:pt idx="1026">
                  <c:v>0.9438202247191011</c:v>
                </c:pt>
                <c:pt idx="1027">
                  <c:v>0.9438202247191011</c:v>
                </c:pt>
                <c:pt idx="1028">
                  <c:v>0.9438202247191011</c:v>
                </c:pt>
                <c:pt idx="1029">
                  <c:v>0.9438202247191011</c:v>
                </c:pt>
                <c:pt idx="1030">
                  <c:v>0.94569288389513106</c:v>
                </c:pt>
                <c:pt idx="1031">
                  <c:v>0.94569288389513106</c:v>
                </c:pt>
                <c:pt idx="1032">
                  <c:v>0.94569288389513106</c:v>
                </c:pt>
                <c:pt idx="1033">
                  <c:v>0.94569288389513106</c:v>
                </c:pt>
                <c:pt idx="1034">
                  <c:v>0.94569288389513106</c:v>
                </c:pt>
                <c:pt idx="1035">
                  <c:v>0.94756554307116103</c:v>
                </c:pt>
                <c:pt idx="1036">
                  <c:v>0.94756554307116103</c:v>
                </c:pt>
                <c:pt idx="1037">
                  <c:v>0.94756554307116103</c:v>
                </c:pt>
                <c:pt idx="1038">
                  <c:v>0.94756554307116103</c:v>
                </c:pt>
                <c:pt idx="1039">
                  <c:v>0.94756554307116103</c:v>
                </c:pt>
                <c:pt idx="1040">
                  <c:v>0.94756554307116103</c:v>
                </c:pt>
                <c:pt idx="1041">
                  <c:v>0.94756554307116103</c:v>
                </c:pt>
                <c:pt idx="1042">
                  <c:v>0.94756554307116103</c:v>
                </c:pt>
                <c:pt idx="1043">
                  <c:v>0.94756554307116103</c:v>
                </c:pt>
                <c:pt idx="1044">
                  <c:v>0.94756554307116103</c:v>
                </c:pt>
                <c:pt idx="1045">
                  <c:v>0.94756554307116103</c:v>
                </c:pt>
                <c:pt idx="1046">
                  <c:v>0.949438202247191</c:v>
                </c:pt>
                <c:pt idx="1047">
                  <c:v>0.949438202247191</c:v>
                </c:pt>
                <c:pt idx="1048">
                  <c:v>0.949438202247191</c:v>
                </c:pt>
                <c:pt idx="1049">
                  <c:v>0.949438202247191</c:v>
                </c:pt>
                <c:pt idx="1050">
                  <c:v>0.949438202247191</c:v>
                </c:pt>
                <c:pt idx="1051">
                  <c:v>0.949438202247191</c:v>
                </c:pt>
                <c:pt idx="1052">
                  <c:v>0.949438202247191</c:v>
                </c:pt>
                <c:pt idx="1053">
                  <c:v>0.949438202247191</c:v>
                </c:pt>
                <c:pt idx="1054">
                  <c:v>0.949438202247191</c:v>
                </c:pt>
                <c:pt idx="1055">
                  <c:v>0.949438202247191</c:v>
                </c:pt>
                <c:pt idx="1056">
                  <c:v>0.949438202247191</c:v>
                </c:pt>
                <c:pt idx="1057">
                  <c:v>0.949438202247191</c:v>
                </c:pt>
                <c:pt idx="1058">
                  <c:v>0.949438202247191</c:v>
                </c:pt>
                <c:pt idx="1059">
                  <c:v>0.95318352059925093</c:v>
                </c:pt>
                <c:pt idx="1060">
                  <c:v>0.95318352059925093</c:v>
                </c:pt>
                <c:pt idx="1061">
                  <c:v>0.95318352059925093</c:v>
                </c:pt>
                <c:pt idx="1062">
                  <c:v>0.95318352059925093</c:v>
                </c:pt>
                <c:pt idx="1063">
                  <c:v>0.95318352059925093</c:v>
                </c:pt>
                <c:pt idx="1064">
                  <c:v>0.95318352059925093</c:v>
                </c:pt>
                <c:pt idx="1065">
                  <c:v>0.95318352059925093</c:v>
                </c:pt>
                <c:pt idx="1066">
                  <c:v>0.95318352059925093</c:v>
                </c:pt>
                <c:pt idx="1067">
                  <c:v>0.9550561797752809</c:v>
                </c:pt>
                <c:pt idx="1068">
                  <c:v>0.9550561797752809</c:v>
                </c:pt>
                <c:pt idx="1069">
                  <c:v>0.9550561797752809</c:v>
                </c:pt>
                <c:pt idx="1070">
                  <c:v>0.9550561797752809</c:v>
                </c:pt>
                <c:pt idx="1071">
                  <c:v>0.95692883895131087</c:v>
                </c:pt>
                <c:pt idx="1072">
                  <c:v>0.95692883895131087</c:v>
                </c:pt>
                <c:pt idx="1073">
                  <c:v>0.95692883895131087</c:v>
                </c:pt>
                <c:pt idx="1074">
                  <c:v>0.95692883895131087</c:v>
                </c:pt>
                <c:pt idx="1075">
                  <c:v>0.95692883895131087</c:v>
                </c:pt>
                <c:pt idx="1076">
                  <c:v>0.95692883895131087</c:v>
                </c:pt>
                <c:pt idx="1077">
                  <c:v>0.95692883895131087</c:v>
                </c:pt>
                <c:pt idx="1078">
                  <c:v>0.95692883895131087</c:v>
                </c:pt>
                <c:pt idx="1079">
                  <c:v>0.95692883895131087</c:v>
                </c:pt>
                <c:pt idx="1080">
                  <c:v>0.95692883895131087</c:v>
                </c:pt>
                <c:pt idx="1081">
                  <c:v>0.95692883895131087</c:v>
                </c:pt>
                <c:pt idx="1082">
                  <c:v>0.95692883895131087</c:v>
                </c:pt>
                <c:pt idx="1083">
                  <c:v>0.95692883895131087</c:v>
                </c:pt>
                <c:pt idx="1084">
                  <c:v>0.95692883895131087</c:v>
                </c:pt>
                <c:pt idx="1085">
                  <c:v>0.9606741573033708</c:v>
                </c:pt>
                <c:pt idx="1086">
                  <c:v>0.9606741573033708</c:v>
                </c:pt>
                <c:pt idx="1087">
                  <c:v>0.9606741573033708</c:v>
                </c:pt>
                <c:pt idx="1088">
                  <c:v>0.9606741573033708</c:v>
                </c:pt>
                <c:pt idx="1089">
                  <c:v>0.9606741573033708</c:v>
                </c:pt>
                <c:pt idx="1090">
                  <c:v>0.9606741573033708</c:v>
                </c:pt>
                <c:pt idx="1091">
                  <c:v>0.9606741573033708</c:v>
                </c:pt>
                <c:pt idx="1092">
                  <c:v>0.9606741573033708</c:v>
                </c:pt>
                <c:pt idx="1093">
                  <c:v>0.96254681647940077</c:v>
                </c:pt>
                <c:pt idx="1094">
                  <c:v>0.96254681647940077</c:v>
                </c:pt>
                <c:pt idx="1095">
                  <c:v>0.96254681647940077</c:v>
                </c:pt>
                <c:pt idx="1096">
                  <c:v>0.96254681647940077</c:v>
                </c:pt>
                <c:pt idx="1097">
                  <c:v>0.96441947565543074</c:v>
                </c:pt>
                <c:pt idx="1098">
                  <c:v>0.96441947565543074</c:v>
                </c:pt>
                <c:pt idx="1099">
                  <c:v>0.96441947565543074</c:v>
                </c:pt>
                <c:pt idx="1100">
                  <c:v>0.96441947565543074</c:v>
                </c:pt>
                <c:pt idx="1101">
                  <c:v>0.96441947565543074</c:v>
                </c:pt>
                <c:pt idx="1102">
                  <c:v>0.96441947565543074</c:v>
                </c:pt>
                <c:pt idx="1103">
                  <c:v>0.96441947565543074</c:v>
                </c:pt>
                <c:pt idx="1104">
                  <c:v>0.96441947565543074</c:v>
                </c:pt>
                <c:pt idx="1105">
                  <c:v>0.96441947565543074</c:v>
                </c:pt>
                <c:pt idx="1106">
                  <c:v>0.96441947565543074</c:v>
                </c:pt>
                <c:pt idx="1107">
                  <c:v>0.96441947565543074</c:v>
                </c:pt>
                <c:pt idx="1108">
                  <c:v>0.96441947565543074</c:v>
                </c:pt>
                <c:pt idx="1109">
                  <c:v>0.9662921348314607</c:v>
                </c:pt>
                <c:pt idx="1110">
                  <c:v>0.9662921348314607</c:v>
                </c:pt>
                <c:pt idx="1111">
                  <c:v>0.9662921348314607</c:v>
                </c:pt>
                <c:pt idx="1112">
                  <c:v>0.9662921348314607</c:v>
                </c:pt>
                <c:pt idx="1113">
                  <c:v>0.96816479400749067</c:v>
                </c:pt>
                <c:pt idx="1114">
                  <c:v>0.96816479400749067</c:v>
                </c:pt>
                <c:pt idx="1115">
                  <c:v>0.96816479400749067</c:v>
                </c:pt>
                <c:pt idx="1116">
                  <c:v>0.96816479400749067</c:v>
                </c:pt>
                <c:pt idx="1117">
                  <c:v>0.96816479400749067</c:v>
                </c:pt>
                <c:pt idx="1118">
                  <c:v>0.97003745318352064</c:v>
                </c:pt>
                <c:pt idx="1119">
                  <c:v>0.9719101123595506</c:v>
                </c:pt>
                <c:pt idx="1120">
                  <c:v>0.97378277153558057</c:v>
                </c:pt>
                <c:pt idx="1121">
                  <c:v>0.97378277153558057</c:v>
                </c:pt>
                <c:pt idx="1122">
                  <c:v>0.97378277153558057</c:v>
                </c:pt>
                <c:pt idx="1123">
                  <c:v>0.97378277153558057</c:v>
                </c:pt>
                <c:pt idx="1124">
                  <c:v>0.97378277153558057</c:v>
                </c:pt>
                <c:pt idx="1125">
                  <c:v>0.97378277153558057</c:v>
                </c:pt>
                <c:pt idx="1126">
                  <c:v>0.97378277153558057</c:v>
                </c:pt>
                <c:pt idx="1127">
                  <c:v>0.97565543071161054</c:v>
                </c:pt>
                <c:pt idx="1128">
                  <c:v>0.97565543071161054</c:v>
                </c:pt>
                <c:pt idx="1129">
                  <c:v>0.97565543071161054</c:v>
                </c:pt>
                <c:pt idx="1130">
                  <c:v>0.97565543071161054</c:v>
                </c:pt>
                <c:pt idx="1131">
                  <c:v>0.97565543071161054</c:v>
                </c:pt>
                <c:pt idx="1132">
                  <c:v>0.97752808988764039</c:v>
                </c:pt>
                <c:pt idx="1133">
                  <c:v>0.97752808988764039</c:v>
                </c:pt>
                <c:pt idx="1134">
                  <c:v>0.97752808988764039</c:v>
                </c:pt>
                <c:pt idx="1135">
                  <c:v>0.97752808988764039</c:v>
                </c:pt>
                <c:pt idx="1136">
                  <c:v>0.97752808988764039</c:v>
                </c:pt>
                <c:pt idx="1137">
                  <c:v>0.97940074906367036</c:v>
                </c:pt>
                <c:pt idx="1138">
                  <c:v>0.98127340823970033</c:v>
                </c:pt>
                <c:pt idx="1139">
                  <c:v>0.98127340823970033</c:v>
                </c:pt>
                <c:pt idx="1140">
                  <c:v>0.98127340823970033</c:v>
                </c:pt>
                <c:pt idx="1141">
                  <c:v>0.98127340823970033</c:v>
                </c:pt>
                <c:pt idx="1142">
                  <c:v>0.98127340823970033</c:v>
                </c:pt>
                <c:pt idx="1143">
                  <c:v>0.98127340823970033</c:v>
                </c:pt>
                <c:pt idx="1144">
                  <c:v>0.98127340823970033</c:v>
                </c:pt>
                <c:pt idx="1145">
                  <c:v>0.98127340823970033</c:v>
                </c:pt>
                <c:pt idx="1146">
                  <c:v>0.9831460674157303</c:v>
                </c:pt>
                <c:pt idx="1147">
                  <c:v>0.9831460674157303</c:v>
                </c:pt>
                <c:pt idx="1148">
                  <c:v>0.9831460674157303</c:v>
                </c:pt>
                <c:pt idx="1149">
                  <c:v>0.9831460674157303</c:v>
                </c:pt>
                <c:pt idx="1150">
                  <c:v>0.9831460674157303</c:v>
                </c:pt>
                <c:pt idx="1151">
                  <c:v>0.9831460674157303</c:v>
                </c:pt>
                <c:pt idx="1152">
                  <c:v>0.98689138576779023</c:v>
                </c:pt>
                <c:pt idx="1153">
                  <c:v>0.98689138576779023</c:v>
                </c:pt>
                <c:pt idx="1154">
                  <c:v>0.98689138576779023</c:v>
                </c:pt>
                <c:pt idx="1155">
                  <c:v>0.98689138576779023</c:v>
                </c:pt>
                <c:pt idx="1156">
                  <c:v>0.98689138576779023</c:v>
                </c:pt>
                <c:pt idx="1157">
                  <c:v>0.98689138576779023</c:v>
                </c:pt>
                <c:pt idx="1158">
                  <c:v>0.98689138576779023</c:v>
                </c:pt>
                <c:pt idx="1159">
                  <c:v>0.98689138576779023</c:v>
                </c:pt>
                <c:pt idx="1160">
                  <c:v>0.98689138576779023</c:v>
                </c:pt>
                <c:pt idx="1161">
                  <c:v>0.98689138576779023</c:v>
                </c:pt>
                <c:pt idx="1162">
                  <c:v>0.9887640449438202</c:v>
                </c:pt>
                <c:pt idx="1163">
                  <c:v>0.99250936329588013</c:v>
                </c:pt>
                <c:pt idx="1164">
                  <c:v>0.99250936329588013</c:v>
                </c:pt>
                <c:pt idx="1165">
                  <c:v>0.99250936329588013</c:v>
                </c:pt>
                <c:pt idx="1166">
                  <c:v>0.99250936329588013</c:v>
                </c:pt>
                <c:pt idx="1167">
                  <c:v>0.99250936329588013</c:v>
                </c:pt>
                <c:pt idx="1168">
                  <c:v>0.99250936329588013</c:v>
                </c:pt>
                <c:pt idx="1169">
                  <c:v>0.99250936329588013</c:v>
                </c:pt>
                <c:pt idx="1170">
                  <c:v>0.99250936329588013</c:v>
                </c:pt>
                <c:pt idx="1171">
                  <c:v>0.99250936329588013</c:v>
                </c:pt>
                <c:pt idx="1172">
                  <c:v>0.99250936329588013</c:v>
                </c:pt>
                <c:pt idx="1173">
                  <c:v>0.99250936329588013</c:v>
                </c:pt>
                <c:pt idx="1174">
                  <c:v>0.9943820224719101</c:v>
                </c:pt>
                <c:pt idx="1175">
                  <c:v>0.9943820224719101</c:v>
                </c:pt>
                <c:pt idx="1176">
                  <c:v>0.9943820224719101</c:v>
                </c:pt>
                <c:pt idx="1177">
                  <c:v>0.9943820224719101</c:v>
                </c:pt>
                <c:pt idx="1178">
                  <c:v>0.9943820224719101</c:v>
                </c:pt>
                <c:pt idx="1179">
                  <c:v>0.9943820224719101</c:v>
                </c:pt>
                <c:pt idx="1180">
                  <c:v>0.9943820224719101</c:v>
                </c:pt>
                <c:pt idx="1181">
                  <c:v>0.9943820224719101</c:v>
                </c:pt>
                <c:pt idx="1182">
                  <c:v>0.99625468164794007</c:v>
                </c:pt>
                <c:pt idx="1183">
                  <c:v>0.99812734082397003</c:v>
                </c:pt>
                <c:pt idx="1184">
                  <c:v>0.99812734082397003</c:v>
                </c:pt>
                <c:pt idx="1185">
                  <c:v>0.99812734082397003</c:v>
                </c:pt>
                <c:pt idx="1186">
                  <c:v>0.99812734082397003</c:v>
                </c:pt>
                <c:pt idx="1187">
                  <c:v>0.99812734082397003</c:v>
                </c:pt>
                <c:pt idx="1188">
                  <c:v>0.99812734082397003</c:v>
                </c:pt>
                <c:pt idx="1189">
                  <c:v>0.99812734082397003</c:v>
                </c:pt>
                <c:pt idx="1190">
                  <c:v>0.99812734082397003</c:v>
                </c:pt>
                <c:pt idx="1191">
                  <c:v>0.99812734082397003</c:v>
                </c:pt>
                <c:pt idx="1192">
                  <c:v>0.99812734082397003</c:v>
                </c:pt>
                <c:pt idx="1193">
                  <c:v>0.99812734082397003</c:v>
                </c:pt>
                <c:pt idx="1194">
                  <c:v>0.99812734082397003</c:v>
                </c:pt>
                <c:pt idx="1195">
                  <c:v>0.99812734082397003</c:v>
                </c:pt>
                <c:pt idx="1196">
                  <c:v>0.99812734082397003</c:v>
                </c:pt>
                <c:pt idx="1197">
                  <c:v>0.99812734082397003</c:v>
                </c:pt>
                <c:pt idx="1198">
                  <c:v>0.99812734082397003</c:v>
                </c:pt>
                <c:pt idx="1199">
                  <c:v>0.99812734082397003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6-4A9C-BEE6-0DB459417FBF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Validation!$G$2:$G$629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2.7624309392265192E-3</c:v>
                </c:pt>
                <c:pt idx="11">
                  <c:v>2.7624309392265192E-3</c:v>
                </c:pt>
                <c:pt idx="12">
                  <c:v>2.7624309392265192E-3</c:v>
                </c:pt>
                <c:pt idx="13">
                  <c:v>5.5248618784530384E-3</c:v>
                </c:pt>
                <c:pt idx="14">
                  <c:v>5.5248618784530384E-3</c:v>
                </c:pt>
                <c:pt idx="15">
                  <c:v>5.5248618784530384E-3</c:v>
                </c:pt>
                <c:pt idx="16">
                  <c:v>5.5248618784530384E-3</c:v>
                </c:pt>
                <c:pt idx="17">
                  <c:v>5.5248618784530384E-3</c:v>
                </c:pt>
                <c:pt idx="18">
                  <c:v>5.5248618784530384E-3</c:v>
                </c:pt>
                <c:pt idx="19">
                  <c:v>5.5248618784530384E-3</c:v>
                </c:pt>
                <c:pt idx="20">
                  <c:v>5.5248618784530384E-3</c:v>
                </c:pt>
                <c:pt idx="21">
                  <c:v>5.5248618784530384E-3</c:v>
                </c:pt>
                <c:pt idx="22">
                  <c:v>5.5248618784530384E-3</c:v>
                </c:pt>
                <c:pt idx="23">
                  <c:v>5.5248618784530384E-3</c:v>
                </c:pt>
                <c:pt idx="24">
                  <c:v>5.5248618784530384E-3</c:v>
                </c:pt>
                <c:pt idx="25">
                  <c:v>5.5248618784530384E-3</c:v>
                </c:pt>
                <c:pt idx="26">
                  <c:v>5.5248618784530384E-3</c:v>
                </c:pt>
                <c:pt idx="27">
                  <c:v>5.5248618784530384E-3</c:v>
                </c:pt>
                <c:pt idx="28">
                  <c:v>5.5248618784530384E-3</c:v>
                </c:pt>
                <c:pt idx="29">
                  <c:v>5.5248618784530384E-3</c:v>
                </c:pt>
                <c:pt idx="30">
                  <c:v>8.2872928176795577E-3</c:v>
                </c:pt>
                <c:pt idx="31">
                  <c:v>8.2872928176795577E-3</c:v>
                </c:pt>
                <c:pt idx="32">
                  <c:v>8.2872928176795577E-3</c:v>
                </c:pt>
                <c:pt idx="33">
                  <c:v>8.2872928176795577E-3</c:v>
                </c:pt>
                <c:pt idx="34">
                  <c:v>1.1049723756906077E-2</c:v>
                </c:pt>
                <c:pt idx="35">
                  <c:v>1.1049723756906077E-2</c:v>
                </c:pt>
                <c:pt idx="36">
                  <c:v>1.3812154696132596E-2</c:v>
                </c:pt>
                <c:pt idx="37">
                  <c:v>1.3812154696132596E-2</c:v>
                </c:pt>
                <c:pt idx="38">
                  <c:v>1.6574585635359115E-2</c:v>
                </c:pt>
                <c:pt idx="39">
                  <c:v>1.9337016574585635E-2</c:v>
                </c:pt>
                <c:pt idx="40">
                  <c:v>1.9337016574585635E-2</c:v>
                </c:pt>
                <c:pt idx="41">
                  <c:v>1.9337016574585635E-2</c:v>
                </c:pt>
                <c:pt idx="42">
                  <c:v>1.9337016574585635E-2</c:v>
                </c:pt>
                <c:pt idx="43">
                  <c:v>2.2099447513812154E-2</c:v>
                </c:pt>
                <c:pt idx="44">
                  <c:v>2.2099447513812154E-2</c:v>
                </c:pt>
                <c:pt idx="45">
                  <c:v>2.2099447513812154E-2</c:v>
                </c:pt>
                <c:pt idx="46">
                  <c:v>2.2099447513812154E-2</c:v>
                </c:pt>
                <c:pt idx="47">
                  <c:v>2.4861878453038673E-2</c:v>
                </c:pt>
                <c:pt idx="48">
                  <c:v>2.7624309392265192E-2</c:v>
                </c:pt>
                <c:pt idx="49">
                  <c:v>2.7624309392265192E-2</c:v>
                </c:pt>
                <c:pt idx="50">
                  <c:v>2.7624309392265192E-2</c:v>
                </c:pt>
                <c:pt idx="51">
                  <c:v>2.7624309392265192E-2</c:v>
                </c:pt>
                <c:pt idx="52">
                  <c:v>2.7624309392265192E-2</c:v>
                </c:pt>
                <c:pt idx="53">
                  <c:v>2.7624309392265192E-2</c:v>
                </c:pt>
                <c:pt idx="54">
                  <c:v>2.7624309392265192E-2</c:v>
                </c:pt>
                <c:pt idx="55">
                  <c:v>3.0386740331491711E-2</c:v>
                </c:pt>
                <c:pt idx="56">
                  <c:v>3.0386740331491711E-2</c:v>
                </c:pt>
                <c:pt idx="57">
                  <c:v>3.0386740331491711E-2</c:v>
                </c:pt>
                <c:pt idx="58">
                  <c:v>3.0386740331491711E-2</c:v>
                </c:pt>
                <c:pt idx="59">
                  <c:v>3.0386740331491711E-2</c:v>
                </c:pt>
                <c:pt idx="60">
                  <c:v>3.3149171270718231E-2</c:v>
                </c:pt>
                <c:pt idx="61">
                  <c:v>3.3149171270718231E-2</c:v>
                </c:pt>
                <c:pt idx="62">
                  <c:v>3.591160220994475E-2</c:v>
                </c:pt>
                <c:pt idx="63">
                  <c:v>3.591160220994475E-2</c:v>
                </c:pt>
                <c:pt idx="64">
                  <c:v>3.8674033149171269E-2</c:v>
                </c:pt>
                <c:pt idx="65">
                  <c:v>3.8674033149171269E-2</c:v>
                </c:pt>
                <c:pt idx="66">
                  <c:v>3.8674033149171269E-2</c:v>
                </c:pt>
                <c:pt idx="67">
                  <c:v>3.8674033149171269E-2</c:v>
                </c:pt>
                <c:pt idx="68">
                  <c:v>4.1436464088397788E-2</c:v>
                </c:pt>
                <c:pt idx="69">
                  <c:v>4.4198895027624308E-2</c:v>
                </c:pt>
                <c:pt idx="70">
                  <c:v>4.4198895027624308E-2</c:v>
                </c:pt>
                <c:pt idx="71">
                  <c:v>4.4198895027624308E-2</c:v>
                </c:pt>
                <c:pt idx="72">
                  <c:v>4.4198895027624308E-2</c:v>
                </c:pt>
                <c:pt idx="73">
                  <c:v>4.4198895027624308E-2</c:v>
                </c:pt>
                <c:pt idx="74">
                  <c:v>4.6961325966850827E-2</c:v>
                </c:pt>
                <c:pt idx="75">
                  <c:v>4.6961325966850827E-2</c:v>
                </c:pt>
                <c:pt idx="76">
                  <c:v>4.9723756906077346E-2</c:v>
                </c:pt>
                <c:pt idx="77">
                  <c:v>5.2486187845303865E-2</c:v>
                </c:pt>
                <c:pt idx="78">
                  <c:v>5.5248618784530384E-2</c:v>
                </c:pt>
                <c:pt idx="79">
                  <c:v>5.5248618784530384E-2</c:v>
                </c:pt>
                <c:pt idx="80">
                  <c:v>5.5248618784530384E-2</c:v>
                </c:pt>
                <c:pt idx="81">
                  <c:v>5.8011049723756904E-2</c:v>
                </c:pt>
                <c:pt idx="82">
                  <c:v>6.0773480662983423E-2</c:v>
                </c:pt>
                <c:pt idx="83">
                  <c:v>6.3535911602209949E-2</c:v>
                </c:pt>
                <c:pt idx="84">
                  <c:v>6.6298342541436461E-2</c:v>
                </c:pt>
                <c:pt idx="85">
                  <c:v>6.9060773480662987E-2</c:v>
                </c:pt>
                <c:pt idx="86">
                  <c:v>6.9060773480662987E-2</c:v>
                </c:pt>
                <c:pt idx="87">
                  <c:v>6.9060773480662987E-2</c:v>
                </c:pt>
                <c:pt idx="88">
                  <c:v>7.18232044198895E-2</c:v>
                </c:pt>
                <c:pt idx="89">
                  <c:v>7.4585635359116026E-2</c:v>
                </c:pt>
                <c:pt idx="90">
                  <c:v>7.4585635359116026E-2</c:v>
                </c:pt>
                <c:pt idx="91">
                  <c:v>7.4585635359116026E-2</c:v>
                </c:pt>
                <c:pt idx="92">
                  <c:v>7.4585635359116026E-2</c:v>
                </c:pt>
                <c:pt idx="93">
                  <c:v>7.4585635359116026E-2</c:v>
                </c:pt>
                <c:pt idx="94">
                  <c:v>7.7348066298342538E-2</c:v>
                </c:pt>
                <c:pt idx="95">
                  <c:v>7.7348066298342538E-2</c:v>
                </c:pt>
                <c:pt idx="96">
                  <c:v>7.7348066298342538E-2</c:v>
                </c:pt>
                <c:pt idx="97">
                  <c:v>7.7348066298342538E-2</c:v>
                </c:pt>
                <c:pt idx="98">
                  <c:v>8.0110497237569064E-2</c:v>
                </c:pt>
                <c:pt idx="99">
                  <c:v>8.0110497237569064E-2</c:v>
                </c:pt>
                <c:pt idx="100">
                  <c:v>8.2872928176795577E-2</c:v>
                </c:pt>
                <c:pt idx="101">
                  <c:v>8.5635359116022103E-2</c:v>
                </c:pt>
                <c:pt idx="102">
                  <c:v>8.8397790055248615E-2</c:v>
                </c:pt>
                <c:pt idx="103">
                  <c:v>8.8397790055248615E-2</c:v>
                </c:pt>
                <c:pt idx="104">
                  <c:v>9.1160220994475141E-2</c:v>
                </c:pt>
                <c:pt idx="105">
                  <c:v>9.1160220994475141E-2</c:v>
                </c:pt>
                <c:pt idx="106">
                  <c:v>9.1160220994475141E-2</c:v>
                </c:pt>
                <c:pt idx="107">
                  <c:v>9.3922651933701654E-2</c:v>
                </c:pt>
                <c:pt idx="108">
                  <c:v>9.668508287292818E-2</c:v>
                </c:pt>
                <c:pt idx="109">
                  <c:v>9.9447513812154692E-2</c:v>
                </c:pt>
                <c:pt idx="110">
                  <c:v>0.10220994475138122</c:v>
                </c:pt>
                <c:pt idx="111">
                  <c:v>0.10497237569060773</c:v>
                </c:pt>
                <c:pt idx="112">
                  <c:v>0.10497237569060773</c:v>
                </c:pt>
                <c:pt idx="113">
                  <c:v>0.10773480662983426</c:v>
                </c:pt>
                <c:pt idx="114">
                  <c:v>0.10773480662983426</c:v>
                </c:pt>
                <c:pt idx="115">
                  <c:v>0.11049723756906077</c:v>
                </c:pt>
                <c:pt idx="116">
                  <c:v>0.1132596685082873</c:v>
                </c:pt>
                <c:pt idx="117">
                  <c:v>0.11602209944751381</c:v>
                </c:pt>
                <c:pt idx="118">
                  <c:v>0.11602209944751381</c:v>
                </c:pt>
                <c:pt idx="119">
                  <c:v>0.11878453038674033</c:v>
                </c:pt>
                <c:pt idx="120">
                  <c:v>0.11878453038674033</c:v>
                </c:pt>
                <c:pt idx="121">
                  <c:v>0.12154696132596685</c:v>
                </c:pt>
                <c:pt idx="122">
                  <c:v>0.12154696132596685</c:v>
                </c:pt>
                <c:pt idx="123">
                  <c:v>0.12154696132596685</c:v>
                </c:pt>
                <c:pt idx="124">
                  <c:v>0.12430939226519337</c:v>
                </c:pt>
                <c:pt idx="125">
                  <c:v>0.1270718232044199</c:v>
                </c:pt>
                <c:pt idx="126">
                  <c:v>0.1270718232044199</c:v>
                </c:pt>
                <c:pt idx="127">
                  <c:v>0.12983425414364641</c:v>
                </c:pt>
                <c:pt idx="128">
                  <c:v>0.13259668508287292</c:v>
                </c:pt>
                <c:pt idx="129">
                  <c:v>0.13535911602209943</c:v>
                </c:pt>
                <c:pt idx="130">
                  <c:v>0.13812154696132597</c:v>
                </c:pt>
                <c:pt idx="131">
                  <c:v>0.14088397790055249</c:v>
                </c:pt>
                <c:pt idx="132">
                  <c:v>0.143646408839779</c:v>
                </c:pt>
                <c:pt idx="133">
                  <c:v>0.143646408839779</c:v>
                </c:pt>
                <c:pt idx="134">
                  <c:v>0.143646408839779</c:v>
                </c:pt>
                <c:pt idx="135">
                  <c:v>0.143646408839779</c:v>
                </c:pt>
                <c:pt idx="136">
                  <c:v>0.143646408839779</c:v>
                </c:pt>
                <c:pt idx="137">
                  <c:v>0.143646408839779</c:v>
                </c:pt>
                <c:pt idx="138">
                  <c:v>0.143646408839779</c:v>
                </c:pt>
                <c:pt idx="139">
                  <c:v>0.14640883977900551</c:v>
                </c:pt>
                <c:pt idx="140">
                  <c:v>0.14917127071823205</c:v>
                </c:pt>
                <c:pt idx="141">
                  <c:v>0.14917127071823205</c:v>
                </c:pt>
                <c:pt idx="142">
                  <c:v>0.14917127071823205</c:v>
                </c:pt>
                <c:pt idx="143">
                  <c:v>0.14917127071823205</c:v>
                </c:pt>
                <c:pt idx="144">
                  <c:v>0.15193370165745856</c:v>
                </c:pt>
                <c:pt idx="145">
                  <c:v>0.15193370165745856</c:v>
                </c:pt>
                <c:pt idx="146">
                  <c:v>0.15193370165745856</c:v>
                </c:pt>
                <c:pt idx="147">
                  <c:v>0.15469613259668508</c:v>
                </c:pt>
                <c:pt idx="148">
                  <c:v>0.15469613259668508</c:v>
                </c:pt>
                <c:pt idx="149">
                  <c:v>0.15469613259668508</c:v>
                </c:pt>
                <c:pt idx="150">
                  <c:v>0.15745856353591159</c:v>
                </c:pt>
                <c:pt idx="151">
                  <c:v>0.15745856353591159</c:v>
                </c:pt>
                <c:pt idx="152">
                  <c:v>0.15745856353591159</c:v>
                </c:pt>
                <c:pt idx="153">
                  <c:v>0.16022099447513813</c:v>
                </c:pt>
                <c:pt idx="154">
                  <c:v>0.16298342541436464</c:v>
                </c:pt>
                <c:pt idx="155">
                  <c:v>0.16298342541436464</c:v>
                </c:pt>
                <c:pt idx="156">
                  <c:v>0.16298342541436464</c:v>
                </c:pt>
                <c:pt idx="157">
                  <c:v>0.16574585635359115</c:v>
                </c:pt>
                <c:pt idx="158">
                  <c:v>0.16850828729281769</c:v>
                </c:pt>
                <c:pt idx="159">
                  <c:v>0.16850828729281769</c:v>
                </c:pt>
                <c:pt idx="160">
                  <c:v>0.17127071823204421</c:v>
                </c:pt>
                <c:pt idx="161">
                  <c:v>0.17127071823204421</c:v>
                </c:pt>
                <c:pt idx="162">
                  <c:v>0.17127071823204421</c:v>
                </c:pt>
                <c:pt idx="163">
                  <c:v>0.17127071823204421</c:v>
                </c:pt>
                <c:pt idx="164">
                  <c:v>0.17403314917127072</c:v>
                </c:pt>
                <c:pt idx="165">
                  <c:v>0.17679558011049723</c:v>
                </c:pt>
                <c:pt idx="166">
                  <c:v>0.17955801104972377</c:v>
                </c:pt>
                <c:pt idx="167">
                  <c:v>0.17955801104972377</c:v>
                </c:pt>
                <c:pt idx="168">
                  <c:v>0.17955801104972377</c:v>
                </c:pt>
                <c:pt idx="169">
                  <c:v>0.18232044198895028</c:v>
                </c:pt>
                <c:pt idx="170">
                  <c:v>0.18508287292817679</c:v>
                </c:pt>
                <c:pt idx="171">
                  <c:v>0.18784530386740331</c:v>
                </c:pt>
                <c:pt idx="172">
                  <c:v>0.19060773480662985</c:v>
                </c:pt>
                <c:pt idx="173">
                  <c:v>0.19337016574585636</c:v>
                </c:pt>
                <c:pt idx="174">
                  <c:v>0.19337016574585636</c:v>
                </c:pt>
                <c:pt idx="175">
                  <c:v>0.19613259668508287</c:v>
                </c:pt>
                <c:pt idx="176">
                  <c:v>0.19889502762430938</c:v>
                </c:pt>
                <c:pt idx="177">
                  <c:v>0.20165745856353592</c:v>
                </c:pt>
                <c:pt idx="178">
                  <c:v>0.20165745856353592</c:v>
                </c:pt>
                <c:pt idx="179">
                  <c:v>0.20441988950276244</c:v>
                </c:pt>
                <c:pt idx="180">
                  <c:v>0.20718232044198895</c:v>
                </c:pt>
                <c:pt idx="181">
                  <c:v>0.20718232044198895</c:v>
                </c:pt>
                <c:pt idx="182">
                  <c:v>0.20718232044198895</c:v>
                </c:pt>
                <c:pt idx="183">
                  <c:v>0.20718232044198895</c:v>
                </c:pt>
                <c:pt idx="184">
                  <c:v>0.20718232044198895</c:v>
                </c:pt>
                <c:pt idx="185">
                  <c:v>0.20718232044198895</c:v>
                </c:pt>
                <c:pt idx="186">
                  <c:v>0.20718232044198895</c:v>
                </c:pt>
                <c:pt idx="187">
                  <c:v>0.20994475138121546</c:v>
                </c:pt>
                <c:pt idx="188">
                  <c:v>0.20994475138121546</c:v>
                </c:pt>
                <c:pt idx="189">
                  <c:v>0.212707182320442</c:v>
                </c:pt>
                <c:pt idx="190">
                  <c:v>0.21546961325966851</c:v>
                </c:pt>
                <c:pt idx="191">
                  <c:v>0.21546961325966851</c:v>
                </c:pt>
                <c:pt idx="192">
                  <c:v>0.21546961325966851</c:v>
                </c:pt>
                <c:pt idx="193">
                  <c:v>0.21823204419889503</c:v>
                </c:pt>
                <c:pt idx="194">
                  <c:v>0.21823204419889503</c:v>
                </c:pt>
                <c:pt idx="195">
                  <c:v>0.21823204419889503</c:v>
                </c:pt>
                <c:pt idx="196">
                  <c:v>0.22099447513812154</c:v>
                </c:pt>
                <c:pt idx="197">
                  <c:v>0.22099447513812154</c:v>
                </c:pt>
                <c:pt idx="198">
                  <c:v>0.22099447513812154</c:v>
                </c:pt>
                <c:pt idx="199">
                  <c:v>0.22375690607734808</c:v>
                </c:pt>
                <c:pt idx="200">
                  <c:v>0.22651933701657459</c:v>
                </c:pt>
                <c:pt idx="201">
                  <c:v>0.2292817679558011</c:v>
                </c:pt>
                <c:pt idx="202">
                  <c:v>0.2292817679558011</c:v>
                </c:pt>
                <c:pt idx="203">
                  <c:v>0.23204419889502761</c:v>
                </c:pt>
                <c:pt idx="204">
                  <c:v>0.23204419889502761</c:v>
                </c:pt>
                <c:pt idx="205">
                  <c:v>0.23204419889502761</c:v>
                </c:pt>
                <c:pt idx="206">
                  <c:v>0.23204419889502761</c:v>
                </c:pt>
                <c:pt idx="207">
                  <c:v>0.23204419889502761</c:v>
                </c:pt>
                <c:pt idx="208">
                  <c:v>0.23480662983425415</c:v>
                </c:pt>
                <c:pt idx="209">
                  <c:v>0.23480662983425415</c:v>
                </c:pt>
                <c:pt idx="210">
                  <c:v>0.23480662983425415</c:v>
                </c:pt>
                <c:pt idx="211">
                  <c:v>0.23756906077348067</c:v>
                </c:pt>
                <c:pt idx="212">
                  <c:v>0.23756906077348067</c:v>
                </c:pt>
                <c:pt idx="213">
                  <c:v>0.24033149171270718</c:v>
                </c:pt>
                <c:pt idx="214">
                  <c:v>0.24309392265193369</c:v>
                </c:pt>
                <c:pt idx="215">
                  <c:v>0.24309392265193369</c:v>
                </c:pt>
                <c:pt idx="216">
                  <c:v>0.24309392265193369</c:v>
                </c:pt>
                <c:pt idx="217">
                  <c:v>0.24585635359116023</c:v>
                </c:pt>
                <c:pt idx="218">
                  <c:v>0.24585635359116023</c:v>
                </c:pt>
                <c:pt idx="219">
                  <c:v>0.24861878453038674</c:v>
                </c:pt>
                <c:pt idx="220">
                  <c:v>0.25138121546961328</c:v>
                </c:pt>
                <c:pt idx="221">
                  <c:v>0.25138121546961328</c:v>
                </c:pt>
                <c:pt idx="222">
                  <c:v>0.2541436464088398</c:v>
                </c:pt>
                <c:pt idx="223">
                  <c:v>0.25690607734806631</c:v>
                </c:pt>
                <c:pt idx="224">
                  <c:v>0.25690607734806631</c:v>
                </c:pt>
                <c:pt idx="225">
                  <c:v>0.25690607734806631</c:v>
                </c:pt>
                <c:pt idx="226">
                  <c:v>0.25690607734806631</c:v>
                </c:pt>
                <c:pt idx="227">
                  <c:v>0.25966850828729282</c:v>
                </c:pt>
                <c:pt idx="228">
                  <c:v>0.25966850828729282</c:v>
                </c:pt>
                <c:pt idx="229">
                  <c:v>0.26243093922651933</c:v>
                </c:pt>
                <c:pt idx="230">
                  <c:v>0.26243093922651933</c:v>
                </c:pt>
                <c:pt idx="231">
                  <c:v>0.26243093922651933</c:v>
                </c:pt>
                <c:pt idx="232">
                  <c:v>0.26243093922651933</c:v>
                </c:pt>
                <c:pt idx="233">
                  <c:v>0.26519337016574585</c:v>
                </c:pt>
                <c:pt idx="234">
                  <c:v>0.26795580110497236</c:v>
                </c:pt>
                <c:pt idx="235">
                  <c:v>0.27071823204419887</c:v>
                </c:pt>
                <c:pt idx="236">
                  <c:v>0.27071823204419887</c:v>
                </c:pt>
                <c:pt idx="237">
                  <c:v>0.27071823204419887</c:v>
                </c:pt>
                <c:pt idx="238">
                  <c:v>0.27348066298342544</c:v>
                </c:pt>
                <c:pt idx="239">
                  <c:v>0.27348066298342544</c:v>
                </c:pt>
                <c:pt idx="240">
                  <c:v>0.27348066298342544</c:v>
                </c:pt>
                <c:pt idx="241">
                  <c:v>0.27624309392265195</c:v>
                </c:pt>
                <c:pt idx="242">
                  <c:v>0.27624309392265195</c:v>
                </c:pt>
                <c:pt idx="243">
                  <c:v>0.27624309392265195</c:v>
                </c:pt>
                <c:pt idx="244">
                  <c:v>0.27624309392265195</c:v>
                </c:pt>
                <c:pt idx="245">
                  <c:v>0.27624309392265195</c:v>
                </c:pt>
                <c:pt idx="246">
                  <c:v>0.27900552486187846</c:v>
                </c:pt>
                <c:pt idx="247">
                  <c:v>0.28176795580110497</c:v>
                </c:pt>
                <c:pt idx="248">
                  <c:v>0.28453038674033149</c:v>
                </c:pt>
                <c:pt idx="249">
                  <c:v>0.287292817679558</c:v>
                </c:pt>
                <c:pt idx="250">
                  <c:v>0.287292817679558</c:v>
                </c:pt>
                <c:pt idx="251">
                  <c:v>0.287292817679558</c:v>
                </c:pt>
                <c:pt idx="252">
                  <c:v>0.287292817679558</c:v>
                </c:pt>
                <c:pt idx="253">
                  <c:v>0.287292817679558</c:v>
                </c:pt>
                <c:pt idx="254">
                  <c:v>0.29005524861878451</c:v>
                </c:pt>
                <c:pt idx="255">
                  <c:v>0.29281767955801102</c:v>
                </c:pt>
                <c:pt idx="256">
                  <c:v>0.29558011049723759</c:v>
                </c:pt>
                <c:pt idx="257">
                  <c:v>0.2983425414364641</c:v>
                </c:pt>
                <c:pt idx="258">
                  <c:v>0.30110497237569062</c:v>
                </c:pt>
                <c:pt idx="259">
                  <c:v>0.30110497237569062</c:v>
                </c:pt>
                <c:pt idx="260">
                  <c:v>0.30110497237569062</c:v>
                </c:pt>
                <c:pt idx="261">
                  <c:v>0.30110497237569062</c:v>
                </c:pt>
                <c:pt idx="262">
                  <c:v>0.30386740331491713</c:v>
                </c:pt>
                <c:pt idx="263">
                  <c:v>0.30386740331491713</c:v>
                </c:pt>
                <c:pt idx="264">
                  <c:v>0.30386740331491713</c:v>
                </c:pt>
                <c:pt idx="265">
                  <c:v>0.30662983425414364</c:v>
                </c:pt>
                <c:pt idx="266">
                  <c:v>0.30939226519337015</c:v>
                </c:pt>
                <c:pt idx="267">
                  <c:v>0.31215469613259667</c:v>
                </c:pt>
                <c:pt idx="268">
                  <c:v>0.31215469613259667</c:v>
                </c:pt>
                <c:pt idx="269">
                  <c:v>0.31215469613259667</c:v>
                </c:pt>
                <c:pt idx="270">
                  <c:v>0.31215469613259667</c:v>
                </c:pt>
                <c:pt idx="271">
                  <c:v>0.31215469613259667</c:v>
                </c:pt>
                <c:pt idx="272">
                  <c:v>0.31215469613259667</c:v>
                </c:pt>
                <c:pt idx="273">
                  <c:v>0.31491712707182318</c:v>
                </c:pt>
                <c:pt idx="274">
                  <c:v>0.31767955801104975</c:v>
                </c:pt>
                <c:pt idx="275">
                  <c:v>0.31767955801104975</c:v>
                </c:pt>
                <c:pt idx="276">
                  <c:v>0.31767955801104975</c:v>
                </c:pt>
                <c:pt idx="277">
                  <c:v>0.31767955801104975</c:v>
                </c:pt>
                <c:pt idx="278">
                  <c:v>0.32044198895027626</c:v>
                </c:pt>
                <c:pt idx="279">
                  <c:v>0.32044198895027626</c:v>
                </c:pt>
                <c:pt idx="280">
                  <c:v>0.32320441988950277</c:v>
                </c:pt>
                <c:pt idx="281">
                  <c:v>0.32320441988950277</c:v>
                </c:pt>
                <c:pt idx="282">
                  <c:v>0.32596685082872928</c:v>
                </c:pt>
                <c:pt idx="283">
                  <c:v>0.32596685082872928</c:v>
                </c:pt>
                <c:pt idx="284">
                  <c:v>0.32596685082872928</c:v>
                </c:pt>
                <c:pt idx="285">
                  <c:v>0.32596685082872928</c:v>
                </c:pt>
                <c:pt idx="286">
                  <c:v>0.32596685082872928</c:v>
                </c:pt>
                <c:pt idx="287">
                  <c:v>0.32872928176795579</c:v>
                </c:pt>
                <c:pt idx="288">
                  <c:v>0.33149171270718231</c:v>
                </c:pt>
                <c:pt idx="289">
                  <c:v>0.33149171270718231</c:v>
                </c:pt>
                <c:pt idx="290">
                  <c:v>0.33425414364640882</c:v>
                </c:pt>
                <c:pt idx="291">
                  <c:v>0.33701657458563539</c:v>
                </c:pt>
                <c:pt idx="292">
                  <c:v>0.3397790055248619</c:v>
                </c:pt>
                <c:pt idx="293">
                  <c:v>0.3397790055248619</c:v>
                </c:pt>
                <c:pt idx="294">
                  <c:v>0.3397790055248619</c:v>
                </c:pt>
                <c:pt idx="295">
                  <c:v>0.3397790055248619</c:v>
                </c:pt>
                <c:pt idx="296">
                  <c:v>0.34254143646408841</c:v>
                </c:pt>
                <c:pt idx="297">
                  <c:v>0.34254143646408841</c:v>
                </c:pt>
                <c:pt idx="298">
                  <c:v>0.34530386740331492</c:v>
                </c:pt>
                <c:pt idx="299">
                  <c:v>0.34530386740331492</c:v>
                </c:pt>
                <c:pt idx="300">
                  <c:v>0.34806629834254144</c:v>
                </c:pt>
                <c:pt idx="301">
                  <c:v>0.34806629834254144</c:v>
                </c:pt>
                <c:pt idx="302">
                  <c:v>0.34806629834254144</c:v>
                </c:pt>
                <c:pt idx="303">
                  <c:v>0.35082872928176795</c:v>
                </c:pt>
                <c:pt idx="304">
                  <c:v>0.35359116022099446</c:v>
                </c:pt>
                <c:pt idx="305">
                  <c:v>0.35359116022099446</c:v>
                </c:pt>
                <c:pt idx="306">
                  <c:v>0.35635359116022097</c:v>
                </c:pt>
                <c:pt idx="307">
                  <c:v>0.35635359116022097</c:v>
                </c:pt>
                <c:pt idx="308">
                  <c:v>0.35635359116022097</c:v>
                </c:pt>
                <c:pt idx="309">
                  <c:v>0.35635359116022097</c:v>
                </c:pt>
                <c:pt idx="310">
                  <c:v>0.35911602209944754</c:v>
                </c:pt>
                <c:pt idx="311">
                  <c:v>0.36187845303867405</c:v>
                </c:pt>
                <c:pt idx="312">
                  <c:v>0.36464088397790057</c:v>
                </c:pt>
                <c:pt idx="313">
                  <c:v>0.36464088397790057</c:v>
                </c:pt>
                <c:pt idx="314">
                  <c:v>0.36740331491712708</c:v>
                </c:pt>
                <c:pt idx="315">
                  <c:v>0.37016574585635359</c:v>
                </c:pt>
                <c:pt idx="316">
                  <c:v>0.3729281767955801</c:v>
                </c:pt>
                <c:pt idx="317">
                  <c:v>0.37569060773480661</c:v>
                </c:pt>
                <c:pt idx="318">
                  <c:v>0.37845303867403313</c:v>
                </c:pt>
                <c:pt idx="319">
                  <c:v>0.38121546961325969</c:v>
                </c:pt>
                <c:pt idx="320">
                  <c:v>0.38397790055248621</c:v>
                </c:pt>
                <c:pt idx="321">
                  <c:v>0.38397790055248621</c:v>
                </c:pt>
                <c:pt idx="322">
                  <c:v>0.38674033149171272</c:v>
                </c:pt>
                <c:pt idx="323">
                  <c:v>0.38950276243093923</c:v>
                </c:pt>
                <c:pt idx="324">
                  <c:v>0.39226519337016574</c:v>
                </c:pt>
                <c:pt idx="325">
                  <c:v>0.39226519337016574</c:v>
                </c:pt>
                <c:pt idx="326">
                  <c:v>0.39502762430939226</c:v>
                </c:pt>
                <c:pt idx="327">
                  <c:v>0.39779005524861877</c:v>
                </c:pt>
                <c:pt idx="328">
                  <c:v>0.40055248618784528</c:v>
                </c:pt>
                <c:pt idx="329">
                  <c:v>0.40331491712707185</c:v>
                </c:pt>
                <c:pt idx="330">
                  <c:v>0.40607734806629836</c:v>
                </c:pt>
                <c:pt idx="331">
                  <c:v>0.40607734806629836</c:v>
                </c:pt>
                <c:pt idx="332">
                  <c:v>0.40607734806629836</c:v>
                </c:pt>
                <c:pt idx="333">
                  <c:v>0.40883977900552487</c:v>
                </c:pt>
                <c:pt idx="334">
                  <c:v>0.41160220994475138</c:v>
                </c:pt>
                <c:pt idx="335">
                  <c:v>0.4143646408839779</c:v>
                </c:pt>
                <c:pt idx="336">
                  <c:v>0.41712707182320441</c:v>
                </c:pt>
                <c:pt idx="337">
                  <c:v>0.41712707182320441</c:v>
                </c:pt>
                <c:pt idx="338">
                  <c:v>0.41988950276243092</c:v>
                </c:pt>
                <c:pt idx="339">
                  <c:v>0.41988950276243092</c:v>
                </c:pt>
                <c:pt idx="340">
                  <c:v>0.42265193370165743</c:v>
                </c:pt>
                <c:pt idx="341">
                  <c:v>0.42265193370165743</c:v>
                </c:pt>
                <c:pt idx="342">
                  <c:v>0.42265193370165743</c:v>
                </c:pt>
                <c:pt idx="343">
                  <c:v>0.425414364640884</c:v>
                </c:pt>
                <c:pt idx="344">
                  <c:v>0.425414364640884</c:v>
                </c:pt>
                <c:pt idx="345">
                  <c:v>0.42817679558011051</c:v>
                </c:pt>
                <c:pt idx="346">
                  <c:v>0.43093922651933703</c:v>
                </c:pt>
                <c:pt idx="347">
                  <c:v>0.43370165745856354</c:v>
                </c:pt>
                <c:pt idx="348">
                  <c:v>0.43370165745856354</c:v>
                </c:pt>
                <c:pt idx="349">
                  <c:v>0.43370165745856354</c:v>
                </c:pt>
                <c:pt idx="350">
                  <c:v>0.43370165745856354</c:v>
                </c:pt>
                <c:pt idx="351">
                  <c:v>0.43646408839779005</c:v>
                </c:pt>
                <c:pt idx="352">
                  <c:v>0.43646408839779005</c:v>
                </c:pt>
                <c:pt idx="353">
                  <c:v>0.43922651933701656</c:v>
                </c:pt>
                <c:pt idx="354">
                  <c:v>0.44198895027624308</c:v>
                </c:pt>
                <c:pt idx="355">
                  <c:v>0.44198895027624308</c:v>
                </c:pt>
                <c:pt idx="356">
                  <c:v>0.44475138121546959</c:v>
                </c:pt>
                <c:pt idx="357">
                  <c:v>0.44751381215469616</c:v>
                </c:pt>
                <c:pt idx="358">
                  <c:v>0.44751381215469616</c:v>
                </c:pt>
                <c:pt idx="359">
                  <c:v>0.45027624309392267</c:v>
                </c:pt>
                <c:pt idx="360">
                  <c:v>0.45303867403314918</c:v>
                </c:pt>
                <c:pt idx="361">
                  <c:v>0.45580110497237569</c:v>
                </c:pt>
                <c:pt idx="362">
                  <c:v>0.4585635359116022</c:v>
                </c:pt>
                <c:pt idx="363">
                  <c:v>0.46132596685082872</c:v>
                </c:pt>
                <c:pt idx="364">
                  <c:v>0.46408839779005523</c:v>
                </c:pt>
                <c:pt idx="365">
                  <c:v>0.46685082872928174</c:v>
                </c:pt>
                <c:pt idx="366">
                  <c:v>0.46685082872928174</c:v>
                </c:pt>
                <c:pt idx="367">
                  <c:v>0.46961325966850831</c:v>
                </c:pt>
                <c:pt idx="368">
                  <c:v>0.47237569060773482</c:v>
                </c:pt>
                <c:pt idx="369">
                  <c:v>0.47513812154696133</c:v>
                </c:pt>
                <c:pt idx="370">
                  <c:v>0.47513812154696133</c:v>
                </c:pt>
                <c:pt idx="371">
                  <c:v>0.47513812154696133</c:v>
                </c:pt>
                <c:pt idx="372">
                  <c:v>0.47513812154696133</c:v>
                </c:pt>
                <c:pt idx="373">
                  <c:v>0.47790055248618785</c:v>
                </c:pt>
                <c:pt idx="374">
                  <c:v>0.48066298342541436</c:v>
                </c:pt>
                <c:pt idx="375">
                  <c:v>0.48066298342541436</c:v>
                </c:pt>
                <c:pt idx="376">
                  <c:v>0.48066298342541436</c:v>
                </c:pt>
                <c:pt idx="377">
                  <c:v>0.48342541436464087</c:v>
                </c:pt>
                <c:pt idx="378">
                  <c:v>0.48342541436464087</c:v>
                </c:pt>
                <c:pt idx="379">
                  <c:v>0.48342541436464087</c:v>
                </c:pt>
                <c:pt idx="380">
                  <c:v>0.48342541436464087</c:v>
                </c:pt>
                <c:pt idx="381">
                  <c:v>0.48618784530386738</c:v>
                </c:pt>
                <c:pt idx="382">
                  <c:v>0.4889502762430939</c:v>
                </c:pt>
                <c:pt idx="383">
                  <c:v>0.49171270718232046</c:v>
                </c:pt>
                <c:pt idx="384">
                  <c:v>0.49171270718232046</c:v>
                </c:pt>
                <c:pt idx="385">
                  <c:v>0.49447513812154698</c:v>
                </c:pt>
                <c:pt idx="386">
                  <c:v>0.49723756906077349</c:v>
                </c:pt>
                <c:pt idx="387">
                  <c:v>0.5</c:v>
                </c:pt>
                <c:pt idx="388">
                  <c:v>0.50276243093922657</c:v>
                </c:pt>
                <c:pt idx="389">
                  <c:v>0.50552486187845302</c:v>
                </c:pt>
                <c:pt idx="390">
                  <c:v>0.50828729281767959</c:v>
                </c:pt>
                <c:pt idx="391">
                  <c:v>0.51104972375690605</c:v>
                </c:pt>
                <c:pt idx="392">
                  <c:v>0.51381215469613262</c:v>
                </c:pt>
                <c:pt idx="393">
                  <c:v>0.51657458563535907</c:v>
                </c:pt>
                <c:pt idx="394">
                  <c:v>0.51657458563535907</c:v>
                </c:pt>
                <c:pt idx="395">
                  <c:v>0.51657458563535907</c:v>
                </c:pt>
                <c:pt idx="396">
                  <c:v>0.51933701657458564</c:v>
                </c:pt>
                <c:pt idx="397">
                  <c:v>0.52209944751381221</c:v>
                </c:pt>
                <c:pt idx="398">
                  <c:v>0.52486187845303867</c:v>
                </c:pt>
                <c:pt idx="399">
                  <c:v>0.52762430939226523</c:v>
                </c:pt>
                <c:pt idx="400">
                  <c:v>0.53038674033149169</c:v>
                </c:pt>
                <c:pt idx="401">
                  <c:v>0.53314917127071826</c:v>
                </c:pt>
                <c:pt idx="402">
                  <c:v>0.53591160220994472</c:v>
                </c:pt>
                <c:pt idx="403">
                  <c:v>0.53591160220994472</c:v>
                </c:pt>
                <c:pt idx="404">
                  <c:v>0.53591160220994472</c:v>
                </c:pt>
                <c:pt idx="405">
                  <c:v>0.53867403314917128</c:v>
                </c:pt>
                <c:pt idx="406">
                  <c:v>0.54143646408839774</c:v>
                </c:pt>
                <c:pt idx="407">
                  <c:v>0.54419889502762431</c:v>
                </c:pt>
                <c:pt idx="408">
                  <c:v>0.54696132596685088</c:v>
                </c:pt>
                <c:pt idx="409">
                  <c:v>0.54972375690607733</c:v>
                </c:pt>
                <c:pt idx="410">
                  <c:v>0.54972375690607733</c:v>
                </c:pt>
                <c:pt idx="411">
                  <c:v>0.54972375690607733</c:v>
                </c:pt>
                <c:pt idx="412">
                  <c:v>0.54972375690607733</c:v>
                </c:pt>
                <c:pt idx="413">
                  <c:v>0.54972375690607733</c:v>
                </c:pt>
                <c:pt idx="414">
                  <c:v>0.5524861878453039</c:v>
                </c:pt>
                <c:pt idx="415">
                  <c:v>0.5524861878453039</c:v>
                </c:pt>
                <c:pt idx="416">
                  <c:v>0.55524861878453036</c:v>
                </c:pt>
                <c:pt idx="417">
                  <c:v>0.55801104972375692</c:v>
                </c:pt>
                <c:pt idx="418">
                  <c:v>0.56077348066298338</c:v>
                </c:pt>
                <c:pt idx="419">
                  <c:v>0.56353591160220995</c:v>
                </c:pt>
                <c:pt idx="420">
                  <c:v>0.56629834254143652</c:v>
                </c:pt>
                <c:pt idx="421">
                  <c:v>0.56629834254143652</c:v>
                </c:pt>
                <c:pt idx="422">
                  <c:v>0.56906077348066297</c:v>
                </c:pt>
                <c:pt idx="423">
                  <c:v>0.57182320441988954</c:v>
                </c:pt>
                <c:pt idx="424">
                  <c:v>0.57182320441988954</c:v>
                </c:pt>
                <c:pt idx="425">
                  <c:v>0.574585635359116</c:v>
                </c:pt>
                <c:pt idx="426">
                  <c:v>0.57734806629834257</c:v>
                </c:pt>
                <c:pt idx="427">
                  <c:v>0.57734806629834257</c:v>
                </c:pt>
                <c:pt idx="428">
                  <c:v>0.58011049723756902</c:v>
                </c:pt>
                <c:pt idx="429">
                  <c:v>0.58287292817679559</c:v>
                </c:pt>
                <c:pt idx="430">
                  <c:v>0.58563535911602205</c:v>
                </c:pt>
                <c:pt idx="431">
                  <c:v>0.58839779005524862</c:v>
                </c:pt>
                <c:pt idx="432">
                  <c:v>0.58839779005524862</c:v>
                </c:pt>
                <c:pt idx="433">
                  <c:v>0.58839779005524862</c:v>
                </c:pt>
                <c:pt idx="434">
                  <c:v>0.59116022099447518</c:v>
                </c:pt>
                <c:pt idx="435">
                  <c:v>0.59392265193370164</c:v>
                </c:pt>
                <c:pt idx="436">
                  <c:v>0.59668508287292821</c:v>
                </c:pt>
                <c:pt idx="437">
                  <c:v>0.59944751381215466</c:v>
                </c:pt>
                <c:pt idx="438">
                  <c:v>0.59944751381215466</c:v>
                </c:pt>
                <c:pt idx="439">
                  <c:v>0.59944751381215466</c:v>
                </c:pt>
                <c:pt idx="440">
                  <c:v>0.60220994475138123</c:v>
                </c:pt>
                <c:pt idx="441">
                  <c:v>0.60497237569060769</c:v>
                </c:pt>
                <c:pt idx="442">
                  <c:v>0.60497237569060769</c:v>
                </c:pt>
                <c:pt idx="443">
                  <c:v>0.60497237569060769</c:v>
                </c:pt>
                <c:pt idx="444">
                  <c:v>0.60773480662983426</c:v>
                </c:pt>
                <c:pt idx="445">
                  <c:v>0.61049723756906082</c:v>
                </c:pt>
                <c:pt idx="446">
                  <c:v>0.61325966850828728</c:v>
                </c:pt>
                <c:pt idx="447">
                  <c:v>0.61602209944751385</c:v>
                </c:pt>
                <c:pt idx="448">
                  <c:v>0.61878453038674031</c:v>
                </c:pt>
                <c:pt idx="449">
                  <c:v>0.62154696132596687</c:v>
                </c:pt>
                <c:pt idx="450">
                  <c:v>0.62154696132596687</c:v>
                </c:pt>
                <c:pt idx="451">
                  <c:v>0.62154696132596687</c:v>
                </c:pt>
                <c:pt idx="452">
                  <c:v>0.62154696132596687</c:v>
                </c:pt>
                <c:pt idx="453">
                  <c:v>0.62154696132596687</c:v>
                </c:pt>
                <c:pt idx="454">
                  <c:v>0.62154696132596687</c:v>
                </c:pt>
                <c:pt idx="455">
                  <c:v>0.62430939226519333</c:v>
                </c:pt>
                <c:pt idx="456">
                  <c:v>0.6270718232044199</c:v>
                </c:pt>
                <c:pt idx="457">
                  <c:v>0.62983425414364635</c:v>
                </c:pt>
                <c:pt idx="458">
                  <c:v>0.62983425414364635</c:v>
                </c:pt>
                <c:pt idx="459">
                  <c:v>0.63259668508287292</c:v>
                </c:pt>
                <c:pt idx="460">
                  <c:v>0.63259668508287292</c:v>
                </c:pt>
                <c:pt idx="461">
                  <c:v>0.63259668508287292</c:v>
                </c:pt>
                <c:pt idx="462">
                  <c:v>0.63535911602209949</c:v>
                </c:pt>
                <c:pt idx="463">
                  <c:v>0.63535911602209949</c:v>
                </c:pt>
                <c:pt idx="464">
                  <c:v>0.63812154696132595</c:v>
                </c:pt>
                <c:pt idx="465">
                  <c:v>0.63812154696132595</c:v>
                </c:pt>
                <c:pt idx="466">
                  <c:v>0.64088397790055252</c:v>
                </c:pt>
                <c:pt idx="467">
                  <c:v>0.64364640883977897</c:v>
                </c:pt>
                <c:pt idx="468">
                  <c:v>0.64364640883977897</c:v>
                </c:pt>
                <c:pt idx="469">
                  <c:v>0.64640883977900554</c:v>
                </c:pt>
                <c:pt idx="470">
                  <c:v>0.64640883977900554</c:v>
                </c:pt>
                <c:pt idx="471">
                  <c:v>0.649171270718232</c:v>
                </c:pt>
                <c:pt idx="472">
                  <c:v>0.649171270718232</c:v>
                </c:pt>
                <c:pt idx="473">
                  <c:v>0.649171270718232</c:v>
                </c:pt>
                <c:pt idx="474">
                  <c:v>0.65193370165745856</c:v>
                </c:pt>
                <c:pt idx="475">
                  <c:v>0.65469613259668513</c:v>
                </c:pt>
                <c:pt idx="476">
                  <c:v>0.65745856353591159</c:v>
                </c:pt>
                <c:pt idx="477">
                  <c:v>0.66022099447513816</c:v>
                </c:pt>
                <c:pt idx="478">
                  <c:v>0.66298342541436461</c:v>
                </c:pt>
                <c:pt idx="479">
                  <c:v>0.66574585635359118</c:v>
                </c:pt>
                <c:pt idx="480">
                  <c:v>0.66850828729281764</c:v>
                </c:pt>
                <c:pt idx="481">
                  <c:v>0.67127071823204421</c:v>
                </c:pt>
                <c:pt idx="482">
                  <c:v>0.67403314917127077</c:v>
                </c:pt>
                <c:pt idx="483">
                  <c:v>0.67403314917127077</c:v>
                </c:pt>
                <c:pt idx="484">
                  <c:v>0.67679558011049723</c:v>
                </c:pt>
                <c:pt idx="485">
                  <c:v>0.67679558011049723</c:v>
                </c:pt>
                <c:pt idx="486">
                  <c:v>0.6795580110497238</c:v>
                </c:pt>
                <c:pt idx="487">
                  <c:v>0.68232044198895025</c:v>
                </c:pt>
                <c:pt idx="488">
                  <c:v>0.68232044198895025</c:v>
                </c:pt>
                <c:pt idx="489">
                  <c:v>0.68508287292817682</c:v>
                </c:pt>
                <c:pt idx="490">
                  <c:v>0.68508287292817682</c:v>
                </c:pt>
                <c:pt idx="491">
                  <c:v>0.68784530386740328</c:v>
                </c:pt>
                <c:pt idx="492">
                  <c:v>0.68784530386740328</c:v>
                </c:pt>
                <c:pt idx="493">
                  <c:v>0.69060773480662985</c:v>
                </c:pt>
                <c:pt idx="494">
                  <c:v>0.6933701657458563</c:v>
                </c:pt>
                <c:pt idx="495">
                  <c:v>0.69613259668508287</c:v>
                </c:pt>
                <c:pt idx="496">
                  <c:v>0.69889502762430944</c:v>
                </c:pt>
                <c:pt idx="497">
                  <c:v>0.69889502762430944</c:v>
                </c:pt>
                <c:pt idx="498">
                  <c:v>0.7016574585635359</c:v>
                </c:pt>
                <c:pt idx="499">
                  <c:v>0.70441988950276246</c:v>
                </c:pt>
                <c:pt idx="500">
                  <c:v>0.70718232044198892</c:v>
                </c:pt>
                <c:pt idx="501">
                  <c:v>0.70994475138121549</c:v>
                </c:pt>
                <c:pt idx="502">
                  <c:v>0.71270718232044195</c:v>
                </c:pt>
                <c:pt idx="503">
                  <c:v>0.71546961325966851</c:v>
                </c:pt>
                <c:pt idx="504">
                  <c:v>0.71823204419889508</c:v>
                </c:pt>
                <c:pt idx="505">
                  <c:v>0.72099447513812154</c:v>
                </c:pt>
                <c:pt idx="506">
                  <c:v>0.72375690607734811</c:v>
                </c:pt>
                <c:pt idx="507">
                  <c:v>0.72651933701657456</c:v>
                </c:pt>
                <c:pt idx="508">
                  <c:v>0.72651933701657456</c:v>
                </c:pt>
                <c:pt idx="509">
                  <c:v>0.72928176795580113</c:v>
                </c:pt>
                <c:pt idx="510">
                  <c:v>0.73204419889502759</c:v>
                </c:pt>
                <c:pt idx="511">
                  <c:v>0.73204419889502759</c:v>
                </c:pt>
                <c:pt idx="512">
                  <c:v>0.73480662983425415</c:v>
                </c:pt>
                <c:pt idx="513">
                  <c:v>0.73756906077348061</c:v>
                </c:pt>
                <c:pt idx="514">
                  <c:v>0.74033149171270718</c:v>
                </c:pt>
                <c:pt idx="515">
                  <c:v>0.74309392265193375</c:v>
                </c:pt>
                <c:pt idx="516">
                  <c:v>0.74309392265193375</c:v>
                </c:pt>
                <c:pt idx="517">
                  <c:v>0.74309392265193375</c:v>
                </c:pt>
                <c:pt idx="518">
                  <c:v>0.7458563535911602</c:v>
                </c:pt>
                <c:pt idx="519">
                  <c:v>0.7458563535911602</c:v>
                </c:pt>
                <c:pt idx="520">
                  <c:v>0.74861878453038677</c:v>
                </c:pt>
                <c:pt idx="521">
                  <c:v>0.75138121546961323</c:v>
                </c:pt>
                <c:pt idx="522">
                  <c:v>0.7541436464088398</c:v>
                </c:pt>
                <c:pt idx="523">
                  <c:v>0.7541436464088398</c:v>
                </c:pt>
                <c:pt idx="524">
                  <c:v>0.75690607734806625</c:v>
                </c:pt>
                <c:pt idx="525">
                  <c:v>0.75690607734806625</c:v>
                </c:pt>
                <c:pt idx="526">
                  <c:v>0.75966850828729282</c:v>
                </c:pt>
                <c:pt idx="527">
                  <c:v>0.76243093922651939</c:v>
                </c:pt>
                <c:pt idx="528">
                  <c:v>0.76519337016574585</c:v>
                </c:pt>
                <c:pt idx="529">
                  <c:v>0.76795580110497241</c:v>
                </c:pt>
                <c:pt idx="530">
                  <c:v>0.77071823204419887</c:v>
                </c:pt>
                <c:pt idx="531">
                  <c:v>0.77348066298342544</c:v>
                </c:pt>
                <c:pt idx="532">
                  <c:v>0.77624309392265189</c:v>
                </c:pt>
                <c:pt idx="533">
                  <c:v>0.77900552486187846</c:v>
                </c:pt>
                <c:pt idx="534">
                  <c:v>0.78176795580110492</c:v>
                </c:pt>
                <c:pt idx="535">
                  <c:v>0.78176795580110492</c:v>
                </c:pt>
                <c:pt idx="536">
                  <c:v>0.78453038674033149</c:v>
                </c:pt>
                <c:pt idx="537">
                  <c:v>0.78729281767955805</c:v>
                </c:pt>
                <c:pt idx="538">
                  <c:v>0.78729281767955805</c:v>
                </c:pt>
                <c:pt idx="539">
                  <c:v>0.78729281767955805</c:v>
                </c:pt>
                <c:pt idx="540">
                  <c:v>0.79005524861878451</c:v>
                </c:pt>
                <c:pt idx="541">
                  <c:v>0.79281767955801108</c:v>
                </c:pt>
                <c:pt idx="542">
                  <c:v>0.79558011049723754</c:v>
                </c:pt>
                <c:pt idx="543">
                  <c:v>0.7983425414364641</c:v>
                </c:pt>
                <c:pt idx="544">
                  <c:v>0.80110497237569056</c:v>
                </c:pt>
                <c:pt idx="545">
                  <c:v>0.80386740331491713</c:v>
                </c:pt>
                <c:pt idx="546">
                  <c:v>0.8066298342541437</c:v>
                </c:pt>
                <c:pt idx="547">
                  <c:v>0.8066298342541437</c:v>
                </c:pt>
                <c:pt idx="548">
                  <c:v>0.80939226519337015</c:v>
                </c:pt>
                <c:pt idx="549">
                  <c:v>0.81215469613259672</c:v>
                </c:pt>
                <c:pt idx="550">
                  <c:v>0.81491712707182318</c:v>
                </c:pt>
                <c:pt idx="551">
                  <c:v>0.81767955801104975</c:v>
                </c:pt>
                <c:pt idx="552">
                  <c:v>0.8204419889502762</c:v>
                </c:pt>
                <c:pt idx="553">
                  <c:v>0.82320441988950277</c:v>
                </c:pt>
                <c:pt idx="554">
                  <c:v>0.82596685082872923</c:v>
                </c:pt>
                <c:pt idx="555">
                  <c:v>0.82596685082872923</c:v>
                </c:pt>
                <c:pt idx="556">
                  <c:v>0.82596685082872923</c:v>
                </c:pt>
                <c:pt idx="557">
                  <c:v>0.82872928176795579</c:v>
                </c:pt>
                <c:pt idx="558">
                  <c:v>0.83149171270718236</c:v>
                </c:pt>
                <c:pt idx="559">
                  <c:v>0.83425414364640882</c:v>
                </c:pt>
                <c:pt idx="560">
                  <c:v>0.83425414364640882</c:v>
                </c:pt>
                <c:pt idx="561">
                  <c:v>0.83425414364640882</c:v>
                </c:pt>
                <c:pt idx="562">
                  <c:v>0.83701657458563539</c:v>
                </c:pt>
                <c:pt idx="563">
                  <c:v>0.83977900552486184</c:v>
                </c:pt>
                <c:pt idx="564">
                  <c:v>0.84254143646408841</c:v>
                </c:pt>
                <c:pt idx="565">
                  <c:v>0.84530386740331487</c:v>
                </c:pt>
                <c:pt idx="566">
                  <c:v>0.84806629834254144</c:v>
                </c:pt>
                <c:pt idx="567">
                  <c:v>0.850828729281768</c:v>
                </c:pt>
                <c:pt idx="568">
                  <c:v>0.85359116022099446</c:v>
                </c:pt>
                <c:pt idx="569">
                  <c:v>0.85359116022099446</c:v>
                </c:pt>
                <c:pt idx="570">
                  <c:v>0.85359116022099446</c:v>
                </c:pt>
                <c:pt idx="571">
                  <c:v>0.85635359116022103</c:v>
                </c:pt>
                <c:pt idx="572">
                  <c:v>0.85911602209944748</c:v>
                </c:pt>
                <c:pt idx="573">
                  <c:v>0.86187845303867405</c:v>
                </c:pt>
                <c:pt idx="574">
                  <c:v>0.86464088397790051</c:v>
                </c:pt>
                <c:pt idx="575">
                  <c:v>0.86740331491712708</c:v>
                </c:pt>
                <c:pt idx="576">
                  <c:v>0.87016574585635365</c:v>
                </c:pt>
                <c:pt idx="577">
                  <c:v>0.8729281767955801</c:v>
                </c:pt>
                <c:pt idx="578">
                  <c:v>0.87569060773480667</c:v>
                </c:pt>
                <c:pt idx="579">
                  <c:v>0.87845303867403313</c:v>
                </c:pt>
                <c:pt idx="580">
                  <c:v>0.87845303867403313</c:v>
                </c:pt>
                <c:pt idx="581">
                  <c:v>0.88121546961325969</c:v>
                </c:pt>
                <c:pt idx="582">
                  <c:v>0.88397790055248615</c:v>
                </c:pt>
                <c:pt idx="583">
                  <c:v>0.88397790055248615</c:v>
                </c:pt>
                <c:pt idx="584">
                  <c:v>0.88674033149171272</c:v>
                </c:pt>
                <c:pt idx="585">
                  <c:v>0.88950276243093918</c:v>
                </c:pt>
                <c:pt idx="586">
                  <c:v>0.88950276243093918</c:v>
                </c:pt>
                <c:pt idx="587">
                  <c:v>0.89226519337016574</c:v>
                </c:pt>
                <c:pt idx="588">
                  <c:v>0.89502762430939231</c:v>
                </c:pt>
                <c:pt idx="589">
                  <c:v>0.89779005524861877</c:v>
                </c:pt>
                <c:pt idx="590">
                  <c:v>0.90055248618784534</c:v>
                </c:pt>
                <c:pt idx="591">
                  <c:v>0.90331491712707179</c:v>
                </c:pt>
                <c:pt idx="592">
                  <c:v>0.90607734806629836</c:v>
                </c:pt>
                <c:pt idx="593">
                  <c:v>0.90883977900552482</c:v>
                </c:pt>
                <c:pt idx="594">
                  <c:v>0.91160220994475138</c:v>
                </c:pt>
                <c:pt idx="595">
                  <c:v>0.91436464088397795</c:v>
                </c:pt>
                <c:pt idx="596">
                  <c:v>0.91712707182320441</c:v>
                </c:pt>
                <c:pt idx="597">
                  <c:v>0.91988950276243098</c:v>
                </c:pt>
                <c:pt idx="598">
                  <c:v>0.92265193370165743</c:v>
                </c:pt>
                <c:pt idx="599">
                  <c:v>0.925414364640884</c:v>
                </c:pt>
                <c:pt idx="600">
                  <c:v>0.92817679558011046</c:v>
                </c:pt>
                <c:pt idx="601">
                  <c:v>0.93093922651933703</c:v>
                </c:pt>
                <c:pt idx="602">
                  <c:v>0.93370165745856348</c:v>
                </c:pt>
                <c:pt idx="603">
                  <c:v>0.93646408839779005</c:v>
                </c:pt>
                <c:pt idx="604">
                  <c:v>0.93922651933701662</c:v>
                </c:pt>
                <c:pt idx="605">
                  <c:v>0.94198895027624308</c:v>
                </c:pt>
                <c:pt idx="606">
                  <c:v>0.94475138121546964</c:v>
                </c:pt>
                <c:pt idx="607">
                  <c:v>0.94475138121546964</c:v>
                </c:pt>
                <c:pt idx="608">
                  <c:v>0.9475138121546961</c:v>
                </c:pt>
                <c:pt idx="609">
                  <c:v>0.95027624309392267</c:v>
                </c:pt>
                <c:pt idx="610">
                  <c:v>0.95303867403314912</c:v>
                </c:pt>
                <c:pt idx="611">
                  <c:v>0.95580110497237569</c:v>
                </c:pt>
                <c:pt idx="612">
                  <c:v>0.95856353591160226</c:v>
                </c:pt>
                <c:pt idx="613">
                  <c:v>0.96132596685082872</c:v>
                </c:pt>
                <c:pt idx="614">
                  <c:v>0.96408839779005528</c:v>
                </c:pt>
                <c:pt idx="615">
                  <c:v>0.96685082872928174</c:v>
                </c:pt>
                <c:pt idx="616">
                  <c:v>0.96961325966850831</c:v>
                </c:pt>
                <c:pt idx="617">
                  <c:v>0.97237569060773477</c:v>
                </c:pt>
                <c:pt idx="618">
                  <c:v>0.97513812154696133</c:v>
                </c:pt>
                <c:pt idx="619">
                  <c:v>0.97790055248618779</c:v>
                </c:pt>
                <c:pt idx="620">
                  <c:v>0.98066298342541436</c:v>
                </c:pt>
                <c:pt idx="621">
                  <c:v>0.98342541436464093</c:v>
                </c:pt>
                <c:pt idx="622">
                  <c:v>0.98618784530386738</c:v>
                </c:pt>
                <c:pt idx="623">
                  <c:v>0.98895027624309395</c:v>
                </c:pt>
                <c:pt idx="624">
                  <c:v>0.99171270718232041</c:v>
                </c:pt>
                <c:pt idx="625">
                  <c:v>0.99447513812154698</c:v>
                </c:pt>
                <c:pt idx="626">
                  <c:v>0.99723756906077343</c:v>
                </c:pt>
                <c:pt idx="627">
                  <c:v>1</c:v>
                </c:pt>
              </c:numCache>
            </c:numRef>
          </c:xVal>
          <c:yVal>
            <c:numRef>
              <c:f>Validation!$H$2:$H$629</c:f>
              <c:numCache>
                <c:formatCode>General</c:formatCode>
                <c:ptCount val="628"/>
                <c:pt idx="0">
                  <c:v>3.7593984962406013E-3</c:v>
                </c:pt>
                <c:pt idx="1">
                  <c:v>7.5187969924812026E-3</c:v>
                </c:pt>
                <c:pt idx="2">
                  <c:v>1.8796992481203006E-2</c:v>
                </c:pt>
                <c:pt idx="3">
                  <c:v>1.8796992481203006E-2</c:v>
                </c:pt>
                <c:pt idx="4">
                  <c:v>1.8796992481203006E-2</c:v>
                </c:pt>
                <c:pt idx="5">
                  <c:v>2.2556390977443608E-2</c:v>
                </c:pt>
                <c:pt idx="6">
                  <c:v>2.6315789473684209E-2</c:v>
                </c:pt>
                <c:pt idx="7">
                  <c:v>3.3834586466165412E-2</c:v>
                </c:pt>
                <c:pt idx="8">
                  <c:v>3.3834586466165412E-2</c:v>
                </c:pt>
                <c:pt idx="9">
                  <c:v>3.7593984962406013E-2</c:v>
                </c:pt>
                <c:pt idx="10">
                  <c:v>3.7593984962406013E-2</c:v>
                </c:pt>
                <c:pt idx="11">
                  <c:v>4.5112781954887216E-2</c:v>
                </c:pt>
                <c:pt idx="12">
                  <c:v>4.5112781954887216E-2</c:v>
                </c:pt>
                <c:pt idx="13">
                  <c:v>4.5112781954887216E-2</c:v>
                </c:pt>
                <c:pt idx="14">
                  <c:v>4.8872180451127817E-2</c:v>
                </c:pt>
                <c:pt idx="15">
                  <c:v>5.2631578947368418E-2</c:v>
                </c:pt>
                <c:pt idx="16">
                  <c:v>5.6390977443609019E-2</c:v>
                </c:pt>
                <c:pt idx="17">
                  <c:v>6.3909774436090222E-2</c:v>
                </c:pt>
                <c:pt idx="18">
                  <c:v>6.3909774436090222E-2</c:v>
                </c:pt>
                <c:pt idx="19">
                  <c:v>6.7669172932330823E-2</c:v>
                </c:pt>
                <c:pt idx="20">
                  <c:v>7.1428571428571425E-2</c:v>
                </c:pt>
                <c:pt idx="21">
                  <c:v>7.5187969924812026E-2</c:v>
                </c:pt>
                <c:pt idx="22">
                  <c:v>7.8947368421052627E-2</c:v>
                </c:pt>
                <c:pt idx="23">
                  <c:v>8.2706766917293228E-2</c:v>
                </c:pt>
                <c:pt idx="24">
                  <c:v>9.0225563909774431E-2</c:v>
                </c:pt>
                <c:pt idx="25">
                  <c:v>9.0225563909774431E-2</c:v>
                </c:pt>
                <c:pt idx="26">
                  <c:v>9.3984962406015032E-2</c:v>
                </c:pt>
                <c:pt idx="27">
                  <c:v>9.7744360902255634E-2</c:v>
                </c:pt>
                <c:pt idx="28">
                  <c:v>0.10150375939849623</c:v>
                </c:pt>
                <c:pt idx="29">
                  <c:v>0.10526315789473684</c:v>
                </c:pt>
                <c:pt idx="30">
                  <c:v>0.10526315789473684</c:v>
                </c:pt>
                <c:pt idx="31">
                  <c:v>0.10902255639097744</c:v>
                </c:pt>
                <c:pt idx="32">
                  <c:v>0.11278195488721804</c:v>
                </c:pt>
                <c:pt idx="33">
                  <c:v>0.11654135338345864</c:v>
                </c:pt>
                <c:pt idx="34">
                  <c:v>0.11654135338345864</c:v>
                </c:pt>
                <c:pt idx="35">
                  <c:v>0.12030075187969924</c:v>
                </c:pt>
                <c:pt idx="36">
                  <c:v>0.12030075187969924</c:v>
                </c:pt>
                <c:pt idx="37">
                  <c:v>0.12406015037593984</c:v>
                </c:pt>
                <c:pt idx="38">
                  <c:v>0.12406015037593984</c:v>
                </c:pt>
                <c:pt idx="39">
                  <c:v>0.12406015037593984</c:v>
                </c:pt>
                <c:pt idx="40">
                  <c:v>0.12781954887218044</c:v>
                </c:pt>
                <c:pt idx="41">
                  <c:v>0.13157894736842105</c:v>
                </c:pt>
                <c:pt idx="42">
                  <c:v>0.13533834586466165</c:v>
                </c:pt>
                <c:pt idx="43">
                  <c:v>0.13533834586466165</c:v>
                </c:pt>
                <c:pt idx="44">
                  <c:v>0.14285714285714285</c:v>
                </c:pt>
                <c:pt idx="45">
                  <c:v>0.14285714285714285</c:v>
                </c:pt>
                <c:pt idx="46">
                  <c:v>0.14661654135338345</c:v>
                </c:pt>
                <c:pt idx="47">
                  <c:v>0.14661654135338345</c:v>
                </c:pt>
                <c:pt idx="48">
                  <c:v>0.15037593984962405</c:v>
                </c:pt>
                <c:pt idx="49">
                  <c:v>0.15037593984962405</c:v>
                </c:pt>
                <c:pt idx="50">
                  <c:v>0.15413533834586465</c:v>
                </c:pt>
                <c:pt idx="51">
                  <c:v>0.15789473684210525</c:v>
                </c:pt>
                <c:pt idx="52">
                  <c:v>0.16165413533834586</c:v>
                </c:pt>
                <c:pt idx="53">
                  <c:v>0.16541353383458646</c:v>
                </c:pt>
                <c:pt idx="54">
                  <c:v>0.16917293233082706</c:v>
                </c:pt>
                <c:pt idx="55">
                  <c:v>0.18045112781954886</c:v>
                </c:pt>
                <c:pt idx="56">
                  <c:v>0.18045112781954886</c:v>
                </c:pt>
                <c:pt idx="57">
                  <c:v>0.18045112781954886</c:v>
                </c:pt>
                <c:pt idx="58">
                  <c:v>0.18045112781954886</c:v>
                </c:pt>
                <c:pt idx="59">
                  <c:v>0.18421052631578946</c:v>
                </c:pt>
                <c:pt idx="60">
                  <c:v>0.18421052631578946</c:v>
                </c:pt>
                <c:pt idx="61">
                  <c:v>0.18796992481203006</c:v>
                </c:pt>
                <c:pt idx="62">
                  <c:v>0.18796992481203006</c:v>
                </c:pt>
                <c:pt idx="63">
                  <c:v>0.19172932330827067</c:v>
                </c:pt>
                <c:pt idx="64">
                  <c:v>0.19172932330827067</c:v>
                </c:pt>
                <c:pt idx="65">
                  <c:v>0.19548872180451127</c:v>
                </c:pt>
                <c:pt idx="66">
                  <c:v>0.19924812030075187</c:v>
                </c:pt>
                <c:pt idx="67">
                  <c:v>0.20300751879699247</c:v>
                </c:pt>
                <c:pt idx="68">
                  <c:v>0.20300751879699247</c:v>
                </c:pt>
                <c:pt idx="69">
                  <c:v>0.20300751879699247</c:v>
                </c:pt>
                <c:pt idx="70">
                  <c:v>0.20676691729323307</c:v>
                </c:pt>
                <c:pt idx="71">
                  <c:v>0.21052631578947367</c:v>
                </c:pt>
                <c:pt idx="72">
                  <c:v>0.21428571428571427</c:v>
                </c:pt>
                <c:pt idx="73">
                  <c:v>0.21804511278195488</c:v>
                </c:pt>
                <c:pt idx="74">
                  <c:v>0.21804511278195488</c:v>
                </c:pt>
                <c:pt idx="75">
                  <c:v>0.22180451127819548</c:v>
                </c:pt>
                <c:pt idx="76">
                  <c:v>0.22180451127819548</c:v>
                </c:pt>
                <c:pt idx="77">
                  <c:v>0.22180451127819548</c:v>
                </c:pt>
                <c:pt idx="78">
                  <c:v>0.22180451127819548</c:v>
                </c:pt>
                <c:pt idx="79">
                  <c:v>0.22556390977443608</c:v>
                </c:pt>
                <c:pt idx="80">
                  <c:v>0.22932330827067668</c:v>
                </c:pt>
                <c:pt idx="81">
                  <c:v>0.22932330827067668</c:v>
                </c:pt>
                <c:pt idx="82">
                  <c:v>0.22932330827067668</c:v>
                </c:pt>
                <c:pt idx="83">
                  <c:v>0.22932330827067668</c:v>
                </c:pt>
                <c:pt idx="84">
                  <c:v>0.22932330827067668</c:v>
                </c:pt>
                <c:pt idx="85">
                  <c:v>0.22932330827067668</c:v>
                </c:pt>
                <c:pt idx="86">
                  <c:v>0.23308270676691728</c:v>
                </c:pt>
                <c:pt idx="87">
                  <c:v>0.23684210526315788</c:v>
                </c:pt>
                <c:pt idx="88">
                  <c:v>0.23684210526315788</c:v>
                </c:pt>
                <c:pt idx="89">
                  <c:v>0.23684210526315788</c:v>
                </c:pt>
                <c:pt idx="90">
                  <c:v>0.24436090225563908</c:v>
                </c:pt>
                <c:pt idx="91">
                  <c:v>0.24436090225563908</c:v>
                </c:pt>
                <c:pt idx="92">
                  <c:v>0.25187969924812031</c:v>
                </c:pt>
                <c:pt idx="93">
                  <c:v>0.25187969924812031</c:v>
                </c:pt>
                <c:pt idx="94">
                  <c:v>0.25187969924812031</c:v>
                </c:pt>
                <c:pt idx="95">
                  <c:v>0.25939849624060152</c:v>
                </c:pt>
                <c:pt idx="96">
                  <c:v>0.25939849624060152</c:v>
                </c:pt>
                <c:pt idx="97">
                  <c:v>0.26315789473684209</c:v>
                </c:pt>
                <c:pt idx="98">
                  <c:v>0.26315789473684209</c:v>
                </c:pt>
                <c:pt idx="99">
                  <c:v>0.26691729323308272</c:v>
                </c:pt>
                <c:pt idx="100">
                  <c:v>0.26691729323308272</c:v>
                </c:pt>
                <c:pt idx="101">
                  <c:v>0.26691729323308272</c:v>
                </c:pt>
                <c:pt idx="102">
                  <c:v>0.26691729323308272</c:v>
                </c:pt>
                <c:pt idx="103">
                  <c:v>0.27067669172932329</c:v>
                </c:pt>
                <c:pt idx="104">
                  <c:v>0.27067669172932329</c:v>
                </c:pt>
                <c:pt idx="105">
                  <c:v>0.2781954887218045</c:v>
                </c:pt>
                <c:pt idx="106">
                  <c:v>0.2781954887218045</c:v>
                </c:pt>
                <c:pt idx="107">
                  <c:v>0.2781954887218045</c:v>
                </c:pt>
                <c:pt idx="108">
                  <c:v>0.2781954887218045</c:v>
                </c:pt>
                <c:pt idx="109">
                  <c:v>0.2781954887218045</c:v>
                </c:pt>
                <c:pt idx="110">
                  <c:v>0.2781954887218045</c:v>
                </c:pt>
                <c:pt idx="111">
                  <c:v>0.2781954887218045</c:v>
                </c:pt>
                <c:pt idx="112">
                  <c:v>0.28195488721804512</c:v>
                </c:pt>
                <c:pt idx="113">
                  <c:v>0.28195488721804512</c:v>
                </c:pt>
                <c:pt idx="114">
                  <c:v>0.2857142857142857</c:v>
                </c:pt>
                <c:pt idx="115">
                  <c:v>0.2857142857142857</c:v>
                </c:pt>
                <c:pt idx="116">
                  <c:v>0.2857142857142857</c:v>
                </c:pt>
                <c:pt idx="117">
                  <c:v>0.2857142857142857</c:v>
                </c:pt>
                <c:pt idx="118">
                  <c:v>0.28947368421052633</c:v>
                </c:pt>
                <c:pt idx="119">
                  <c:v>0.28947368421052633</c:v>
                </c:pt>
                <c:pt idx="120">
                  <c:v>0.2932330827067669</c:v>
                </c:pt>
                <c:pt idx="121">
                  <c:v>0.2932330827067669</c:v>
                </c:pt>
                <c:pt idx="122">
                  <c:v>0.29699248120300753</c:v>
                </c:pt>
                <c:pt idx="123">
                  <c:v>0.3007518796992481</c:v>
                </c:pt>
                <c:pt idx="124">
                  <c:v>0.3007518796992481</c:v>
                </c:pt>
                <c:pt idx="125">
                  <c:v>0.3007518796992481</c:v>
                </c:pt>
                <c:pt idx="126">
                  <c:v>0.30451127819548873</c:v>
                </c:pt>
                <c:pt idx="127">
                  <c:v>0.30451127819548873</c:v>
                </c:pt>
                <c:pt idx="128">
                  <c:v>0.30451127819548873</c:v>
                </c:pt>
                <c:pt idx="129">
                  <c:v>0.30451127819548873</c:v>
                </c:pt>
                <c:pt idx="130">
                  <c:v>0.30451127819548873</c:v>
                </c:pt>
                <c:pt idx="131">
                  <c:v>0.30451127819548873</c:v>
                </c:pt>
                <c:pt idx="132">
                  <c:v>0.30451127819548873</c:v>
                </c:pt>
                <c:pt idx="133">
                  <c:v>0.31203007518796994</c:v>
                </c:pt>
                <c:pt idx="134">
                  <c:v>0.31203007518796994</c:v>
                </c:pt>
                <c:pt idx="135">
                  <c:v>0.31578947368421051</c:v>
                </c:pt>
                <c:pt idx="136">
                  <c:v>0.31954887218045114</c:v>
                </c:pt>
                <c:pt idx="137">
                  <c:v>0.32330827067669171</c:v>
                </c:pt>
                <c:pt idx="138">
                  <c:v>0.32706766917293234</c:v>
                </c:pt>
                <c:pt idx="139">
                  <c:v>0.32706766917293234</c:v>
                </c:pt>
                <c:pt idx="140">
                  <c:v>0.32706766917293234</c:v>
                </c:pt>
                <c:pt idx="141">
                  <c:v>0.33082706766917291</c:v>
                </c:pt>
                <c:pt idx="142">
                  <c:v>0.33458646616541354</c:v>
                </c:pt>
                <c:pt idx="143">
                  <c:v>0.33834586466165412</c:v>
                </c:pt>
                <c:pt idx="144">
                  <c:v>0.33834586466165412</c:v>
                </c:pt>
                <c:pt idx="145">
                  <c:v>0.34210526315789475</c:v>
                </c:pt>
                <c:pt idx="146">
                  <c:v>0.34586466165413532</c:v>
                </c:pt>
                <c:pt idx="147">
                  <c:v>0.34586466165413532</c:v>
                </c:pt>
                <c:pt idx="148">
                  <c:v>0.34962406015037595</c:v>
                </c:pt>
                <c:pt idx="149">
                  <c:v>0.35338345864661652</c:v>
                </c:pt>
                <c:pt idx="150">
                  <c:v>0.35338345864661652</c:v>
                </c:pt>
                <c:pt idx="151">
                  <c:v>0.35714285714285715</c:v>
                </c:pt>
                <c:pt idx="152">
                  <c:v>0.36090225563909772</c:v>
                </c:pt>
                <c:pt idx="153">
                  <c:v>0.36090225563909772</c:v>
                </c:pt>
                <c:pt idx="154">
                  <c:v>0.36090225563909772</c:v>
                </c:pt>
                <c:pt idx="155">
                  <c:v>0.36466165413533835</c:v>
                </c:pt>
                <c:pt idx="156">
                  <c:v>0.36842105263157893</c:v>
                </c:pt>
                <c:pt idx="157">
                  <c:v>0.36842105263157893</c:v>
                </c:pt>
                <c:pt idx="158">
                  <c:v>0.37218045112781956</c:v>
                </c:pt>
                <c:pt idx="159">
                  <c:v>0.37218045112781956</c:v>
                </c:pt>
                <c:pt idx="160">
                  <c:v>0.37218045112781956</c:v>
                </c:pt>
                <c:pt idx="161">
                  <c:v>0.37593984962406013</c:v>
                </c:pt>
                <c:pt idx="162">
                  <c:v>0.38345864661654133</c:v>
                </c:pt>
                <c:pt idx="163">
                  <c:v>0.38345864661654133</c:v>
                </c:pt>
                <c:pt idx="164">
                  <c:v>0.38345864661654133</c:v>
                </c:pt>
                <c:pt idx="165">
                  <c:v>0.38345864661654133</c:v>
                </c:pt>
                <c:pt idx="166">
                  <c:v>0.38345864661654133</c:v>
                </c:pt>
                <c:pt idx="167">
                  <c:v>0.38721804511278196</c:v>
                </c:pt>
                <c:pt idx="168">
                  <c:v>0.39097744360902253</c:v>
                </c:pt>
                <c:pt idx="169">
                  <c:v>0.39097744360902253</c:v>
                </c:pt>
                <c:pt idx="170">
                  <c:v>0.39097744360902253</c:v>
                </c:pt>
                <c:pt idx="171">
                  <c:v>0.39097744360902253</c:v>
                </c:pt>
                <c:pt idx="172">
                  <c:v>0.39097744360902253</c:v>
                </c:pt>
                <c:pt idx="173">
                  <c:v>0.39097744360902253</c:v>
                </c:pt>
                <c:pt idx="174">
                  <c:v>0.39473684210526316</c:v>
                </c:pt>
                <c:pt idx="175">
                  <c:v>0.39473684210526316</c:v>
                </c:pt>
                <c:pt idx="176">
                  <c:v>0.39473684210526316</c:v>
                </c:pt>
                <c:pt idx="177">
                  <c:v>0.39473684210526316</c:v>
                </c:pt>
                <c:pt idx="178">
                  <c:v>0.39849624060150374</c:v>
                </c:pt>
                <c:pt idx="179">
                  <c:v>0.39849624060150374</c:v>
                </c:pt>
                <c:pt idx="180">
                  <c:v>0.39849624060150374</c:v>
                </c:pt>
                <c:pt idx="181">
                  <c:v>0.40225563909774437</c:v>
                </c:pt>
                <c:pt idx="182">
                  <c:v>0.40601503759398494</c:v>
                </c:pt>
                <c:pt idx="183">
                  <c:v>0.40977443609022557</c:v>
                </c:pt>
                <c:pt idx="184">
                  <c:v>0.42105263157894735</c:v>
                </c:pt>
                <c:pt idx="185">
                  <c:v>0.42105263157894735</c:v>
                </c:pt>
                <c:pt idx="186">
                  <c:v>0.42105263157894735</c:v>
                </c:pt>
                <c:pt idx="187">
                  <c:v>0.42481203007518797</c:v>
                </c:pt>
                <c:pt idx="188">
                  <c:v>0.42481203007518797</c:v>
                </c:pt>
                <c:pt idx="189">
                  <c:v>0.42481203007518797</c:v>
                </c:pt>
                <c:pt idx="190">
                  <c:v>0.42481203007518797</c:v>
                </c:pt>
                <c:pt idx="191">
                  <c:v>0.42857142857142855</c:v>
                </c:pt>
                <c:pt idx="192">
                  <c:v>0.43233082706766918</c:v>
                </c:pt>
                <c:pt idx="193">
                  <c:v>0.43233082706766918</c:v>
                </c:pt>
                <c:pt idx="194">
                  <c:v>0.43609022556390975</c:v>
                </c:pt>
                <c:pt idx="195">
                  <c:v>0.43984962406015038</c:v>
                </c:pt>
                <c:pt idx="196">
                  <c:v>0.43984962406015038</c:v>
                </c:pt>
                <c:pt idx="197">
                  <c:v>0.44360902255639095</c:v>
                </c:pt>
                <c:pt idx="198">
                  <c:v>0.44736842105263158</c:v>
                </c:pt>
                <c:pt idx="199">
                  <c:v>0.44736842105263158</c:v>
                </c:pt>
                <c:pt idx="200">
                  <c:v>0.44736842105263158</c:v>
                </c:pt>
                <c:pt idx="201">
                  <c:v>0.44736842105263158</c:v>
                </c:pt>
                <c:pt idx="202">
                  <c:v>0.45112781954887216</c:v>
                </c:pt>
                <c:pt idx="203">
                  <c:v>0.45112781954887216</c:v>
                </c:pt>
                <c:pt idx="204">
                  <c:v>0.45488721804511278</c:v>
                </c:pt>
                <c:pt idx="205">
                  <c:v>0.46240601503759399</c:v>
                </c:pt>
                <c:pt idx="206">
                  <c:v>0.46240601503759399</c:v>
                </c:pt>
                <c:pt idx="207">
                  <c:v>0.46616541353383456</c:v>
                </c:pt>
                <c:pt idx="208">
                  <c:v>0.46616541353383456</c:v>
                </c:pt>
                <c:pt idx="209">
                  <c:v>0.46992481203007519</c:v>
                </c:pt>
                <c:pt idx="210">
                  <c:v>0.47368421052631576</c:v>
                </c:pt>
                <c:pt idx="211">
                  <c:v>0.47744360902255639</c:v>
                </c:pt>
                <c:pt idx="212">
                  <c:v>0.47744360902255639</c:v>
                </c:pt>
                <c:pt idx="213">
                  <c:v>0.47744360902255639</c:v>
                </c:pt>
                <c:pt idx="214">
                  <c:v>0.47744360902255639</c:v>
                </c:pt>
                <c:pt idx="215">
                  <c:v>0.48120300751879697</c:v>
                </c:pt>
                <c:pt idx="216">
                  <c:v>0.48496240601503759</c:v>
                </c:pt>
                <c:pt idx="217">
                  <c:v>0.48496240601503759</c:v>
                </c:pt>
                <c:pt idx="218">
                  <c:v>0.48872180451127817</c:v>
                </c:pt>
                <c:pt idx="219">
                  <c:v>0.48872180451127817</c:v>
                </c:pt>
                <c:pt idx="220">
                  <c:v>0.48872180451127817</c:v>
                </c:pt>
                <c:pt idx="221">
                  <c:v>0.4924812030075188</c:v>
                </c:pt>
                <c:pt idx="222">
                  <c:v>0.4924812030075188</c:v>
                </c:pt>
                <c:pt idx="223">
                  <c:v>0.4924812030075188</c:v>
                </c:pt>
                <c:pt idx="224">
                  <c:v>0.49624060150375937</c:v>
                </c:pt>
                <c:pt idx="225">
                  <c:v>0.5</c:v>
                </c:pt>
                <c:pt idx="226">
                  <c:v>0.50375939849624063</c:v>
                </c:pt>
                <c:pt idx="227">
                  <c:v>0.50375939849624063</c:v>
                </c:pt>
                <c:pt idx="228">
                  <c:v>0.50751879699248126</c:v>
                </c:pt>
                <c:pt idx="229">
                  <c:v>0.50751879699248126</c:v>
                </c:pt>
                <c:pt idx="230">
                  <c:v>0.51879699248120303</c:v>
                </c:pt>
                <c:pt idx="231">
                  <c:v>0.51879699248120303</c:v>
                </c:pt>
                <c:pt idx="232">
                  <c:v>0.51879699248120303</c:v>
                </c:pt>
                <c:pt idx="233">
                  <c:v>0.51879699248120303</c:v>
                </c:pt>
                <c:pt idx="234">
                  <c:v>0.51879699248120303</c:v>
                </c:pt>
                <c:pt idx="235">
                  <c:v>0.51879699248120303</c:v>
                </c:pt>
                <c:pt idx="236">
                  <c:v>0.52255639097744366</c:v>
                </c:pt>
                <c:pt idx="237">
                  <c:v>0.52631578947368418</c:v>
                </c:pt>
                <c:pt idx="238">
                  <c:v>0.52631578947368418</c:v>
                </c:pt>
                <c:pt idx="239">
                  <c:v>0.53007518796992481</c:v>
                </c:pt>
                <c:pt idx="240">
                  <c:v>0.53383458646616544</c:v>
                </c:pt>
                <c:pt idx="241">
                  <c:v>0.53383458646616544</c:v>
                </c:pt>
                <c:pt idx="242">
                  <c:v>0.54135338345864659</c:v>
                </c:pt>
                <c:pt idx="243">
                  <c:v>0.54135338345864659</c:v>
                </c:pt>
                <c:pt idx="244">
                  <c:v>0.54887218045112784</c:v>
                </c:pt>
                <c:pt idx="245">
                  <c:v>0.54887218045112784</c:v>
                </c:pt>
                <c:pt idx="246">
                  <c:v>0.54887218045112784</c:v>
                </c:pt>
                <c:pt idx="247">
                  <c:v>0.54887218045112784</c:v>
                </c:pt>
                <c:pt idx="248">
                  <c:v>0.54887218045112784</c:v>
                </c:pt>
                <c:pt idx="249">
                  <c:v>0.55263157894736847</c:v>
                </c:pt>
                <c:pt idx="250">
                  <c:v>0.55263157894736847</c:v>
                </c:pt>
                <c:pt idx="251">
                  <c:v>0.56390977443609025</c:v>
                </c:pt>
                <c:pt idx="252">
                  <c:v>0.56390977443609025</c:v>
                </c:pt>
                <c:pt idx="253">
                  <c:v>0.56390977443609025</c:v>
                </c:pt>
                <c:pt idx="254">
                  <c:v>0.56390977443609025</c:v>
                </c:pt>
                <c:pt idx="255">
                  <c:v>0.56390977443609025</c:v>
                </c:pt>
                <c:pt idx="256">
                  <c:v>0.56390977443609025</c:v>
                </c:pt>
                <c:pt idx="257">
                  <c:v>0.56390977443609025</c:v>
                </c:pt>
                <c:pt idx="258">
                  <c:v>0.56390977443609025</c:v>
                </c:pt>
                <c:pt idx="259">
                  <c:v>0.57518796992481203</c:v>
                </c:pt>
                <c:pt idx="260">
                  <c:v>0.57518796992481203</c:v>
                </c:pt>
                <c:pt idx="261">
                  <c:v>0.57518796992481203</c:v>
                </c:pt>
                <c:pt idx="262">
                  <c:v>0.57518796992481203</c:v>
                </c:pt>
                <c:pt idx="263">
                  <c:v>0.58270676691729328</c:v>
                </c:pt>
                <c:pt idx="264">
                  <c:v>0.58270676691729328</c:v>
                </c:pt>
                <c:pt idx="265">
                  <c:v>0.58270676691729328</c:v>
                </c:pt>
                <c:pt idx="266">
                  <c:v>0.58270676691729328</c:v>
                </c:pt>
                <c:pt idx="267">
                  <c:v>0.58270676691729328</c:v>
                </c:pt>
                <c:pt idx="268">
                  <c:v>0.5864661654135338</c:v>
                </c:pt>
                <c:pt idx="269">
                  <c:v>0.59022556390977443</c:v>
                </c:pt>
                <c:pt idx="270">
                  <c:v>0.59774436090225569</c:v>
                </c:pt>
                <c:pt idx="271">
                  <c:v>0.59774436090225569</c:v>
                </c:pt>
                <c:pt idx="272">
                  <c:v>0.60150375939849621</c:v>
                </c:pt>
                <c:pt idx="273">
                  <c:v>0.60150375939849621</c:v>
                </c:pt>
                <c:pt idx="274">
                  <c:v>0.60150375939849621</c:v>
                </c:pt>
                <c:pt idx="275">
                  <c:v>0.60526315789473684</c:v>
                </c:pt>
                <c:pt idx="276">
                  <c:v>0.60902255639097747</c:v>
                </c:pt>
                <c:pt idx="277">
                  <c:v>0.61278195488721809</c:v>
                </c:pt>
                <c:pt idx="278">
                  <c:v>0.61278195488721809</c:v>
                </c:pt>
                <c:pt idx="279">
                  <c:v>0.61654135338345861</c:v>
                </c:pt>
                <c:pt idx="280">
                  <c:v>0.61654135338345861</c:v>
                </c:pt>
                <c:pt idx="281">
                  <c:v>0.62030075187969924</c:v>
                </c:pt>
                <c:pt idx="282">
                  <c:v>0.62030075187969924</c:v>
                </c:pt>
                <c:pt idx="283">
                  <c:v>0.62406015037593987</c:v>
                </c:pt>
                <c:pt idx="284">
                  <c:v>0.6278195488721805</c:v>
                </c:pt>
                <c:pt idx="285">
                  <c:v>0.63533834586466165</c:v>
                </c:pt>
                <c:pt idx="286">
                  <c:v>0.63533834586466165</c:v>
                </c:pt>
                <c:pt idx="287">
                  <c:v>0.63533834586466165</c:v>
                </c:pt>
                <c:pt idx="288">
                  <c:v>0.63533834586466165</c:v>
                </c:pt>
                <c:pt idx="289">
                  <c:v>0.63909774436090228</c:v>
                </c:pt>
                <c:pt idx="290">
                  <c:v>0.63909774436090228</c:v>
                </c:pt>
                <c:pt idx="291">
                  <c:v>0.63909774436090228</c:v>
                </c:pt>
                <c:pt idx="292">
                  <c:v>0.63909774436090228</c:v>
                </c:pt>
                <c:pt idx="293">
                  <c:v>0.6428571428571429</c:v>
                </c:pt>
                <c:pt idx="294">
                  <c:v>0.65037593984962405</c:v>
                </c:pt>
                <c:pt idx="295">
                  <c:v>0.65037593984962405</c:v>
                </c:pt>
                <c:pt idx="296">
                  <c:v>0.65037593984962405</c:v>
                </c:pt>
                <c:pt idx="297">
                  <c:v>0.65413533834586468</c:v>
                </c:pt>
                <c:pt idx="298">
                  <c:v>0.65413533834586468</c:v>
                </c:pt>
                <c:pt idx="299">
                  <c:v>0.65789473684210531</c:v>
                </c:pt>
                <c:pt idx="300">
                  <c:v>0.65789473684210531</c:v>
                </c:pt>
                <c:pt idx="301">
                  <c:v>0.66165413533834583</c:v>
                </c:pt>
                <c:pt idx="302">
                  <c:v>0.66541353383458646</c:v>
                </c:pt>
                <c:pt idx="303">
                  <c:v>0.66541353383458646</c:v>
                </c:pt>
                <c:pt idx="304">
                  <c:v>0.66541353383458646</c:v>
                </c:pt>
                <c:pt idx="305">
                  <c:v>0.66917293233082709</c:v>
                </c:pt>
                <c:pt idx="306">
                  <c:v>0.66917293233082709</c:v>
                </c:pt>
                <c:pt idx="307">
                  <c:v>0.67293233082706772</c:v>
                </c:pt>
                <c:pt idx="308">
                  <c:v>0.68045112781954886</c:v>
                </c:pt>
                <c:pt idx="309">
                  <c:v>0.68045112781954886</c:v>
                </c:pt>
                <c:pt idx="310">
                  <c:v>0.68045112781954886</c:v>
                </c:pt>
                <c:pt idx="311">
                  <c:v>0.68045112781954886</c:v>
                </c:pt>
                <c:pt idx="312">
                  <c:v>0.68045112781954886</c:v>
                </c:pt>
                <c:pt idx="313">
                  <c:v>0.68421052631578949</c:v>
                </c:pt>
                <c:pt idx="314">
                  <c:v>0.68421052631578949</c:v>
                </c:pt>
                <c:pt idx="315">
                  <c:v>0.68421052631578949</c:v>
                </c:pt>
                <c:pt idx="316">
                  <c:v>0.68421052631578949</c:v>
                </c:pt>
                <c:pt idx="317">
                  <c:v>0.68421052631578949</c:v>
                </c:pt>
                <c:pt idx="318">
                  <c:v>0.68421052631578949</c:v>
                </c:pt>
                <c:pt idx="319">
                  <c:v>0.68421052631578949</c:v>
                </c:pt>
                <c:pt idx="320">
                  <c:v>0.68421052631578949</c:v>
                </c:pt>
                <c:pt idx="321">
                  <c:v>0.68796992481203012</c:v>
                </c:pt>
                <c:pt idx="322">
                  <c:v>0.68796992481203012</c:v>
                </c:pt>
                <c:pt idx="323">
                  <c:v>0.68796992481203012</c:v>
                </c:pt>
                <c:pt idx="324">
                  <c:v>0.68796992481203012</c:v>
                </c:pt>
                <c:pt idx="325">
                  <c:v>0.69172932330827064</c:v>
                </c:pt>
                <c:pt idx="326">
                  <c:v>0.69172932330827064</c:v>
                </c:pt>
                <c:pt idx="327">
                  <c:v>0.69172932330827064</c:v>
                </c:pt>
                <c:pt idx="328">
                  <c:v>0.69172932330827064</c:v>
                </c:pt>
                <c:pt idx="329">
                  <c:v>0.69172932330827064</c:v>
                </c:pt>
                <c:pt idx="330">
                  <c:v>0.69172932330827064</c:v>
                </c:pt>
                <c:pt idx="331">
                  <c:v>0.69548872180451127</c:v>
                </c:pt>
                <c:pt idx="332">
                  <c:v>0.6992481203007519</c:v>
                </c:pt>
                <c:pt idx="333">
                  <c:v>0.6992481203007519</c:v>
                </c:pt>
                <c:pt idx="334">
                  <c:v>0.6992481203007519</c:v>
                </c:pt>
                <c:pt idx="335">
                  <c:v>0.6992481203007519</c:v>
                </c:pt>
                <c:pt idx="336">
                  <c:v>0.6992481203007519</c:v>
                </c:pt>
                <c:pt idx="337">
                  <c:v>0.70300751879699253</c:v>
                </c:pt>
                <c:pt idx="338">
                  <c:v>0.70300751879699253</c:v>
                </c:pt>
                <c:pt idx="339">
                  <c:v>0.70676691729323304</c:v>
                </c:pt>
                <c:pt idx="340">
                  <c:v>0.70676691729323304</c:v>
                </c:pt>
                <c:pt idx="341">
                  <c:v>0.71052631578947367</c:v>
                </c:pt>
                <c:pt idx="342">
                  <c:v>0.7142857142857143</c:v>
                </c:pt>
                <c:pt idx="343">
                  <c:v>0.7142857142857143</c:v>
                </c:pt>
                <c:pt idx="344">
                  <c:v>0.71804511278195493</c:v>
                </c:pt>
                <c:pt idx="345">
                  <c:v>0.71804511278195493</c:v>
                </c:pt>
                <c:pt idx="346">
                  <c:v>0.71804511278195493</c:v>
                </c:pt>
                <c:pt idx="347">
                  <c:v>0.72556390977443608</c:v>
                </c:pt>
                <c:pt idx="348">
                  <c:v>0.72556390977443608</c:v>
                </c:pt>
                <c:pt idx="349">
                  <c:v>0.72556390977443608</c:v>
                </c:pt>
                <c:pt idx="350">
                  <c:v>0.72932330827067671</c:v>
                </c:pt>
                <c:pt idx="351">
                  <c:v>0.72932330827067671</c:v>
                </c:pt>
                <c:pt idx="352">
                  <c:v>0.73308270676691734</c:v>
                </c:pt>
                <c:pt idx="353">
                  <c:v>0.73308270676691734</c:v>
                </c:pt>
                <c:pt idx="354">
                  <c:v>0.73308270676691734</c:v>
                </c:pt>
                <c:pt idx="355">
                  <c:v>0.73684210526315785</c:v>
                </c:pt>
                <c:pt idx="356">
                  <c:v>0.73684210526315785</c:v>
                </c:pt>
                <c:pt idx="357">
                  <c:v>0.73684210526315785</c:v>
                </c:pt>
                <c:pt idx="358">
                  <c:v>0.74060150375939848</c:v>
                </c:pt>
                <c:pt idx="359">
                  <c:v>0.74060150375939848</c:v>
                </c:pt>
                <c:pt idx="360">
                  <c:v>0.74060150375939848</c:v>
                </c:pt>
                <c:pt idx="361">
                  <c:v>0.74060150375939848</c:v>
                </c:pt>
                <c:pt idx="362">
                  <c:v>0.74060150375939848</c:v>
                </c:pt>
                <c:pt idx="363">
                  <c:v>0.74060150375939848</c:v>
                </c:pt>
                <c:pt idx="364">
                  <c:v>0.74060150375939848</c:v>
                </c:pt>
                <c:pt idx="365">
                  <c:v>0.74060150375939848</c:v>
                </c:pt>
                <c:pt idx="366">
                  <c:v>0.74436090225563911</c:v>
                </c:pt>
                <c:pt idx="367">
                  <c:v>0.74436090225563911</c:v>
                </c:pt>
                <c:pt idx="368">
                  <c:v>0.74436090225563911</c:v>
                </c:pt>
                <c:pt idx="369">
                  <c:v>0.74436090225563911</c:v>
                </c:pt>
                <c:pt idx="370">
                  <c:v>0.75187969924812026</c:v>
                </c:pt>
                <c:pt idx="371">
                  <c:v>0.75187969924812026</c:v>
                </c:pt>
                <c:pt idx="372">
                  <c:v>0.75563909774436089</c:v>
                </c:pt>
                <c:pt idx="373">
                  <c:v>0.75563909774436089</c:v>
                </c:pt>
                <c:pt idx="374">
                  <c:v>0.75563909774436089</c:v>
                </c:pt>
                <c:pt idx="375">
                  <c:v>0.76315789473684215</c:v>
                </c:pt>
                <c:pt idx="376">
                  <c:v>0.76315789473684215</c:v>
                </c:pt>
                <c:pt idx="377">
                  <c:v>0.76315789473684215</c:v>
                </c:pt>
                <c:pt idx="378">
                  <c:v>0.77443609022556392</c:v>
                </c:pt>
                <c:pt idx="379">
                  <c:v>0.77443609022556392</c:v>
                </c:pt>
                <c:pt idx="380">
                  <c:v>0.77443609022556392</c:v>
                </c:pt>
                <c:pt idx="381">
                  <c:v>0.77443609022556392</c:v>
                </c:pt>
                <c:pt idx="382">
                  <c:v>0.77443609022556392</c:v>
                </c:pt>
                <c:pt idx="383">
                  <c:v>0.77443609022556392</c:v>
                </c:pt>
                <c:pt idx="384">
                  <c:v>0.77819548872180455</c:v>
                </c:pt>
                <c:pt idx="385">
                  <c:v>0.77819548872180455</c:v>
                </c:pt>
                <c:pt idx="386">
                  <c:v>0.77819548872180455</c:v>
                </c:pt>
                <c:pt idx="387">
                  <c:v>0.77819548872180455</c:v>
                </c:pt>
                <c:pt idx="388">
                  <c:v>0.77819548872180455</c:v>
                </c:pt>
                <c:pt idx="389">
                  <c:v>0.77819548872180455</c:v>
                </c:pt>
                <c:pt idx="390">
                  <c:v>0.77819548872180455</c:v>
                </c:pt>
                <c:pt idx="391">
                  <c:v>0.77819548872180455</c:v>
                </c:pt>
                <c:pt idx="392">
                  <c:v>0.77819548872180455</c:v>
                </c:pt>
                <c:pt idx="393">
                  <c:v>0.77819548872180455</c:v>
                </c:pt>
                <c:pt idx="394">
                  <c:v>0.7857142857142857</c:v>
                </c:pt>
                <c:pt idx="395">
                  <c:v>0.7857142857142857</c:v>
                </c:pt>
                <c:pt idx="396">
                  <c:v>0.7857142857142857</c:v>
                </c:pt>
                <c:pt idx="397">
                  <c:v>0.7857142857142857</c:v>
                </c:pt>
                <c:pt idx="398">
                  <c:v>0.7857142857142857</c:v>
                </c:pt>
                <c:pt idx="399">
                  <c:v>0.7857142857142857</c:v>
                </c:pt>
                <c:pt idx="400">
                  <c:v>0.7857142857142857</c:v>
                </c:pt>
                <c:pt idx="401">
                  <c:v>0.7857142857142857</c:v>
                </c:pt>
                <c:pt idx="402">
                  <c:v>0.7857142857142857</c:v>
                </c:pt>
                <c:pt idx="403">
                  <c:v>0.78947368421052633</c:v>
                </c:pt>
                <c:pt idx="404">
                  <c:v>0.79323308270676696</c:v>
                </c:pt>
                <c:pt idx="405">
                  <c:v>0.79323308270676696</c:v>
                </c:pt>
                <c:pt idx="406">
                  <c:v>0.79323308270676696</c:v>
                </c:pt>
                <c:pt idx="407">
                  <c:v>0.79323308270676696</c:v>
                </c:pt>
                <c:pt idx="408">
                  <c:v>0.79323308270676696</c:v>
                </c:pt>
                <c:pt idx="409">
                  <c:v>0.79323308270676696</c:v>
                </c:pt>
                <c:pt idx="410">
                  <c:v>0.79699248120300747</c:v>
                </c:pt>
                <c:pt idx="411">
                  <c:v>0.80827067669172936</c:v>
                </c:pt>
                <c:pt idx="412">
                  <c:v>0.80827067669172936</c:v>
                </c:pt>
                <c:pt idx="413">
                  <c:v>0.80827067669172936</c:v>
                </c:pt>
                <c:pt idx="414">
                  <c:v>0.80827067669172936</c:v>
                </c:pt>
                <c:pt idx="415">
                  <c:v>0.81203007518796988</c:v>
                </c:pt>
                <c:pt idx="416">
                  <c:v>0.81203007518796988</c:v>
                </c:pt>
                <c:pt idx="417">
                  <c:v>0.81203007518796988</c:v>
                </c:pt>
                <c:pt idx="418">
                  <c:v>0.81203007518796988</c:v>
                </c:pt>
                <c:pt idx="419">
                  <c:v>0.81203007518796988</c:v>
                </c:pt>
                <c:pt idx="420">
                  <c:v>0.81203007518796988</c:v>
                </c:pt>
                <c:pt idx="421">
                  <c:v>0.81578947368421051</c:v>
                </c:pt>
                <c:pt idx="422">
                  <c:v>0.81578947368421051</c:v>
                </c:pt>
                <c:pt idx="423">
                  <c:v>0.81578947368421051</c:v>
                </c:pt>
                <c:pt idx="424">
                  <c:v>0.81954887218045114</c:v>
                </c:pt>
                <c:pt idx="425">
                  <c:v>0.81954887218045114</c:v>
                </c:pt>
                <c:pt idx="426">
                  <c:v>0.81954887218045114</c:v>
                </c:pt>
                <c:pt idx="427">
                  <c:v>0.82330827067669177</c:v>
                </c:pt>
                <c:pt idx="428">
                  <c:v>0.82330827067669177</c:v>
                </c:pt>
                <c:pt idx="429">
                  <c:v>0.82330827067669177</c:v>
                </c:pt>
                <c:pt idx="430">
                  <c:v>0.82330827067669177</c:v>
                </c:pt>
                <c:pt idx="431">
                  <c:v>0.82330827067669177</c:v>
                </c:pt>
                <c:pt idx="432">
                  <c:v>0.82706766917293228</c:v>
                </c:pt>
                <c:pt idx="433">
                  <c:v>0.83082706766917291</c:v>
                </c:pt>
                <c:pt idx="434">
                  <c:v>0.83082706766917291</c:v>
                </c:pt>
                <c:pt idx="435">
                  <c:v>0.83082706766917291</c:v>
                </c:pt>
                <c:pt idx="436">
                  <c:v>0.83082706766917291</c:v>
                </c:pt>
                <c:pt idx="437">
                  <c:v>0.83082706766917291</c:v>
                </c:pt>
                <c:pt idx="438">
                  <c:v>0.83458646616541354</c:v>
                </c:pt>
                <c:pt idx="439">
                  <c:v>0.83834586466165417</c:v>
                </c:pt>
                <c:pt idx="440">
                  <c:v>0.83834586466165417</c:v>
                </c:pt>
                <c:pt idx="441">
                  <c:v>0.83834586466165417</c:v>
                </c:pt>
                <c:pt idx="442">
                  <c:v>0.84210526315789469</c:v>
                </c:pt>
                <c:pt idx="443">
                  <c:v>0.84586466165413532</c:v>
                </c:pt>
                <c:pt idx="444">
                  <c:v>0.84586466165413532</c:v>
                </c:pt>
                <c:pt idx="445">
                  <c:v>0.84586466165413532</c:v>
                </c:pt>
                <c:pt idx="446">
                  <c:v>0.84586466165413532</c:v>
                </c:pt>
                <c:pt idx="447">
                  <c:v>0.84586466165413532</c:v>
                </c:pt>
                <c:pt idx="448">
                  <c:v>0.84586466165413532</c:v>
                </c:pt>
                <c:pt idx="449">
                  <c:v>0.84586466165413532</c:v>
                </c:pt>
                <c:pt idx="450">
                  <c:v>0.84962406015037595</c:v>
                </c:pt>
                <c:pt idx="451">
                  <c:v>0.85338345864661658</c:v>
                </c:pt>
                <c:pt idx="452">
                  <c:v>0.86090225563909772</c:v>
                </c:pt>
                <c:pt idx="453">
                  <c:v>0.86090225563909772</c:v>
                </c:pt>
                <c:pt idx="454">
                  <c:v>0.86466165413533835</c:v>
                </c:pt>
                <c:pt idx="455">
                  <c:v>0.86466165413533835</c:v>
                </c:pt>
                <c:pt idx="456">
                  <c:v>0.86466165413533835</c:v>
                </c:pt>
                <c:pt idx="457">
                  <c:v>0.86466165413533835</c:v>
                </c:pt>
                <c:pt idx="458">
                  <c:v>0.86842105263157898</c:v>
                </c:pt>
                <c:pt idx="459">
                  <c:v>0.86842105263157898</c:v>
                </c:pt>
                <c:pt idx="460">
                  <c:v>0.87593984962406013</c:v>
                </c:pt>
                <c:pt idx="461">
                  <c:v>0.87593984962406013</c:v>
                </c:pt>
                <c:pt idx="462">
                  <c:v>0.87593984962406013</c:v>
                </c:pt>
                <c:pt idx="463">
                  <c:v>0.87969924812030076</c:v>
                </c:pt>
                <c:pt idx="464">
                  <c:v>0.87969924812030076</c:v>
                </c:pt>
                <c:pt idx="465">
                  <c:v>0.88345864661654139</c:v>
                </c:pt>
                <c:pt idx="466">
                  <c:v>0.88345864661654139</c:v>
                </c:pt>
                <c:pt idx="467">
                  <c:v>0.88345864661654139</c:v>
                </c:pt>
                <c:pt idx="468">
                  <c:v>0.88721804511278191</c:v>
                </c:pt>
                <c:pt idx="469">
                  <c:v>0.88721804511278191</c:v>
                </c:pt>
                <c:pt idx="470">
                  <c:v>0.89097744360902253</c:v>
                </c:pt>
                <c:pt idx="471">
                  <c:v>0.89473684210526316</c:v>
                </c:pt>
                <c:pt idx="472">
                  <c:v>0.89473684210526316</c:v>
                </c:pt>
                <c:pt idx="473">
                  <c:v>0.89849624060150379</c:v>
                </c:pt>
                <c:pt idx="474">
                  <c:v>0.89849624060150379</c:v>
                </c:pt>
                <c:pt idx="475">
                  <c:v>0.89849624060150379</c:v>
                </c:pt>
                <c:pt idx="476">
                  <c:v>0.89849624060150379</c:v>
                </c:pt>
                <c:pt idx="477">
                  <c:v>0.89849624060150379</c:v>
                </c:pt>
                <c:pt idx="478">
                  <c:v>0.89849624060150379</c:v>
                </c:pt>
                <c:pt idx="479">
                  <c:v>0.89849624060150379</c:v>
                </c:pt>
                <c:pt idx="480">
                  <c:v>0.89849624060150379</c:v>
                </c:pt>
                <c:pt idx="481">
                  <c:v>0.89849624060150379</c:v>
                </c:pt>
                <c:pt idx="482">
                  <c:v>0.89849624060150379</c:v>
                </c:pt>
                <c:pt idx="483">
                  <c:v>0.90225563909774431</c:v>
                </c:pt>
                <c:pt idx="484">
                  <c:v>0.90225563909774431</c:v>
                </c:pt>
                <c:pt idx="485">
                  <c:v>0.90601503759398494</c:v>
                </c:pt>
                <c:pt idx="486">
                  <c:v>0.90601503759398494</c:v>
                </c:pt>
                <c:pt idx="487">
                  <c:v>0.90601503759398494</c:v>
                </c:pt>
                <c:pt idx="488">
                  <c:v>0.90977443609022557</c:v>
                </c:pt>
                <c:pt idx="489">
                  <c:v>0.90977443609022557</c:v>
                </c:pt>
                <c:pt idx="490">
                  <c:v>0.9135338345864662</c:v>
                </c:pt>
                <c:pt idx="491">
                  <c:v>0.9135338345864662</c:v>
                </c:pt>
                <c:pt idx="492">
                  <c:v>0.91729323308270672</c:v>
                </c:pt>
                <c:pt idx="493">
                  <c:v>0.91729323308270672</c:v>
                </c:pt>
                <c:pt idx="494">
                  <c:v>0.91729323308270672</c:v>
                </c:pt>
                <c:pt idx="495">
                  <c:v>0.91729323308270672</c:v>
                </c:pt>
                <c:pt idx="496">
                  <c:v>0.91729323308270672</c:v>
                </c:pt>
                <c:pt idx="497">
                  <c:v>0.92105263157894735</c:v>
                </c:pt>
                <c:pt idx="498">
                  <c:v>0.92105263157894735</c:v>
                </c:pt>
                <c:pt idx="499">
                  <c:v>0.92105263157894735</c:v>
                </c:pt>
                <c:pt idx="500">
                  <c:v>0.92105263157894735</c:v>
                </c:pt>
                <c:pt idx="501">
                  <c:v>0.92105263157894735</c:v>
                </c:pt>
                <c:pt idx="502">
                  <c:v>0.92105263157894735</c:v>
                </c:pt>
                <c:pt idx="503">
                  <c:v>0.92105263157894735</c:v>
                </c:pt>
                <c:pt idx="504">
                  <c:v>0.92105263157894735</c:v>
                </c:pt>
                <c:pt idx="505">
                  <c:v>0.92105263157894735</c:v>
                </c:pt>
                <c:pt idx="506">
                  <c:v>0.92105263157894735</c:v>
                </c:pt>
                <c:pt idx="507">
                  <c:v>0.92105263157894735</c:v>
                </c:pt>
                <c:pt idx="508">
                  <c:v>0.92481203007518797</c:v>
                </c:pt>
                <c:pt idx="509">
                  <c:v>0.92481203007518797</c:v>
                </c:pt>
                <c:pt idx="510">
                  <c:v>0.92481203007518797</c:v>
                </c:pt>
                <c:pt idx="511">
                  <c:v>0.9285714285714286</c:v>
                </c:pt>
                <c:pt idx="512">
                  <c:v>0.9285714285714286</c:v>
                </c:pt>
                <c:pt idx="513">
                  <c:v>0.9285714285714286</c:v>
                </c:pt>
                <c:pt idx="514">
                  <c:v>0.9285714285714286</c:v>
                </c:pt>
                <c:pt idx="515">
                  <c:v>0.9285714285714286</c:v>
                </c:pt>
                <c:pt idx="516">
                  <c:v>0.93233082706766912</c:v>
                </c:pt>
                <c:pt idx="517">
                  <c:v>0.93609022556390975</c:v>
                </c:pt>
                <c:pt idx="518">
                  <c:v>0.93609022556390975</c:v>
                </c:pt>
                <c:pt idx="519">
                  <c:v>0.93984962406015038</c:v>
                </c:pt>
                <c:pt idx="520">
                  <c:v>0.93984962406015038</c:v>
                </c:pt>
                <c:pt idx="521">
                  <c:v>0.93984962406015038</c:v>
                </c:pt>
                <c:pt idx="522">
                  <c:v>0.93984962406015038</c:v>
                </c:pt>
                <c:pt idx="523">
                  <c:v>0.94360902255639101</c:v>
                </c:pt>
                <c:pt idx="524">
                  <c:v>0.94360902255639101</c:v>
                </c:pt>
                <c:pt idx="525">
                  <c:v>0.94736842105263153</c:v>
                </c:pt>
                <c:pt idx="526">
                  <c:v>0.94736842105263153</c:v>
                </c:pt>
                <c:pt idx="527">
                  <c:v>0.94736842105263153</c:v>
                </c:pt>
                <c:pt idx="528">
                  <c:v>0.94736842105263153</c:v>
                </c:pt>
                <c:pt idx="529">
                  <c:v>0.94736842105263153</c:v>
                </c:pt>
                <c:pt idx="530">
                  <c:v>0.94736842105263153</c:v>
                </c:pt>
                <c:pt idx="531">
                  <c:v>0.94736842105263153</c:v>
                </c:pt>
                <c:pt idx="532">
                  <c:v>0.94736842105263153</c:v>
                </c:pt>
                <c:pt idx="533">
                  <c:v>0.94736842105263153</c:v>
                </c:pt>
                <c:pt idx="534">
                  <c:v>0.94736842105263153</c:v>
                </c:pt>
                <c:pt idx="535">
                  <c:v>0.95112781954887216</c:v>
                </c:pt>
                <c:pt idx="536">
                  <c:v>0.95112781954887216</c:v>
                </c:pt>
                <c:pt idx="537">
                  <c:v>0.95112781954887216</c:v>
                </c:pt>
                <c:pt idx="538">
                  <c:v>0.95864661654135341</c:v>
                </c:pt>
                <c:pt idx="539">
                  <c:v>0.95864661654135341</c:v>
                </c:pt>
                <c:pt idx="540">
                  <c:v>0.95864661654135341</c:v>
                </c:pt>
                <c:pt idx="541">
                  <c:v>0.95864661654135341</c:v>
                </c:pt>
                <c:pt idx="542">
                  <c:v>0.95864661654135341</c:v>
                </c:pt>
                <c:pt idx="543">
                  <c:v>0.95864661654135341</c:v>
                </c:pt>
                <c:pt idx="544">
                  <c:v>0.95864661654135341</c:v>
                </c:pt>
                <c:pt idx="545">
                  <c:v>0.95864661654135341</c:v>
                </c:pt>
                <c:pt idx="546">
                  <c:v>0.95864661654135341</c:v>
                </c:pt>
                <c:pt idx="547">
                  <c:v>0.96240601503759393</c:v>
                </c:pt>
                <c:pt idx="548">
                  <c:v>0.96240601503759393</c:v>
                </c:pt>
                <c:pt idx="549">
                  <c:v>0.96240601503759393</c:v>
                </c:pt>
                <c:pt idx="550">
                  <c:v>0.96240601503759393</c:v>
                </c:pt>
                <c:pt idx="551">
                  <c:v>0.96240601503759393</c:v>
                </c:pt>
                <c:pt idx="552">
                  <c:v>0.96240601503759393</c:v>
                </c:pt>
                <c:pt idx="553">
                  <c:v>0.96240601503759393</c:v>
                </c:pt>
                <c:pt idx="554">
                  <c:v>0.96240601503759393</c:v>
                </c:pt>
                <c:pt idx="555">
                  <c:v>0.96616541353383456</c:v>
                </c:pt>
                <c:pt idx="556">
                  <c:v>0.96992481203007519</c:v>
                </c:pt>
                <c:pt idx="557">
                  <c:v>0.96992481203007519</c:v>
                </c:pt>
                <c:pt idx="558">
                  <c:v>0.96992481203007519</c:v>
                </c:pt>
                <c:pt idx="559">
                  <c:v>0.96992481203007519</c:v>
                </c:pt>
                <c:pt idx="560">
                  <c:v>0.97368421052631582</c:v>
                </c:pt>
                <c:pt idx="561">
                  <c:v>0.97744360902255634</c:v>
                </c:pt>
                <c:pt idx="562">
                  <c:v>0.97744360902255634</c:v>
                </c:pt>
                <c:pt idx="563">
                  <c:v>0.97744360902255634</c:v>
                </c:pt>
                <c:pt idx="564">
                  <c:v>0.97744360902255634</c:v>
                </c:pt>
                <c:pt idx="565">
                  <c:v>0.97744360902255634</c:v>
                </c:pt>
                <c:pt idx="566">
                  <c:v>0.97744360902255634</c:v>
                </c:pt>
                <c:pt idx="567">
                  <c:v>0.97744360902255634</c:v>
                </c:pt>
                <c:pt idx="568">
                  <c:v>0.97744360902255634</c:v>
                </c:pt>
                <c:pt idx="569">
                  <c:v>0.98120300751879697</c:v>
                </c:pt>
                <c:pt idx="570">
                  <c:v>0.98496240601503759</c:v>
                </c:pt>
                <c:pt idx="571">
                  <c:v>0.98496240601503759</c:v>
                </c:pt>
                <c:pt idx="572">
                  <c:v>0.98496240601503759</c:v>
                </c:pt>
                <c:pt idx="573">
                  <c:v>0.98496240601503759</c:v>
                </c:pt>
                <c:pt idx="574">
                  <c:v>0.98496240601503759</c:v>
                </c:pt>
                <c:pt idx="575">
                  <c:v>0.98496240601503759</c:v>
                </c:pt>
                <c:pt idx="576">
                  <c:v>0.98496240601503759</c:v>
                </c:pt>
                <c:pt idx="577">
                  <c:v>0.98496240601503759</c:v>
                </c:pt>
                <c:pt idx="578">
                  <c:v>0.98496240601503759</c:v>
                </c:pt>
                <c:pt idx="579">
                  <c:v>0.98496240601503759</c:v>
                </c:pt>
                <c:pt idx="580">
                  <c:v>0.98872180451127822</c:v>
                </c:pt>
                <c:pt idx="581">
                  <c:v>0.98872180451127822</c:v>
                </c:pt>
                <c:pt idx="582">
                  <c:v>0.98872180451127822</c:v>
                </c:pt>
                <c:pt idx="583">
                  <c:v>0.99248120300751874</c:v>
                </c:pt>
                <c:pt idx="584">
                  <c:v>0.99248120300751874</c:v>
                </c:pt>
                <c:pt idx="585">
                  <c:v>0.99248120300751874</c:v>
                </c:pt>
                <c:pt idx="586">
                  <c:v>0.99624060150375937</c:v>
                </c:pt>
                <c:pt idx="587">
                  <c:v>0.99624060150375937</c:v>
                </c:pt>
                <c:pt idx="588">
                  <c:v>0.99624060150375937</c:v>
                </c:pt>
                <c:pt idx="589">
                  <c:v>0.99624060150375937</c:v>
                </c:pt>
                <c:pt idx="590">
                  <c:v>0.99624060150375937</c:v>
                </c:pt>
                <c:pt idx="591">
                  <c:v>0.99624060150375937</c:v>
                </c:pt>
                <c:pt idx="592">
                  <c:v>0.99624060150375937</c:v>
                </c:pt>
                <c:pt idx="593">
                  <c:v>0.99624060150375937</c:v>
                </c:pt>
                <c:pt idx="594">
                  <c:v>0.99624060150375937</c:v>
                </c:pt>
                <c:pt idx="595">
                  <c:v>0.99624060150375937</c:v>
                </c:pt>
                <c:pt idx="596">
                  <c:v>0.99624060150375937</c:v>
                </c:pt>
                <c:pt idx="597">
                  <c:v>0.99624060150375937</c:v>
                </c:pt>
                <c:pt idx="598">
                  <c:v>0.99624060150375937</c:v>
                </c:pt>
                <c:pt idx="599">
                  <c:v>0.99624060150375937</c:v>
                </c:pt>
                <c:pt idx="600">
                  <c:v>0.99624060150375937</c:v>
                </c:pt>
                <c:pt idx="601">
                  <c:v>0.99624060150375937</c:v>
                </c:pt>
                <c:pt idx="602">
                  <c:v>0.99624060150375937</c:v>
                </c:pt>
                <c:pt idx="603">
                  <c:v>0.99624060150375937</c:v>
                </c:pt>
                <c:pt idx="604">
                  <c:v>0.99624060150375937</c:v>
                </c:pt>
                <c:pt idx="605">
                  <c:v>0.99624060150375937</c:v>
                </c:pt>
                <c:pt idx="606">
                  <c:v>0.99624060150375937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C-4A6A-BA91-A6E5B6EA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65752"/>
        <c:axId val="820968632"/>
      </c:scatterChart>
      <c:valAx>
        <c:axId val="8209657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 (1-Specificity)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8632"/>
        <c:crosses val="autoZero"/>
        <c:crossBetween val="midCat"/>
      </c:valAx>
      <c:valAx>
        <c:axId val="8209686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  <a:r>
                  <a:rPr lang="en-US" baseline="0"/>
                  <a:t> (Sensitivity)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5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Curve - Ensemble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Training!$M$2:$M$1258</c:f>
              <c:numCache>
                <c:formatCode>0.00%</c:formatCode>
                <c:ptCount val="1257"/>
                <c:pt idx="0">
                  <c:v>7.955449482895784E-4</c:v>
                </c:pt>
                <c:pt idx="1">
                  <c:v>1.5910898965791568E-3</c:v>
                </c:pt>
                <c:pt idx="2">
                  <c:v>2.3866348448687352E-3</c:v>
                </c:pt>
                <c:pt idx="3">
                  <c:v>3.1821797931583136E-3</c:v>
                </c:pt>
                <c:pt idx="4">
                  <c:v>3.977724741447892E-3</c:v>
                </c:pt>
                <c:pt idx="5">
                  <c:v>4.7732696897374704E-3</c:v>
                </c:pt>
                <c:pt idx="6">
                  <c:v>5.5688146380270488E-3</c:v>
                </c:pt>
                <c:pt idx="7">
                  <c:v>6.3643595863166272E-3</c:v>
                </c:pt>
                <c:pt idx="8">
                  <c:v>7.1599045346062056E-3</c:v>
                </c:pt>
                <c:pt idx="9">
                  <c:v>7.955449482895784E-3</c:v>
                </c:pt>
                <c:pt idx="10">
                  <c:v>8.7509944311853615E-3</c:v>
                </c:pt>
                <c:pt idx="11">
                  <c:v>9.5465393794749408E-3</c:v>
                </c:pt>
                <c:pt idx="12">
                  <c:v>1.0342084327764518E-2</c:v>
                </c:pt>
                <c:pt idx="13">
                  <c:v>1.1137629276054098E-2</c:v>
                </c:pt>
                <c:pt idx="14">
                  <c:v>1.1933174224343675E-2</c:v>
                </c:pt>
                <c:pt idx="15">
                  <c:v>1.2728719172633254E-2</c:v>
                </c:pt>
                <c:pt idx="16">
                  <c:v>1.3524264120922832E-2</c:v>
                </c:pt>
                <c:pt idx="17">
                  <c:v>1.4319809069212411E-2</c:v>
                </c:pt>
                <c:pt idx="18">
                  <c:v>1.5115354017501989E-2</c:v>
                </c:pt>
                <c:pt idx="19">
                  <c:v>1.5910898965791568E-2</c:v>
                </c:pt>
                <c:pt idx="20">
                  <c:v>1.6706443914081145E-2</c:v>
                </c:pt>
                <c:pt idx="21">
                  <c:v>1.7501988862370723E-2</c:v>
                </c:pt>
                <c:pt idx="22">
                  <c:v>1.8297533810660304E-2</c:v>
                </c:pt>
                <c:pt idx="23">
                  <c:v>1.9093078758949882E-2</c:v>
                </c:pt>
                <c:pt idx="24">
                  <c:v>1.9888623707239459E-2</c:v>
                </c:pt>
                <c:pt idx="25">
                  <c:v>2.0684168655529037E-2</c:v>
                </c:pt>
                <c:pt idx="26">
                  <c:v>2.1479713603818614E-2</c:v>
                </c:pt>
                <c:pt idx="27">
                  <c:v>2.2275258552108195E-2</c:v>
                </c:pt>
                <c:pt idx="28">
                  <c:v>2.3070803500397773E-2</c:v>
                </c:pt>
                <c:pt idx="29">
                  <c:v>2.386634844868735E-2</c:v>
                </c:pt>
                <c:pt idx="30">
                  <c:v>2.4661893396976928E-2</c:v>
                </c:pt>
                <c:pt idx="31">
                  <c:v>2.5457438345266509E-2</c:v>
                </c:pt>
                <c:pt idx="32">
                  <c:v>2.6252983293556086E-2</c:v>
                </c:pt>
                <c:pt idx="33">
                  <c:v>2.7048528241845664E-2</c:v>
                </c:pt>
                <c:pt idx="34">
                  <c:v>2.7844073190135241E-2</c:v>
                </c:pt>
                <c:pt idx="35">
                  <c:v>2.8639618138424822E-2</c:v>
                </c:pt>
                <c:pt idx="36">
                  <c:v>2.94351630867144E-2</c:v>
                </c:pt>
                <c:pt idx="37">
                  <c:v>3.0230708035003977E-2</c:v>
                </c:pt>
                <c:pt idx="38">
                  <c:v>3.1026252983293555E-2</c:v>
                </c:pt>
                <c:pt idx="39">
                  <c:v>3.1821797931583136E-2</c:v>
                </c:pt>
                <c:pt idx="40">
                  <c:v>3.261734287987271E-2</c:v>
                </c:pt>
                <c:pt idx="41">
                  <c:v>3.3412887828162291E-2</c:v>
                </c:pt>
                <c:pt idx="42">
                  <c:v>3.4208432776451872E-2</c:v>
                </c:pt>
                <c:pt idx="43">
                  <c:v>3.5003977724741446E-2</c:v>
                </c:pt>
                <c:pt idx="44">
                  <c:v>3.5799522673031027E-2</c:v>
                </c:pt>
                <c:pt idx="45">
                  <c:v>3.6595067621320608E-2</c:v>
                </c:pt>
                <c:pt idx="46">
                  <c:v>3.7390612569610182E-2</c:v>
                </c:pt>
                <c:pt idx="47">
                  <c:v>3.8186157517899763E-2</c:v>
                </c:pt>
                <c:pt idx="48">
                  <c:v>3.8981702466189337E-2</c:v>
                </c:pt>
                <c:pt idx="49">
                  <c:v>3.9777247414478918E-2</c:v>
                </c:pt>
                <c:pt idx="50">
                  <c:v>4.0572792362768499E-2</c:v>
                </c:pt>
                <c:pt idx="51">
                  <c:v>4.1368337311058073E-2</c:v>
                </c:pt>
                <c:pt idx="52">
                  <c:v>4.2163882259347654E-2</c:v>
                </c:pt>
                <c:pt idx="53">
                  <c:v>4.2959427207637228E-2</c:v>
                </c:pt>
                <c:pt idx="54">
                  <c:v>4.3754972155926809E-2</c:v>
                </c:pt>
                <c:pt idx="55">
                  <c:v>4.455051710421639E-2</c:v>
                </c:pt>
                <c:pt idx="56">
                  <c:v>4.5346062052505964E-2</c:v>
                </c:pt>
                <c:pt idx="57">
                  <c:v>4.6141607000795545E-2</c:v>
                </c:pt>
                <c:pt idx="58">
                  <c:v>4.6937151949085126E-2</c:v>
                </c:pt>
                <c:pt idx="59">
                  <c:v>4.77326968973747E-2</c:v>
                </c:pt>
                <c:pt idx="60">
                  <c:v>4.8528241845664281E-2</c:v>
                </c:pt>
                <c:pt idx="61">
                  <c:v>4.9323786793953855E-2</c:v>
                </c:pt>
                <c:pt idx="62">
                  <c:v>5.0119331742243436E-2</c:v>
                </c:pt>
                <c:pt idx="63">
                  <c:v>5.0914876690533017E-2</c:v>
                </c:pt>
                <c:pt idx="64">
                  <c:v>5.1710421638822592E-2</c:v>
                </c:pt>
                <c:pt idx="65">
                  <c:v>5.2505966587112173E-2</c:v>
                </c:pt>
                <c:pt idx="66">
                  <c:v>5.3301511535401754E-2</c:v>
                </c:pt>
                <c:pt idx="67">
                  <c:v>5.4097056483691328E-2</c:v>
                </c:pt>
                <c:pt idx="68">
                  <c:v>5.4892601431980909E-2</c:v>
                </c:pt>
                <c:pt idx="69">
                  <c:v>5.5688146380270483E-2</c:v>
                </c:pt>
                <c:pt idx="70">
                  <c:v>5.6483691328560064E-2</c:v>
                </c:pt>
                <c:pt idx="71">
                  <c:v>5.7279236276849645E-2</c:v>
                </c:pt>
                <c:pt idx="72">
                  <c:v>5.8074781225139219E-2</c:v>
                </c:pt>
                <c:pt idx="73">
                  <c:v>5.88703261734288E-2</c:v>
                </c:pt>
                <c:pt idx="74">
                  <c:v>5.9665871121718374E-2</c:v>
                </c:pt>
                <c:pt idx="75">
                  <c:v>6.0461416070007955E-2</c:v>
                </c:pt>
                <c:pt idx="76">
                  <c:v>6.1256961018297536E-2</c:v>
                </c:pt>
                <c:pt idx="77">
                  <c:v>6.205250596658711E-2</c:v>
                </c:pt>
                <c:pt idx="78">
                  <c:v>6.2848050914876691E-2</c:v>
                </c:pt>
                <c:pt idx="79">
                  <c:v>6.3643595863166272E-2</c:v>
                </c:pt>
                <c:pt idx="80">
                  <c:v>6.4439140811455853E-2</c:v>
                </c:pt>
                <c:pt idx="81">
                  <c:v>6.523468575974542E-2</c:v>
                </c:pt>
                <c:pt idx="82">
                  <c:v>6.6030230708035001E-2</c:v>
                </c:pt>
                <c:pt idx="83">
                  <c:v>6.6825775656324582E-2</c:v>
                </c:pt>
                <c:pt idx="84">
                  <c:v>6.7621320604614163E-2</c:v>
                </c:pt>
                <c:pt idx="85">
                  <c:v>6.8416865552903744E-2</c:v>
                </c:pt>
                <c:pt idx="86">
                  <c:v>6.9212410501193311E-2</c:v>
                </c:pt>
                <c:pt idx="87">
                  <c:v>7.0007955449482892E-2</c:v>
                </c:pt>
                <c:pt idx="88">
                  <c:v>7.0803500397772473E-2</c:v>
                </c:pt>
                <c:pt idx="89">
                  <c:v>7.1599045346062054E-2</c:v>
                </c:pt>
                <c:pt idx="90">
                  <c:v>7.2394590294351635E-2</c:v>
                </c:pt>
                <c:pt idx="91">
                  <c:v>7.3190135242641216E-2</c:v>
                </c:pt>
                <c:pt idx="92">
                  <c:v>7.3985680190930783E-2</c:v>
                </c:pt>
                <c:pt idx="93">
                  <c:v>7.4781225139220364E-2</c:v>
                </c:pt>
                <c:pt idx="94">
                  <c:v>7.5576770087509945E-2</c:v>
                </c:pt>
                <c:pt idx="95">
                  <c:v>7.6372315035799526E-2</c:v>
                </c:pt>
                <c:pt idx="96">
                  <c:v>7.7167859984089107E-2</c:v>
                </c:pt>
                <c:pt idx="97">
                  <c:v>7.7963404932378674E-2</c:v>
                </c:pt>
                <c:pt idx="98">
                  <c:v>7.8758949880668255E-2</c:v>
                </c:pt>
                <c:pt idx="99">
                  <c:v>7.9554494828957836E-2</c:v>
                </c:pt>
                <c:pt idx="100">
                  <c:v>8.0350039777247417E-2</c:v>
                </c:pt>
                <c:pt idx="101">
                  <c:v>8.1145584725536998E-2</c:v>
                </c:pt>
                <c:pt idx="102">
                  <c:v>8.1941129673826565E-2</c:v>
                </c:pt>
                <c:pt idx="103">
                  <c:v>8.2736674622116146E-2</c:v>
                </c:pt>
                <c:pt idx="104">
                  <c:v>8.3532219570405727E-2</c:v>
                </c:pt>
                <c:pt idx="105">
                  <c:v>8.4327764518695308E-2</c:v>
                </c:pt>
                <c:pt idx="106">
                  <c:v>8.5123309466984889E-2</c:v>
                </c:pt>
                <c:pt idx="107">
                  <c:v>8.5918854415274457E-2</c:v>
                </c:pt>
                <c:pt idx="108">
                  <c:v>8.6714399363564038E-2</c:v>
                </c:pt>
                <c:pt idx="109">
                  <c:v>8.7509944311853619E-2</c:v>
                </c:pt>
                <c:pt idx="110">
                  <c:v>8.83054892601432E-2</c:v>
                </c:pt>
                <c:pt idx="111">
                  <c:v>8.9101034208432781E-2</c:v>
                </c:pt>
                <c:pt idx="112">
                  <c:v>8.9896579156722362E-2</c:v>
                </c:pt>
                <c:pt idx="113">
                  <c:v>9.0692124105011929E-2</c:v>
                </c:pt>
                <c:pt idx="114">
                  <c:v>9.148766905330151E-2</c:v>
                </c:pt>
                <c:pt idx="115">
                  <c:v>9.2283214001591091E-2</c:v>
                </c:pt>
                <c:pt idx="116">
                  <c:v>9.3078758949880672E-2</c:v>
                </c:pt>
                <c:pt idx="117">
                  <c:v>9.3874303898170253E-2</c:v>
                </c:pt>
                <c:pt idx="118">
                  <c:v>9.466984884645982E-2</c:v>
                </c:pt>
                <c:pt idx="119">
                  <c:v>9.5465393794749401E-2</c:v>
                </c:pt>
                <c:pt idx="120">
                  <c:v>9.6260938743038982E-2</c:v>
                </c:pt>
                <c:pt idx="121">
                  <c:v>9.7056483691328563E-2</c:v>
                </c:pt>
                <c:pt idx="122">
                  <c:v>9.7852028639618144E-2</c:v>
                </c:pt>
                <c:pt idx="123">
                  <c:v>9.8647573587907711E-2</c:v>
                </c:pt>
                <c:pt idx="124">
                  <c:v>9.9443118536197292E-2</c:v>
                </c:pt>
                <c:pt idx="125">
                  <c:v>0.10023866348448687</c:v>
                </c:pt>
                <c:pt idx="126">
                  <c:v>0.10103420843277645</c:v>
                </c:pt>
                <c:pt idx="127">
                  <c:v>0.10182975338106603</c:v>
                </c:pt>
                <c:pt idx="128">
                  <c:v>0.1026252983293556</c:v>
                </c:pt>
                <c:pt idx="129">
                  <c:v>0.10342084327764518</c:v>
                </c:pt>
                <c:pt idx="130">
                  <c:v>0.10421638822593476</c:v>
                </c:pt>
                <c:pt idx="131">
                  <c:v>0.10501193317422435</c:v>
                </c:pt>
                <c:pt idx="132">
                  <c:v>0.10580747812251393</c:v>
                </c:pt>
                <c:pt idx="133">
                  <c:v>0.10660302307080351</c:v>
                </c:pt>
                <c:pt idx="134">
                  <c:v>0.10739856801909307</c:v>
                </c:pt>
                <c:pt idx="135">
                  <c:v>0.10819411296738266</c:v>
                </c:pt>
                <c:pt idx="136">
                  <c:v>0.10898965791567224</c:v>
                </c:pt>
                <c:pt idx="137">
                  <c:v>0.10978520286396182</c:v>
                </c:pt>
                <c:pt idx="138">
                  <c:v>0.1105807478122514</c:v>
                </c:pt>
                <c:pt idx="139">
                  <c:v>0.11137629276054097</c:v>
                </c:pt>
                <c:pt idx="140">
                  <c:v>0.11217183770883055</c:v>
                </c:pt>
                <c:pt idx="141">
                  <c:v>0.11296738265712013</c:v>
                </c:pt>
                <c:pt idx="142">
                  <c:v>0.11376292760540971</c:v>
                </c:pt>
                <c:pt idx="143">
                  <c:v>0.11455847255369929</c:v>
                </c:pt>
                <c:pt idx="144">
                  <c:v>0.11535401750198886</c:v>
                </c:pt>
                <c:pt idx="145">
                  <c:v>0.11614956245027844</c:v>
                </c:pt>
                <c:pt idx="146">
                  <c:v>0.11694510739856802</c:v>
                </c:pt>
                <c:pt idx="147">
                  <c:v>0.1177406523468576</c:v>
                </c:pt>
                <c:pt idx="148">
                  <c:v>0.11853619729514718</c:v>
                </c:pt>
                <c:pt idx="149">
                  <c:v>0.11933174224343675</c:v>
                </c:pt>
                <c:pt idx="150">
                  <c:v>0.12012728719172633</c:v>
                </c:pt>
                <c:pt idx="151">
                  <c:v>0.12092283214001591</c:v>
                </c:pt>
                <c:pt idx="152">
                  <c:v>0.12171837708830549</c:v>
                </c:pt>
                <c:pt idx="153">
                  <c:v>0.12251392203659507</c:v>
                </c:pt>
                <c:pt idx="154">
                  <c:v>0.12330946698488465</c:v>
                </c:pt>
                <c:pt idx="155">
                  <c:v>0.12410501193317422</c:v>
                </c:pt>
                <c:pt idx="156">
                  <c:v>0.1249005568814638</c:v>
                </c:pt>
                <c:pt idx="157">
                  <c:v>0.12569610182975338</c:v>
                </c:pt>
                <c:pt idx="158">
                  <c:v>0.12649164677804295</c:v>
                </c:pt>
                <c:pt idx="159">
                  <c:v>0.12728719172633254</c:v>
                </c:pt>
                <c:pt idx="160">
                  <c:v>0.12808273667462211</c:v>
                </c:pt>
                <c:pt idx="161">
                  <c:v>0.12887828162291171</c:v>
                </c:pt>
                <c:pt idx="162">
                  <c:v>0.12967382657120127</c:v>
                </c:pt>
                <c:pt idx="163">
                  <c:v>0.13046937151949084</c:v>
                </c:pt>
                <c:pt idx="164">
                  <c:v>0.13126491646778043</c:v>
                </c:pt>
                <c:pt idx="165">
                  <c:v>0.13206046141607</c:v>
                </c:pt>
                <c:pt idx="166">
                  <c:v>0.1328560063643596</c:v>
                </c:pt>
                <c:pt idx="167">
                  <c:v>0.13365155131264916</c:v>
                </c:pt>
                <c:pt idx="168">
                  <c:v>0.13444709626093873</c:v>
                </c:pt>
                <c:pt idx="169">
                  <c:v>0.13524264120922833</c:v>
                </c:pt>
                <c:pt idx="170">
                  <c:v>0.13603818615751789</c:v>
                </c:pt>
                <c:pt idx="171">
                  <c:v>0.13683373110580749</c:v>
                </c:pt>
                <c:pt idx="172">
                  <c:v>0.13762927605409706</c:v>
                </c:pt>
                <c:pt idx="173">
                  <c:v>0.13842482100238662</c:v>
                </c:pt>
                <c:pt idx="174">
                  <c:v>0.13922036595067622</c:v>
                </c:pt>
                <c:pt idx="175">
                  <c:v>0.14001591089896578</c:v>
                </c:pt>
                <c:pt idx="176">
                  <c:v>0.14081145584725538</c:v>
                </c:pt>
                <c:pt idx="177">
                  <c:v>0.14160700079554495</c:v>
                </c:pt>
                <c:pt idx="178">
                  <c:v>0.14240254574383451</c:v>
                </c:pt>
                <c:pt idx="179">
                  <c:v>0.14319809069212411</c:v>
                </c:pt>
                <c:pt idx="180">
                  <c:v>0.14399363564041368</c:v>
                </c:pt>
                <c:pt idx="181">
                  <c:v>0.14478918058870327</c:v>
                </c:pt>
                <c:pt idx="182">
                  <c:v>0.14558472553699284</c:v>
                </c:pt>
                <c:pt idx="183">
                  <c:v>0.14638027048528243</c:v>
                </c:pt>
                <c:pt idx="184">
                  <c:v>0.147175815433572</c:v>
                </c:pt>
                <c:pt idx="185">
                  <c:v>0.14797136038186157</c:v>
                </c:pt>
                <c:pt idx="186">
                  <c:v>0.14876690533015116</c:v>
                </c:pt>
                <c:pt idx="187">
                  <c:v>0.14956245027844073</c:v>
                </c:pt>
                <c:pt idx="188">
                  <c:v>0.15035799522673032</c:v>
                </c:pt>
                <c:pt idx="189">
                  <c:v>0.15115354017501989</c:v>
                </c:pt>
                <c:pt idx="190">
                  <c:v>0.15194908512330946</c:v>
                </c:pt>
                <c:pt idx="191">
                  <c:v>0.15274463007159905</c:v>
                </c:pt>
                <c:pt idx="192">
                  <c:v>0.15354017501988862</c:v>
                </c:pt>
                <c:pt idx="193">
                  <c:v>0.15433571996817821</c:v>
                </c:pt>
                <c:pt idx="194">
                  <c:v>0.15513126491646778</c:v>
                </c:pt>
                <c:pt idx="195">
                  <c:v>0.15592680986475735</c:v>
                </c:pt>
                <c:pt idx="196">
                  <c:v>0.15672235481304694</c:v>
                </c:pt>
                <c:pt idx="197">
                  <c:v>0.15751789976133651</c:v>
                </c:pt>
                <c:pt idx="198">
                  <c:v>0.15831344470962611</c:v>
                </c:pt>
                <c:pt idx="199">
                  <c:v>0.15910898965791567</c:v>
                </c:pt>
                <c:pt idx="200">
                  <c:v>0.15990453460620524</c:v>
                </c:pt>
                <c:pt idx="201">
                  <c:v>0.16070007955449483</c:v>
                </c:pt>
                <c:pt idx="202">
                  <c:v>0.1614956245027844</c:v>
                </c:pt>
                <c:pt idx="203">
                  <c:v>0.162291169451074</c:v>
                </c:pt>
                <c:pt idx="204">
                  <c:v>0.16308671439936356</c:v>
                </c:pt>
                <c:pt idx="205">
                  <c:v>0.16388225934765313</c:v>
                </c:pt>
                <c:pt idx="206">
                  <c:v>0.16467780429594273</c:v>
                </c:pt>
                <c:pt idx="207">
                  <c:v>0.16547334924423229</c:v>
                </c:pt>
                <c:pt idx="208">
                  <c:v>0.16626889419252189</c:v>
                </c:pt>
                <c:pt idx="209">
                  <c:v>0.16706443914081145</c:v>
                </c:pt>
                <c:pt idx="210">
                  <c:v>0.16785998408910102</c:v>
                </c:pt>
                <c:pt idx="211">
                  <c:v>0.16865552903739062</c:v>
                </c:pt>
                <c:pt idx="212">
                  <c:v>0.16945107398568018</c:v>
                </c:pt>
                <c:pt idx="213">
                  <c:v>0.17024661893396978</c:v>
                </c:pt>
                <c:pt idx="214">
                  <c:v>0.17104216388225935</c:v>
                </c:pt>
                <c:pt idx="215">
                  <c:v>0.17183770883054891</c:v>
                </c:pt>
                <c:pt idx="216">
                  <c:v>0.17263325377883851</c:v>
                </c:pt>
                <c:pt idx="217">
                  <c:v>0.17342879872712808</c:v>
                </c:pt>
                <c:pt idx="218">
                  <c:v>0.17422434367541767</c:v>
                </c:pt>
                <c:pt idx="219">
                  <c:v>0.17501988862370724</c:v>
                </c:pt>
                <c:pt idx="220">
                  <c:v>0.1758154335719968</c:v>
                </c:pt>
                <c:pt idx="221">
                  <c:v>0.1766109785202864</c:v>
                </c:pt>
                <c:pt idx="222">
                  <c:v>0.17740652346857597</c:v>
                </c:pt>
                <c:pt idx="223">
                  <c:v>0.17820206841686556</c:v>
                </c:pt>
                <c:pt idx="224">
                  <c:v>0.17899761336515513</c:v>
                </c:pt>
                <c:pt idx="225">
                  <c:v>0.17979315831344472</c:v>
                </c:pt>
                <c:pt idx="226">
                  <c:v>0.18058870326173429</c:v>
                </c:pt>
                <c:pt idx="227">
                  <c:v>0.18138424821002386</c:v>
                </c:pt>
                <c:pt idx="228">
                  <c:v>0.18217979315831345</c:v>
                </c:pt>
                <c:pt idx="229">
                  <c:v>0.18297533810660302</c:v>
                </c:pt>
                <c:pt idx="230">
                  <c:v>0.18377088305489261</c:v>
                </c:pt>
                <c:pt idx="231">
                  <c:v>0.18456642800318218</c:v>
                </c:pt>
                <c:pt idx="232">
                  <c:v>0.18536197295147175</c:v>
                </c:pt>
                <c:pt idx="233">
                  <c:v>0.18615751789976134</c:v>
                </c:pt>
                <c:pt idx="234">
                  <c:v>0.18695306284805091</c:v>
                </c:pt>
                <c:pt idx="235">
                  <c:v>0.18774860779634051</c:v>
                </c:pt>
                <c:pt idx="236">
                  <c:v>0.18854415274463007</c:v>
                </c:pt>
                <c:pt idx="237">
                  <c:v>0.18933969769291964</c:v>
                </c:pt>
                <c:pt idx="238">
                  <c:v>0.19013524264120923</c:v>
                </c:pt>
                <c:pt idx="239">
                  <c:v>0.1909307875894988</c:v>
                </c:pt>
                <c:pt idx="240">
                  <c:v>0.1917263325377884</c:v>
                </c:pt>
                <c:pt idx="241">
                  <c:v>0.19252187748607796</c:v>
                </c:pt>
                <c:pt idx="242">
                  <c:v>0.19331742243436753</c:v>
                </c:pt>
                <c:pt idx="243">
                  <c:v>0.19411296738265713</c:v>
                </c:pt>
                <c:pt idx="244">
                  <c:v>0.19490851233094669</c:v>
                </c:pt>
                <c:pt idx="245">
                  <c:v>0.19570405727923629</c:v>
                </c:pt>
                <c:pt idx="246">
                  <c:v>0.19649960222752585</c:v>
                </c:pt>
                <c:pt idx="247">
                  <c:v>0.19729514717581542</c:v>
                </c:pt>
                <c:pt idx="248">
                  <c:v>0.19809069212410502</c:v>
                </c:pt>
                <c:pt idx="249">
                  <c:v>0.19888623707239458</c:v>
                </c:pt>
                <c:pt idx="250">
                  <c:v>0.19968178202068418</c:v>
                </c:pt>
                <c:pt idx="251">
                  <c:v>0.20047732696897375</c:v>
                </c:pt>
                <c:pt idx="252">
                  <c:v>0.20127287191726331</c:v>
                </c:pt>
                <c:pt idx="253">
                  <c:v>0.20206841686555291</c:v>
                </c:pt>
                <c:pt idx="254">
                  <c:v>0.20286396181384247</c:v>
                </c:pt>
                <c:pt idx="255">
                  <c:v>0.20365950676213207</c:v>
                </c:pt>
                <c:pt idx="256">
                  <c:v>0.20445505171042164</c:v>
                </c:pt>
                <c:pt idx="257">
                  <c:v>0.2052505966587112</c:v>
                </c:pt>
                <c:pt idx="258">
                  <c:v>0.2060461416070008</c:v>
                </c:pt>
                <c:pt idx="259">
                  <c:v>0.20684168655529037</c:v>
                </c:pt>
                <c:pt idx="260">
                  <c:v>0.20763723150357996</c:v>
                </c:pt>
                <c:pt idx="261">
                  <c:v>0.20843277645186953</c:v>
                </c:pt>
                <c:pt idx="262">
                  <c:v>0.2092283214001591</c:v>
                </c:pt>
                <c:pt idx="263">
                  <c:v>0.21002386634844869</c:v>
                </c:pt>
                <c:pt idx="264">
                  <c:v>0.21081941129673826</c:v>
                </c:pt>
                <c:pt idx="265">
                  <c:v>0.21161495624502785</c:v>
                </c:pt>
                <c:pt idx="266">
                  <c:v>0.21241050119331742</c:v>
                </c:pt>
                <c:pt idx="267">
                  <c:v>0.21320604614160701</c:v>
                </c:pt>
                <c:pt idx="268">
                  <c:v>0.21400159108989658</c:v>
                </c:pt>
                <c:pt idx="269">
                  <c:v>0.21479713603818615</c:v>
                </c:pt>
                <c:pt idx="270">
                  <c:v>0.21559268098647574</c:v>
                </c:pt>
                <c:pt idx="271">
                  <c:v>0.21638822593476531</c:v>
                </c:pt>
                <c:pt idx="272">
                  <c:v>0.21718377088305491</c:v>
                </c:pt>
                <c:pt idx="273">
                  <c:v>0.21797931583134447</c:v>
                </c:pt>
                <c:pt idx="274">
                  <c:v>0.21877486077963404</c:v>
                </c:pt>
                <c:pt idx="275">
                  <c:v>0.21957040572792363</c:v>
                </c:pt>
                <c:pt idx="276">
                  <c:v>0.2203659506762132</c:v>
                </c:pt>
                <c:pt idx="277">
                  <c:v>0.2211614956245028</c:v>
                </c:pt>
                <c:pt idx="278">
                  <c:v>0.22195704057279236</c:v>
                </c:pt>
                <c:pt idx="279">
                  <c:v>0.22275258552108193</c:v>
                </c:pt>
                <c:pt idx="280">
                  <c:v>0.22354813046937153</c:v>
                </c:pt>
                <c:pt idx="281">
                  <c:v>0.22434367541766109</c:v>
                </c:pt>
                <c:pt idx="282">
                  <c:v>0.22513922036595069</c:v>
                </c:pt>
                <c:pt idx="283">
                  <c:v>0.22593476531424025</c:v>
                </c:pt>
                <c:pt idx="284">
                  <c:v>0.22673031026252982</c:v>
                </c:pt>
                <c:pt idx="285">
                  <c:v>0.22752585521081942</c:v>
                </c:pt>
                <c:pt idx="286">
                  <c:v>0.22832140015910898</c:v>
                </c:pt>
                <c:pt idx="287">
                  <c:v>0.22911694510739858</c:v>
                </c:pt>
                <c:pt idx="288">
                  <c:v>0.22991249005568815</c:v>
                </c:pt>
                <c:pt idx="289">
                  <c:v>0.23070803500397771</c:v>
                </c:pt>
                <c:pt idx="290">
                  <c:v>0.23150357995226731</c:v>
                </c:pt>
                <c:pt idx="291">
                  <c:v>0.23229912490055687</c:v>
                </c:pt>
                <c:pt idx="292">
                  <c:v>0.23309466984884647</c:v>
                </c:pt>
                <c:pt idx="293">
                  <c:v>0.23389021479713604</c:v>
                </c:pt>
                <c:pt idx="294">
                  <c:v>0.2346857597454256</c:v>
                </c:pt>
                <c:pt idx="295">
                  <c:v>0.2354813046937152</c:v>
                </c:pt>
                <c:pt idx="296">
                  <c:v>0.23627684964200477</c:v>
                </c:pt>
                <c:pt idx="297">
                  <c:v>0.23707239459029436</c:v>
                </c:pt>
                <c:pt idx="298">
                  <c:v>0.23786793953858393</c:v>
                </c:pt>
                <c:pt idx="299">
                  <c:v>0.2386634844868735</c:v>
                </c:pt>
                <c:pt idx="300">
                  <c:v>0.23945902943516309</c:v>
                </c:pt>
                <c:pt idx="301">
                  <c:v>0.24025457438345266</c:v>
                </c:pt>
                <c:pt idx="302">
                  <c:v>0.24105011933174225</c:v>
                </c:pt>
                <c:pt idx="303">
                  <c:v>0.24184566428003182</c:v>
                </c:pt>
                <c:pt idx="304">
                  <c:v>0.24264120922832141</c:v>
                </c:pt>
                <c:pt idx="305">
                  <c:v>0.24343675417661098</c:v>
                </c:pt>
                <c:pt idx="306">
                  <c:v>0.24423229912490055</c:v>
                </c:pt>
                <c:pt idx="307">
                  <c:v>0.24502784407319014</c:v>
                </c:pt>
                <c:pt idx="308">
                  <c:v>0.24582338902147971</c:v>
                </c:pt>
                <c:pt idx="309">
                  <c:v>0.24661893396976931</c:v>
                </c:pt>
                <c:pt idx="310">
                  <c:v>0.24741447891805887</c:v>
                </c:pt>
                <c:pt idx="311">
                  <c:v>0.24821002386634844</c:v>
                </c:pt>
                <c:pt idx="312">
                  <c:v>0.24900556881463803</c:v>
                </c:pt>
                <c:pt idx="313">
                  <c:v>0.2498011137629276</c:v>
                </c:pt>
                <c:pt idx="314">
                  <c:v>0.25059665871121717</c:v>
                </c:pt>
                <c:pt idx="315">
                  <c:v>0.25139220365950676</c:v>
                </c:pt>
                <c:pt idx="316">
                  <c:v>0.25218774860779636</c:v>
                </c:pt>
                <c:pt idx="317">
                  <c:v>0.2529832935560859</c:v>
                </c:pt>
                <c:pt idx="318">
                  <c:v>0.25377883850437549</c:v>
                </c:pt>
                <c:pt idx="319">
                  <c:v>0.25457438345266509</c:v>
                </c:pt>
                <c:pt idx="320">
                  <c:v>0.25536992840095463</c:v>
                </c:pt>
                <c:pt idx="321">
                  <c:v>0.25616547334924422</c:v>
                </c:pt>
                <c:pt idx="322">
                  <c:v>0.25696101829753382</c:v>
                </c:pt>
                <c:pt idx="323">
                  <c:v>0.25775656324582341</c:v>
                </c:pt>
                <c:pt idx="324">
                  <c:v>0.25855210819411295</c:v>
                </c:pt>
                <c:pt idx="325">
                  <c:v>0.25934765314240255</c:v>
                </c:pt>
                <c:pt idx="326">
                  <c:v>0.26014319809069214</c:v>
                </c:pt>
                <c:pt idx="327">
                  <c:v>0.26093874303898168</c:v>
                </c:pt>
                <c:pt idx="328">
                  <c:v>0.26173428798727127</c:v>
                </c:pt>
                <c:pt idx="329">
                  <c:v>0.26252983293556087</c:v>
                </c:pt>
                <c:pt idx="330">
                  <c:v>0.26332537788385046</c:v>
                </c:pt>
                <c:pt idx="331">
                  <c:v>0.26412092283214</c:v>
                </c:pt>
                <c:pt idx="332">
                  <c:v>0.2649164677804296</c:v>
                </c:pt>
                <c:pt idx="333">
                  <c:v>0.26571201272871919</c:v>
                </c:pt>
                <c:pt idx="334">
                  <c:v>0.26650755767700873</c:v>
                </c:pt>
                <c:pt idx="335">
                  <c:v>0.26730310262529833</c:v>
                </c:pt>
                <c:pt idx="336">
                  <c:v>0.26809864757358792</c:v>
                </c:pt>
                <c:pt idx="337">
                  <c:v>0.26889419252187746</c:v>
                </c:pt>
                <c:pt idx="338">
                  <c:v>0.26968973747016706</c:v>
                </c:pt>
                <c:pt idx="339">
                  <c:v>0.27048528241845665</c:v>
                </c:pt>
                <c:pt idx="340">
                  <c:v>0.27128082736674625</c:v>
                </c:pt>
                <c:pt idx="341">
                  <c:v>0.27207637231503579</c:v>
                </c:pt>
                <c:pt idx="342">
                  <c:v>0.27287191726332538</c:v>
                </c:pt>
                <c:pt idx="343">
                  <c:v>0.27366746221161498</c:v>
                </c:pt>
                <c:pt idx="344">
                  <c:v>0.27446300715990452</c:v>
                </c:pt>
                <c:pt idx="345">
                  <c:v>0.27525855210819411</c:v>
                </c:pt>
                <c:pt idx="346">
                  <c:v>0.2760540970564837</c:v>
                </c:pt>
                <c:pt idx="347">
                  <c:v>0.27684964200477324</c:v>
                </c:pt>
                <c:pt idx="348">
                  <c:v>0.27764518695306284</c:v>
                </c:pt>
                <c:pt idx="349">
                  <c:v>0.27844073190135243</c:v>
                </c:pt>
                <c:pt idx="350">
                  <c:v>0.27923627684964203</c:v>
                </c:pt>
                <c:pt idx="351">
                  <c:v>0.28003182179793157</c:v>
                </c:pt>
                <c:pt idx="352">
                  <c:v>0.28082736674622116</c:v>
                </c:pt>
                <c:pt idx="353">
                  <c:v>0.28162291169451076</c:v>
                </c:pt>
                <c:pt idx="354">
                  <c:v>0.2824184566428003</c:v>
                </c:pt>
                <c:pt idx="355">
                  <c:v>0.28321400159108989</c:v>
                </c:pt>
                <c:pt idx="356">
                  <c:v>0.28400954653937949</c:v>
                </c:pt>
                <c:pt idx="357">
                  <c:v>0.28480509148766903</c:v>
                </c:pt>
                <c:pt idx="358">
                  <c:v>0.28560063643595862</c:v>
                </c:pt>
                <c:pt idx="359">
                  <c:v>0.28639618138424822</c:v>
                </c:pt>
                <c:pt idx="360">
                  <c:v>0.28719172633253781</c:v>
                </c:pt>
                <c:pt idx="361">
                  <c:v>0.28798727128082735</c:v>
                </c:pt>
                <c:pt idx="362">
                  <c:v>0.28878281622911695</c:v>
                </c:pt>
                <c:pt idx="363">
                  <c:v>0.28957836117740654</c:v>
                </c:pt>
                <c:pt idx="364">
                  <c:v>0.29037390612569608</c:v>
                </c:pt>
                <c:pt idx="365">
                  <c:v>0.29116945107398567</c:v>
                </c:pt>
                <c:pt idx="366">
                  <c:v>0.29196499602227527</c:v>
                </c:pt>
                <c:pt idx="367">
                  <c:v>0.29276054097056486</c:v>
                </c:pt>
                <c:pt idx="368">
                  <c:v>0.2935560859188544</c:v>
                </c:pt>
                <c:pt idx="369">
                  <c:v>0.294351630867144</c:v>
                </c:pt>
                <c:pt idx="370">
                  <c:v>0.29514717581543359</c:v>
                </c:pt>
                <c:pt idx="371">
                  <c:v>0.29594272076372313</c:v>
                </c:pt>
                <c:pt idx="372">
                  <c:v>0.29673826571201273</c:v>
                </c:pt>
                <c:pt idx="373">
                  <c:v>0.29753381066030232</c:v>
                </c:pt>
                <c:pt idx="374">
                  <c:v>0.29832935560859186</c:v>
                </c:pt>
                <c:pt idx="375">
                  <c:v>0.29912490055688146</c:v>
                </c:pt>
                <c:pt idx="376">
                  <c:v>0.29992044550517105</c:v>
                </c:pt>
                <c:pt idx="377">
                  <c:v>0.30071599045346065</c:v>
                </c:pt>
                <c:pt idx="378">
                  <c:v>0.30151153540175019</c:v>
                </c:pt>
                <c:pt idx="379">
                  <c:v>0.30230708035003978</c:v>
                </c:pt>
                <c:pt idx="380">
                  <c:v>0.30310262529832938</c:v>
                </c:pt>
                <c:pt idx="381">
                  <c:v>0.30389817024661891</c:v>
                </c:pt>
                <c:pt idx="382">
                  <c:v>0.30469371519490851</c:v>
                </c:pt>
                <c:pt idx="383">
                  <c:v>0.3054892601431981</c:v>
                </c:pt>
                <c:pt idx="384">
                  <c:v>0.30628480509148764</c:v>
                </c:pt>
                <c:pt idx="385">
                  <c:v>0.30708035003977724</c:v>
                </c:pt>
                <c:pt idx="386">
                  <c:v>0.30787589498806683</c:v>
                </c:pt>
                <c:pt idx="387">
                  <c:v>0.30867143993635643</c:v>
                </c:pt>
                <c:pt idx="388">
                  <c:v>0.30946698488464597</c:v>
                </c:pt>
                <c:pt idx="389">
                  <c:v>0.31026252983293556</c:v>
                </c:pt>
                <c:pt idx="390">
                  <c:v>0.31105807478122516</c:v>
                </c:pt>
                <c:pt idx="391">
                  <c:v>0.3118536197295147</c:v>
                </c:pt>
                <c:pt idx="392">
                  <c:v>0.31264916467780429</c:v>
                </c:pt>
                <c:pt idx="393">
                  <c:v>0.31344470962609389</c:v>
                </c:pt>
                <c:pt idx="394">
                  <c:v>0.31424025457438343</c:v>
                </c:pt>
                <c:pt idx="395">
                  <c:v>0.31503579952267302</c:v>
                </c:pt>
                <c:pt idx="396">
                  <c:v>0.31583134447096262</c:v>
                </c:pt>
                <c:pt idx="397">
                  <c:v>0.31662688941925221</c:v>
                </c:pt>
                <c:pt idx="398">
                  <c:v>0.31742243436754175</c:v>
                </c:pt>
                <c:pt idx="399">
                  <c:v>0.31821797931583135</c:v>
                </c:pt>
                <c:pt idx="400">
                  <c:v>0.31901352426412094</c:v>
                </c:pt>
                <c:pt idx="401">
                  <c:v>0.31980906921241048</c:v>
                </c:pt>
                <c:pt idx="402">
                  <c:v>0.32060461416070007</c:v>
                </c:pt>
                <c:pt idx="403">
                  <c:v>0.32140015910898967</c:v>
                </c:pt>
                <c:pt idx="404">
                  <c:v>0.32219570405727921</c:v>
                </c:pt>
                <c:pt idx="405">
                  <c:v>0.3229912490055688</c:v>
                </c:pt>
                <c:pt idx="406">
                  <c:v>0.3237867939538584</c:v>
                </c:pt>
                <c:pt idx="407">
                  <c:v>0.32458233890214799</c:v>
                </c:pt>
                <c:pt idx="408">
                  <c:v>0.32537788385043753</c:v>
                </c:pt>
                <c:pt idx="409">
                  <c:v>0.32617342879872713</c:v>
                </c:pt>
                <c:pt idx="410">
                  <c:v>0.32696897374701672</c:v>
                </c:pt>
                <c:pt idx="411">
                  <c:v>0.32776451869530626</c:v>
                </c:pt>
                <c:pt idx="412">
                  <c:v>0.32856006364359586</c:v>
                </c:pt>
                <c:pt idx="413">
                  <c:v>0.32935560859188545</c:v>
                </c:pt>
                <c:pt idx="414">
                  <c:v>0.33015115354017505</c:v>
                </c:pt>
                <c:pt idx="415">
                  <c:v>0.33094669848846459</c:v>
                </c:pt>
                <c:pt idx="416">
                  <c:v>0.33174224343675418</c:v>
                </c:pt>
                <c:pt idx="417">
                  <c:v>0.33253778838504378</c:v>
                </c:pt>
                <c:pt idx="418">
                  <c:v>0.33333333333333331</c:v>
                </c:pt>
                <c:pt idx="419">
                  <c:v>0.33412887828162291</c:v>
                </c:pt>
                <c:pt idx="420">
                  <c:v>0.3349244232299125</c:v>
                </c:pt>
                <c:pt idx="421">
                  <c:v>0.33571996817820204</c:v>
                </c:pt>
                <c:pt idx="422">
                  <c:v>0.33651551312649164</c:v>
                </c:pt>
                <c:pt idx="423">
                  <c:v>0.33731105807478123</c:v>
                </c:pt>
                <c:pt idx="424">
                  <c:v>0.33810660302307083</c:v>
                </c:pt>
                <c:pt idx="425">
                  <c:v>0.33890214797136037</c:v>
                </c:pt>
                <c:pt idx="426">
                  <c:v>0.33969769291964996</c:v>
                </c:pt>
                <c:pt idx="427">
                  <c:v>0.34049323786793956</c:v>
                </c:pt>
                <c:pt idx="428">
                  <c:v>0.3412887828162291</c:v>
                </c:pt>
                <c:pt idx="429">
                  <c:v>0.34208432776451869</c:v>
                </c:pt>
                <c:pt idx="430">
                  <c:v>0.34287987271280829</c:v>
                </c:pt>
                <c:pt idx="431">
                  <c:v>0.34367541766109783</c:v>
                </c:pt>
                <c:pt idx="432">
                  <c:v>0.34447096260938742</c:v>
                </c:pt>
                <c:pt idx="433">
                  <c:v>0.34526650755767702</c:v>
                </c:pt>
                <c:pt idx="434">
                  <c:v>0.34606205250596661</c:v>
                </c:pt>
                <c:pt idx="435">
                  <c:v>0.34685759745425615</c:v>
                </c:pt>
                <c:pt idx="436">
                  <c:v>0.34765314240254575</c:v>
                </c:pt>
                <c:pt idx="437">
                  <c:v>0.34844868735083534</c:v>
                </c:pt>
                <c:pt idx="438">
                  <c:v>0.34924423229912488</c:v>
                </c:pt>
                <c:pt idx="439">
                  <c:v>0.35003977724741447</c:v>
                </c:pt>
                <c:pt idx="440">
                  <c:v>0.35083532219570407</c:v>
                </c:pt>
                <c:pt idx="441">
                  <c:v>0.35163086714399361</c:v>
                </c:pt>
                <c:pt idx="442">
                  <c:v>0.3524264120922832</c:v>
                </c:pt>
                <c:pt idx="443">
                  <c:v>0.3532219570405728</c:v>
                </c:pt>
                <c:pt idx="444">
                  <c:v>0.35401750198886239</c:v>
                </c:pt>
                <c:pt idx="445">
                  <c:v>0.35481304693715193</c:v>
                </c:pt>
                <c:pt idx="446">
                  <c:v>0.35560859188544153</c:v>
                </c:pt>
                <c:pt idx="447">
                  <c:v>0.35640413683373112</c:v>
                </c:pt>
                <c:pt idx="448">
                  <c:v>0.35719968178202066</c:v>
                </c:pt>
                <c:pt idx="449">
                  <c:v>0.35799522673031026</c:v>
                </c:pt>
                <c:pt idx="450">
                  <c:v>0.35879077167859985</c:v>
                </c:pt>
                <c:pt idx="451">
                  <c:v>0.35958631662688945</c:v>
                </c:pt>
                <c:pt idx="452">
                  <c:v>0.36038186157517899</c:v>
                </c:pt>
                <c:pt idx="453">
                  <c:v>0.36117740652346858</c:v>
                </c:pt>
                <c:pt idx="454">
                  <c:v>0.36197295147175818</c:v>
                </c:pt>
                <c:pt idx="455">
                  <c:v>0.36276849642004771</c:v>
                </c:pt>
                <c:pt idx="456">
                  <c:v>0.36356404136833731</c:v>
                </c:pt>
                <c:pt idx="457">
                  <c:v>0.3643595863166269</c:v>
                </c:pt>
                <c:pt idx="458">
                  <c:v>0.36515513126491644</c:v>
                </c:pt>
                <c:pt idx="459">
                  <c:v>0.36595067621320604</c:v>
                </c:pt>
                <c:pt idx="460">
                  <c:v>0.36674622116149563</c:v>
                </c:pt>
                <c:pt idx="461">
                  <c:v>0.36754176610978523</c:v>
                </c:pt>
                <c:pt idx="462">
                  <c:v>0.36833731105807477</c:v>
                </c:pt>
                <c:pt idx="463">
                  <c:v>0.36913285600636436</c:v>
                </c:pt>
                <c:pt idx="464">
                  <c:v>0.36992840095465396</c:v>
                </c:pt>
                <c:pt idx="465">
                  <c:v>0.3707239459029435</c:v>
                </c:pt>
                <c:pt idx="466">
                  <c:v>0.37151949085123309</c:v>
                </c:pt>
                <c:pt idx="467">
                  <c:v>0.37231503579952269</c:v>
                </c:pt>
                <c:pt idx="468">
                  <c:v>0.37311058074781223</c:v>
                </c:pt>
                <c:pt idx="469">
                  <c:v>0.37390612569610182</c:v>
                </c:pt>
                <c:pt idx="470">
                  <c:v>0.37470167064439142</c:v>
                </c:pt>
                <c:pt idx="471">
                  <c:v>0.37549721559268101</c:v>
                </c:pt>
                <c:pt idx="472">
                  <c:v>0.37629276054097055</c:v>
                </c:pt>
                <c:pt idx="473">
                  <c:v>0.37708830548926014</c:v>
                </c:pt>
                <c:pt idx="474">
                  <c:v>0.37788385043754974</c:v>
                </c:pt>
                <c:pt idx="475">
                  <c:v>0.37867939538583928</c:v>
                </c:pt>
                <c:pt idx="476">
                  <c:v>0.37947494033412887</c:v>
                </c:pt>
                <c:pt idx="477">
                  <c:v>0.38027048528241847</c:v>
                </c:pt>
                <c:pt idx="478">
                  <c:v>0.38106603023070801</c:v>
                </c:pt>
                <c:pt idx="479">
                  <c:v>0.3818615751789976</c:v>
                </c:pt>
                <c:pt idx="480">
                  <c:v>0.3826571201272872</c:v>
                </c:pt>
                <c:pt idx="481">
                  <c:v>0.38345266507557679</c:v>
                </c:pt>
                <c:pt idx="482">
                  <c:v>0.38424821002386633</c:v>
                </c:pt>
                <c:pt idx="483">
                  <c:v>0.38504375497215593</c:v>
                </c:pt>
                <c:pt idx="484">
                  <c:v>0.38583929992044552</c:v>
                </c:pt>
                <c:pt idx="485">
                  <c:v>0.38663484486873506</c:v>
                </c:pt>
                <c:pt idx="486">
                  <c:v>0.38743038981702466</c:v>
                </c:pt>
                <c:pt idx="487">
                  <c:v>0.38822593476531425</c:v>
                </c:pt>
                <c:pt idx="488">
                  <c:v>0.38902147971360385</c:v>
                </c:pt>
                <c:pt idx="489">
                  <c:v>0.38981702466189339</c:v>
                </c:pt>
                <c:pt idx="490">
                  <c:v>0.39061256961018298</c:v>
                </c:pt>
                <c:pt idx="491">
                  <c:v>0.39140811455847258</c:v>
                </c:pt>
                <c:pt idx="492">
                  <c:v>0.39220365950676211</c:v>
                </c:pt>
                <c:pt idx="493">
                  <c:v>0.39299920445505171</c:v>
                </c:pt>
                <c:pt idx="494">
                  <c:v>0.3937947494033413</c:v>
                </c:pt>
                <c:pt idx="495">
                  <c:v>0.39459029435163084</c:v>
                </c:pt>
                <c:pt idx="496">
                  <c:v>0.39538583929992044</c:v>
                </c:pt>
                <c:pt idx="497">
                  <c:v>0.39618138424821003</c:v>
                </c:pt>
                <c:pt idx="498">
                  <c:v>0.39697692919649963</c:v>
                </c:pt>
                <c:pt idx="499">
                  <c:v>0.39777247414478917</c:v>
                </c:pt>
                <c:pt idx="500">
                  <c:v>0.39856801909307876</c:v>
                </c:pt>
                <c:pt idx="501">
                  <c:v>0.39936356404136836</c:v>
                </c:pt>
                <c:pt idx="502">
                  <c:v>0.4001591089896579</c:v>
                </c:pt>
                <c:pt idx="503">
                  <c:v>0.40095465393794749</c:v>
                </c:pt>
                <c:pt idx="504">
                  <c:v>0.40175019888623709</c:v>
                </c:pt>
                <c:pt idx="505">
                  <c:v>0.40254574383452663</c:v>
                </c:pt>
                <c:pt idx="506">
                  <c:v>0.40334128878281622</c:v>
                </c:pt>
                <c:pt idx="507">
                  <c:v>0.40413683373110582</c:v>
                </c:pt>
                <c:pt idx="508">
                  <c:v>0.40493237867939541</c:v>
                </c:pt>
                <c:pt idx="509">
                  <c:v>0.40572792362768495</c:v>
                </c:pt>
                <c:pt idx="510">
                  <c:v>0.40652346857597454</c:v>
                </c:pt>
                <c:pt idx="511">
                  <c:v>0.40731901352426414</c:v>
                </c:pt>
                <c:pt idx="512">
                  <c:v>0.40811455847255368</c:v>
                </c:pt>
                <c:pt idx="513">
                  <c:v>0.40891010342084327</c:v>
                </c:pt>
                <c:pt idx="514">
                  <c:v>0.40970564836913287</c:v>
                </c:pt>
                <c:pt idx="515">
                  <c:v>0.41050119331742241</c:v>
                </c:pt>
                <c:pt idx="516">
                  <c:v>0.411296738265712</c:v>
                </c:pt>
                <c:pt idx="517">
                  <c:v>0.4120922832140016</c:v>
                </c:pt>
                <c:pt idx="518">
                  <c:v>0.41288782816229119</c:v>
                </c:pt>
                <c:pt idx="519">
                  <c:v>0.41368337311058073</c:v>
                </c:pt>
                <c:pt idx="520">
                  <c:v>0.41447891805887033</c:v>
                </c:pt>
                <c:pt idx="521">
                  <c:v>0.41527446300715992</c:v>
                </c:pt>
                <c:pt idx="522">
                  <c:v>0.41607000795544946</c:v>
                </c:pt>
                <c:pt idx="523">
                  <c:v>0.41686555290373906</c:v>
                </c:pt>
                <c:pt idx="524">
                  <c:v>0.41766109785202865</c:v>
                </c:pt>
                <c:pt idx="525">
                  <c:v>0.41845664280031819</c:v>
                </c:pt>
                <c:pt idx="526">
                  <c:v>0.41925218774860779</c:v>
                </c:pt>
                <c:pt idx="527">
                  <c:v>0.42004773269689738</c:v>
                </c:pt>
                <c:pt idx="528">
                  <c:v>0.42084327764518698</c:v>
                </c:pt>
                <c:pt idx="529">
                  <c:v>0.42163882259347651</c:v>
                </c:pt>
                <c:pt idx="530">
                  <c:v>0.42243436754176611</c:v>
                </c:pt>
                <c:pt idx="531">
                  <c:v>0.4232299124900557</c:v>
                </c:pt>
                <c:pt idx="532">
                  <c:v>0.42402545743834524</c:v>
                </c:pt>
                <c:pt idx="533">
                  <c:v>0.42482100238663484</c:v>
                </c:pt>
                <c:pt idx="534">
                  <c:v>0.42561654733492443</c:v>
                </c:pt>
                <c:pt idx="535">
                  <c:v>0.42641209228321403</c:v>
                </c:pt>
                <c:pt idx="536">
                  <c:v>0.42720763723150357</c:v>
                </c:pt>
                <c:pt idx="537">
                  <c:v>0.42800318217979316</c:v>
                </c:pt>
                <c:pt idx="538">
                  <c:v>0.42879872712808276</c:v>
                </c:pt>
                <c:pt idx="539">
                  <c:v>0.4295942720763723</c:v>
                </c:pt>
                <c:pt idx="540">
                  <c:v>0.43038981702466189</c:v>
                </c:pt>
                <c:pt idx="541">
                  <c:v>0.43118536197295149</c:v>
                </c:pt>
                <c:pt idx="542">
                  <c:v>0.43198090692124103</c:v>
                </c:pt>
                <c:pt idx="543">
                  <c:v>0.43277645186953062</c:v>
                </c:pt>
                <c:pt idx="544">
                  <c:v>0.43357199681782022</c:v>
                </c:pt>
                <c:pt idx="545">
                  <c:v>0.43436754176610981</c:v>
                </c:pt>
                <c:pt idx="546">
                  <c:v>0.43516308671439935</c:v>
                </c:pt>
                <c:pt idx="547">
                  <c:v>0.43595863166268894</c:v>
                </c:pt>
                <c:pt idx="548">
                  <c:v>0.43675417661097854</c:v>
                </c:pt>
                <c:pt idx="549">
                  <c:v>0.43754972155926808</c:v>
                </c:pt>
                <c:pt idx="550">
                  <c:v>0.43834526650755767</c:v>
                </c:pt>
                <c:pt idx="551">
                  <c:v>0.43914081145584727</c:v>
                </c:pt>
                <c:pt idx="552">
                  <c:v>0.43993635640413681</c:v>
                </c:pt>
                <c:pt idx="553">
                  <c:v>0.4407319013524264</c:v>
                </c:pt>
                <c:pt idx="554">
                  <c:v>0.441527446300716</c:v>
                </c:pt>
                <c:pt idx="555">
                  <c:v>0.44232299124900559</c:v>
                </c:pt>
                <c:pt idx="556">
                  <c:v>0.44311853619729513</c:v>
                </c:pt>
                <c:pt idx="557">
                  <c:v>0.44391408114558473</c:v>
                </c:pt>
                <c:pt idx="558">
                  <c:v>0.44470962609387432</c:v>
                </c:pt>
                <c:pt idx="559">
                  <c:v>0.44550517104216386</c:v>
                </c:pt>
                <c:pt idx="560">
                  <c:v>0.44630071599045346</c:v>
                </c:pt>
                <c:pt idx="561">
                  <c:v>0.44709626093874305</c:v>
                </c:pt>
                <c:pt idx="562">
                  <c:v>0.44789180588703259</c:v>
                </c:pt>
                <c:pt idx="563">
                  <c:v>0.44868735083532219</c:v>
                </c:pt>
                <c:pt idx="564">
                  <c:v>0.44948289578361178</c:v>
                </c:pt>
                <c:pt idx="565">
                  <c:v>0.45027844073190137</c:v>
                </c:pt>
                <c:pt idx="566">
                  <c:v>0.45107398568019091</c:v>
                </c:pt>
                <c:pt idx="567">
                  <c:v>0.45186953062848051</c:v>
                </c:pt>
                <c:pt idx="568">
                  <c:v>0.4526650755767701</c:v>
                </c:pt>
                <c:pt idx="569">
                  <c:v>0.45346062052505964</c:v>
                </c:pt>
                <c:pt idx="570">
                  <c:v>0.45425616547334924</c:v>
                </c:pt>
                <c:pt idx="571">
                  <c:v>0.45505171042163883</c:v>
                </c:pt>
                <c:pt idx="572">
                  <c:v>0.45584725536992843</c:v>
                </c:pt>
                <c:pt idx="573">
                  <c:v>0.45664280031821797</c:v>
                </c:pt>
                <c:pt idx="574">
                  <c:v>0.45743834526650756</c:v>
                </c:pt>
                <c:pt idx="575">
                  <c:v>0.45823389021479716</c:v>
                </c:pt>
                <c:pt idx="576">
                  <c:v>0.4590294351630867</c:v>
                </c:pt>
                <c:pt idx="577">
                  <c:v>0.45982498011137629</c:v>
                </c:pt>
                <c:pt idx="578">
                  <c:v>0.46062052505966589</c:v>
                </c:pt>
                <c:pt idx="579">
                  <c:v>0.46141607000795543</c:v>
                </c:pt>
                <c:pt idx="580">
                  <c:v>0.46221161495624502</c:v>
                </c:pt>
                <c:pt idx="581">
                  <c:v>0.46300715990453462</c:v>
                </c:pt>
                <c:pt idx="582">
                  <c:v>0.46380270485282421</c:v>
                </c:pt>
                <c:pt idx="583">
                  <c:v>0.46459824980111375</c:v>
                </c:pt>
                <c:pt idx="584">
                  <c:v>0.46539379474940334</c:v>
                </c:pt>
                <c:pt idx="585">
                  <c:v>0.46618933969769294</c:v>
                </c:pt>
                <c:pt idx="586">
                  <c:v>0.46698488464598248</c:v>
                </c:pt>
                <c:pt idx="587">
                  <c:v>0.46778042959427207</c:v>
                </c:pt>
                <c:pt idx="588">
                  <c:v>0.46857597454256167</c:v>
                </c:pt>
                <c:pt idx="589">
                  <c:v>0.46937151949085121</c:v>
                </c:pt>
                <c:pt idx="590">
                  <c:v>0.4701670644391408</c:v>
                </c:pt>
                <c:pt idx="591">
                  <c:v>0.4709626093874304</c:v>
                </c:pt>
                <c:pt idx="592">
                  <c:v>0.47175815433571999</c:v>
                </c:pt>
                <c:pt idx="593">
                  <c:v>0.47255369928400953</c:v>
                </c:pt>
                <c:pt idx="594">
                  <c:v>0.47334924423229913</c:v>
                </c:pt>
                <c:pt idx="595">
                  <c:v>0.47414478918058872</c:v>
                </c:pt>
                <c:pt idx="596">
                  <c:v>0.47494033412887826</c:v>
                </c:pt>
                <c:pt idx="597">
                  <c:v>0.47573587907716786</c:v>
                </c:pt>
                <c:pt idx="598">
                  <c:v>0.47653142402545745</c:v>
                </c:pt>
                <c:pt idx="599">
                  <c:v>0.47732696897374699</c:v>
                </c:pt>
                <c:pt idx="600">
                  <c:v>0.47812251392203658</c:v>
                </c:pt>
                <c:pt idx="601">
                  <c:v>0.47891805887032618</c:v>
                </c:pt>
                <c:pt idx="602">
                  <c:v>0.47971360381861577</c:v>
                </c:pt>
                <c:pt idx="603">
                  <c:v>0.48050914876690531</c:v>
                </c:pt>
                <c:pt idx="604">
                  <c:v>0.48130469371519491</c:v>
                </c:pt>
                <c:pt idx="605">
                  <c:v>0.4821002386634845</c:v>
                </c:pt>
                <c:pt idx="606">
                  <c:v>0.48289578361177404</c:v>
                </c:pt>
                <c:pt idx="607">
                  <c:v>0.48369132856006364</c:v>
                </c:pt>
                <c:pt idx="608">
                  <c:v>0.48448687350835323</c:v>
                </c:pt>
                <c:pt idx="609">
                  <c:v>0.48528241845664283</c:v>
                </c:pt>
                <c:pt idx="610">
                  <c:v>0.48607796340493237</c:v>
                </c:pt>
                <c:pt idx="611">
                  <c:v>0.48687350835322196</c:v>
                </c:pt>
                <c:pt idx="612">
                  <c:v>0.48766905330151156</c:v>
                </c:pt>
                <c:pt idx="613">
                  <c:v>0.4884645982498011</c:v>
                </c:pt>
                <c:pt idx="614">
                  <c:v>0.48926014319809069</c:v>
                </c:pt>
                <c:pt idx="615">
                  <c:v>0.49005568814638029</c:v>
                </c:pt>
                <c:pt idx="616">
                  <c:v>0.49085123309466983</c:v>
                </c:pt>
                <c:pt idx="617">
                  <c:v>0.49164677804295942</c:v>
                </c:pt>
                <c:pt idx="618">
                  <c:v>0.49244232299124902</c:v>
                </c:pt>
                <c:pt idx="619">
                  <c:v>0.49323786793953861</c:v>
                </c:pt>
                <c:pt idx="620">
                  <c:v>0.49403341288782815</c:v>
                </c:pt>
                <c:pt idx="621">
                  <c:v>0.49482895783611774</c:v>
                </c:pt>
                <c:pt idx="622">
                  <c:v>0.49562450278440734</c:v>
                </c:pt>
                <c:pt idx="623">
                  <c:v>0.49642004773269688</c:v>
                </c:pt>
                <c:pt idx="624">
                  <c:v>0.49721559268098647</c:v>
                </c:pt>
                <c:pt idx="625">
                  <c:v>0.49801113762927607</c:v>
                </c:pt>
                <c:pt idx="626">
                  <c:v>0.49880668257756561</c:v>
                </c:pt>
                <c:pt idx="627">
                  <c:v>0.4996022275258552</c:v>
                </c:pt>
                <c:pt idx="628">
                  <c:v>0.50039777247414474</c:v>
                </c:pt>
                <c:pt idx="629">
                  <c:v>0.50119331742243434</c:v>
                </c:pt>
                <c:pt idx="630">
                  <c:v>0.50198886237072393</c:v>
                </c:pt>
                <c:pt idx="631">
                  <c:v>0.50278440731901353</c:v>
                </c:pt>
                <c:pt idx="632">
                  <c:v>0.50357995226730312</c:v>
                </c:pt>
                <c:pt idx="633">
                  <c:v>0.50437549721559272</c:v>
                </c:pt>
                <c:pt idx="634">
                  <c:v>0.50517104216388231</c:v>
                </c:pt>
                <c:pt idx="635">
                  <c:v>0.5059665871121718</c:v>
                </c:pt>
                <c:pt idx="636">
                  <c:v>0.50676213206046139</c:v>
                </c:pt>
                <c:pt idx="637">
                  <c:v>0.50755767700875098</c:v>
                </c:pt>
                <c:pt idx="638">
                  <c:v>0.50835322195704058</c:v>
                </c:pt>
                <c:pt idx="639">
                  <c:v>0.50914876690533017</c:v>
                </c:pt>
                <c:pt idx="640">
                  <c:v>0.50994431185361977</c:v>
                </c:pt>
                <c:pt idx="641">
                  <c:v>0.51073985680190925</c:v>
                </c:pt>
                <c:pt idx="642">
                  <c:v>0.51153540175019885</c:v>
                </c:pt>
                <c:pt idx="643">
                  <c:v>0.51233094669848844</c:v>
                </c:pt>
                <c:pt idx="644">
                  <c:v>0.51312649164677804</c:v>
                </c:pt>
                <c:pt idx="645">
                  <c:v>0.51392203659506763</c:v>
                </c:pt>
                <c:pt idx="646">
                  <c:v>0.51471758154335723</c:v>
                </c:pt>
                <c:pt idx="647">
                  <c:v>0.51551312649164682</c:v>
                </c:pt>
                <c:pt idx="648">
                  <c:v>0.51630867143993631</c:v>
                </c:pt>
                <c:pt idx="649">
                  <c:v>0.5171042163882259</c:v>
                </c:pt>
                <c:pt idx="650">
                  <c:v>0.5178997613365155</c:v>
                </c:pt>
                <c:pt idx="651">
                  <c:v>0.51869530628480509</c:v>
                </c:pt>
                <c:pt idx="652">
                  <c:v>0.51949085123309469</c:v>
                </c:pt>
                <c:pt idx="653">
                  <c:v>0.52028639618138428</c:v>
                </c:pt>
                <c:pt idx="654">
                  <c:v>0.52108194112967388</c:v>
                </c:pt>
                <c:pt idx="655">
                  <c:v>0.52187748607796336</c:v>
                </c:pt>
                <c:pt idx="656">
                  <c:v>0.52267303102625295</c:v>
                </c:pt>
                <c:pt idx="657">
                  <c:v>0.52346857597454255</c:v>
                </c:pt>
                <c:pt idx="658">
                  <c:v>0.52426412092283214</c:v>
                </c:pt>
                <c:pt idx="659">
                  <c:v>0.52505966587112174</c:v>
                </c:pt>
                <c:pt idx="660">
                  <c:v>0.52585521081941133</c:v>
                </c:pt>
                <c:pt idx="661">
                  <c:v>0.52665075576770093</c:v>
                </c:pt>
                <c:pt idx="662">
                  <c:v>0.52744630071599041</c:v>
                </c:pt>
                <c:pt idx="663">
                  <c:v>0.52824184566428001</c:v>
                </c:pt>
                <c:pt idx="664">
                  <c:v>0.5290373906125696</c:v>
                </c:pt>
                <c:pt idx="665">
                  <c:v>0.5298329355608592</c:v>
                </c:pt>
                <c:pt idx="666">
                  <c:v>0.53062848050914879</c:v>
                </c:pt>
                <c:pt idx="667">
                  <c:v>0.53142402545743839</c:v>
                </c:pt>
                <c:pt idx="668">
                  <c:v>0.53221957040572787</c:v>
                </c:pt>
                <c:pt idx="669">
                  <c:v>0.53301511535401747</c:v>
                </c:pt>
                <c:pt idx="670">
                  <c:v>0.53381066030230706</c:v>
                </c:pt>
                <c:pt idx="671">
                  <c:v>0.53460620525059666</c:v>
                </c:pt>
                <c:pt idx="672">
                  <c:v>0.53540175019888625</c:v>
                </c:pt>
                <c:pt idx="673">
                  <c:v>0.53619729514717585</c:v>
                </c:pt>
                <c:pt idx="674">
                  <c:v>0.53699284009546544</c:v>
                </c:pt>
                <c:pt idx="675">
                  <c:v>0.53778838504375492</c:v>
                </c:pt>
                <c:pt idx="676">
                  <c:v>0.53858392999204452</c:v>
                </c:pt>
                <c:pt idx="677">
                  <c:v>0.53937947494033411</c:v>
                </c:pt>
                <c:pt idx="678">
                  <c:v>0.54017501988862371</c:v>
                </c:pt>
                <c:pt idx="679">
                  <c:v>0.5409705648369133</c:v>
                </c:pt>
                <c:pt idx="680">
                  <c:v>0.5417661097852029</c:v>
                </c:pt>
                <c:pt idx="681">
                  <c:v>0.54256165473349249</c:v>
                </c:pt>
                <c:pt idx="682">
                  <c:v>0.54335719968178198</c:v>
                </c:pt>
                <c:pt idx="683">
                  <c:v>0.54415274463007157</c:v>
                </c:pt>
                <c:pt idx="684">
                  <c:v>0.54494828957836117</c:v>
                </c:pt>
                <c:pt idx="685">
                  <c:v>0.54574383452665076</c:v>
                </c:pt>
                <c:pt idx="686">
                  <c:v>0.54653937947494036</c:v>
                </c:pt>
                <c:pt idx="687">
                  <c:v>0.54733492442322995</c:v>
                </c:pt>
                <c:pt idx="688">
                  <c:v>0.54813046937151944</c:v>
                </c:pt>
                <c:pt idx="689">
                  <c:v>0.54892601431980903</c:v>
                </c:pt>
                <c:pt idx="690">
                  <c:v>0.54972155926809863</c:v>
                </c:pt>
                <c:pt idx="691">
                  <c:v>0.55051710421638822</c:v>
                </c:pt>
                <c:pt idx="692">
                  <c:v>0.55131264916467781</c:v>
                </c:pt>
                <c:pt idx="693">
                  <c:v>0.55210819411296741</c:v>
                </c:pt>
                <c:pt idx="694">
                  <c:v>0.552903739061257</c:v>
                </c:pt>
                <c:pt idx="695">
                  <c:v>0.55369928400954649</c:v>
                </c:pt>
                <c:pt idx="696">
                  <c:v>0.55449482895783608</c:v>
                </c:pt>
                <c:pt idx="697">
                  <c:v>0.55529037390612568</c:v>
                </c:pt>
                <c:pt idx="698">
                  <c:v>0.55608591885441527</c:v>
                </c:pt>
                <c:pt idx="699">
                  <c:v>0.55688146380270487</c:v>
                </c:pt>
                <c:pt idx="700">
                  <c:v>0.55767700875099446</c:v>
                </c:pt>
                <c:pt idx="701">
                  <c:v>0.55847255369928406</c:v>
                </c:pt>
                <c:pt idx="702">
                  <c:v>0.55926809864757354</c:v>
                </c:pt>
                <c:pt idx="703">
                  <c:v>0.56006364359586314</c:v>
                </c:pt>
                <c:pt idx="704">
                  <c:v>0.56085918854415273</c:v>
                </c:pt>
                <c:pt idx="705">
                  <c:v>0.56165473349244233</c:v>
                </c:pt>
                <c:pt idx="706">
                  <c:v>0.56245027844073192</c:v>
                </c:pt>
                <c:pt idx="707">
                  <c:v>0.56324582338902152</c:v>
                </c:pt>
                <c:pt idx="708">
                  <c:v>0.56404136833731111</c:v>
                </c:pt>
                <c:pt idx="709">
                  <c:v>0.56483691328560059</c:v>
                </c:pt>
                <c:pt idx="710">
                  <c:v>0.56563245823389019</c:v>
                </c:pt>
                <c:pt idx="711">
                  <c:v>0.56642800318217978</c:v>
                </c:pt>
                <c:pt idx="712">
                  <c:v>0.56722354813046938</c:v>
                </c:pt>
                <c:pt idx="713">
                  <c:v>0.56801909307875897</c:v>
                </c:pt>
                <c:pt idx="714">
                  <c:v>0.56881463802704857</c:v>
                </c:pt>
                <c:pt idx="715">
                  <c:v>0.56961018297533805</c:v>
                </c:pt>
                <c:pt idx="716">
                  <c:v>0.57040572792362765</c:v>
                </c:pt>
                <c:pt idx="717">
                  <c:v>0.57120127287191724</c:v>
                </c:pt>
                <c:pt idx="718">
                  <c:v>0.57199681782020684</c:v>
                </c:pt>
                <c:pt idx="719">
                  <c:v>0.57279236276849643</c:v>
                </c:pt>
                <c:pt idx="720">
                  <c:v>0.57358790771678603</c:v>
                </c:pt>
                <c:pt idx="721">
                  <c:v>0.57438345266507562</c:v>
                </c:pt>
                <c:pt idx="722">
                  <c:v>0.57517899761336511</c:v>
                </c:pt>
                <c:pt idx="723">
                  <c:v>0.5759745425616547</c:v>
                </c:pt>
                <c:pt idx="724">
                  <c:v>0.5767700875099443</c:v>
                </c:pt>
                <c:pt idx="725">
                  <c:v>0.57756563245823389</c:v>
                </c:pt>
                <c:pt idx="726">
                  <c:v>0.57836117740652349</c:v>
                </c:pt>
                <c:pt idx="727">
                  <c:v>0.57915672235481308</c:v>
                </c:pt>
                <c:pt idx="728">
                  <c:v>0.57995226730310268</c:v>
                </c:pt>
                <c:pt idx="729">
                  <c:v>0.58074781225139216</c:v>
                </c:pt>
                <c:pt idx="730">
                  <c:v>0.58154335719968175</c:v>
                </c:pt>
                <c:pt idx="731">
                  <c:v>0.58233890214797135</c:v>
                </c:pt>
                <c:pt idx="732">
                  <c:v>0.58313444709626094</c:v>
                </c:pt>
                <c:pt idx="733">
                  <c:v>0.58392999204455054</c:v>
                </c:pt>
                <c:pt idx="734">
                  <c:v>0.58472553699284013</c:v>
                </c:pt>
                <c:pt idx="735">
                  <c:v>0.58552108194112973</c:v>
                </c:pt>
                <c:pt idx="736">
                  <c:v>0.58631662688941921</c:v>
                </c:pt>
                <c:pt idx="737">
                  <c:v>0.58711217183770881</c:v>
                </c:pt>
                <c:pt idx="738">
                  <c:v>0.5879077167859984</c:v>
                </c:pt>
                <c:pt idx="739">
                  <c:v>0.588703261734288</c:v>
                </c:pt>
                <c:pt idx="740">
                  <c:v>0.58949880668257759</c:v>
                </c:pt>
                <c:pt idx="741">
                  <c:v>0.59029435163086719</c:v>
                </c:pt>
                <c:pt idx="742">
                  <c:v>0.59108989657915667</c:v>
                </c:pt>
                <c:pt idx="743">
                  <c:v>0.59188544152744627</c:v>
                </c:pt>
                <c:pt idx="744">
                  <c:v>0.59268098647573586</c:v>
                </c:pt>
                <c:pt idx="745">
                  <c:v>0.59347653142402546</c:v>
                </c:pt>
                <c:pt idx="746">
                  <c:v>0.59427207637231505</c:v>
                </c:pt>
                <c:pt idx="747">
                  <c:v>0.59506762132060464</c:v>
                </c:pt>
                <c:pt idx="748">
                  <c:v>0.59586316626889424</c:v>
                </c:pt>
                <c:pt idx="749">
                  <c:v>0.59665871121718372</c:v>
                </c:pt>
                <c:pt idx="750">
                  <c:v>0.59745425616547332</c:v>
                </c:pt>
                <c:pt idx="751">
                  <c:v>0.59824980111376291</c:v>
                </c:pt>
                <c:pt idx="752">
                  <c:v>0.59904534606205251</c:v>
                </c:pt>
                <c:pt idx="753">
                  <c:v>0.5998408910103421</c:v>
                </c:pt>
                <c:pt idx="754">
                  <c:v>0.6006364359586317</c:v>
                </c:pt>
                <c:pt idx="755">
                  <c:v>0.60143198090692129</c:v>
                </c:pt>
                <c:pt idx="756">
                  <c:v>0.60222752585521078</c:v>
                </c:pt>
                <c:pt idx="757">
                  <c:v>0.60302307080350037</c:v>
                </c:pt>
                <c:pt idx="758">
                  <c:v>0.60381861575178997</c:v>
                </c:pt>
                <c:pt idx="759">
                  <c:v>0.60461416070007956</c:v>
                </c:pt>
                <c:pt idx="760">
                  <c:v>0.60540970564836916</c:v>
                </c:pt>
                <c:pt idx="761">
                  <c:v>0.60620525059665875</c:v>
                </c:pt>
                <c:pt idx="762">
                  <c:v>0.60700079554494824</c:v>
                </c:pt>
                <c:pt idx="763">
                  <c:v>0.60779634049323783</c:v>
                </c:pt>
                <c:pt idx="764">
                  <c:v>0.60859188544152742</c:v>
                </c:pt>
                <c:pt idx="765">
                  <c:v>0.60938743038981702</c:v>
                </c:pt>
                <c:pt idx="766">
                  <c:v>0.61018297533810661</c:v>
                </c:pt>
                <c:pt idx="767">
                  <c:v>0.61097852028639621</c:v>
                </c:pt>
                <c:pt idx="768">
                  <c:v>0.6117740652346858</c:v>
                </c:pt>
                <c:pt idx="769">
                  <c:v>0.61256961018297529</c:v>
                </c:pt>
                <c:pt idx="770">
                  <c:v>0.61336515513126488</c:v>
                </c:pt>
                <c:pt idx="771">
                  <c:v>0.61416070007955448</c:v>
                </c:pt>
                <c:pt idx="772">
                  <c:v>0.61495624502784407</c:v>
                </c:pt>
                <c:pt idx="773">
                  <c:v>0.61575178997613367</c:v>
                </c:pt>
                <c:pt idx="774">
                  <c:v>0.61654733492442326</c:v>
                </c:pt>
                <c:pt idx="775">
                  <c:v>0.61734287987271286</c:v>
                </c:pt>
                <c:pt idx="776">
                  <c:v>0.61813842482100234</c:v>
                </c:pt>
                <c:pt idx="777">
                  <c:v>0.61893396976929194</c:v>
                </c:pt>
                <c:pt idx="778">
                  <c:v>0.61972951471758153</c:v>
                </c:pt>
                <c:pt idx="779">
                  <c:v>0.62052505966587113</c:v>
                </c:pt>
                <c:pt idx="780">
                  <c:v>0.62132060461416072</c:v>
                </c:pt>
                <c:pt idx="781">
                  <c:v>0.62211614956245032</c:v>
                </c:pt>
                <c:pt idx="782">
                  <c:v>0.62291169451073991</c:v>
                </c:pt>
                <c:pt idx="783">
                  <c:v>0.62370723945902939</c:v>
                </c:pt>
                <c:pt idx="784">
                  <c:v>0.62450278440731899</c:v>
                </c:pt>
                <c:pt idx="785">
                  <c:v>0.62529832935560858</c:v>
                </c:pt>
                <c:pt idx="786">
                  <c:v>0.62609387430389818</c:v>
                </c:pt>
                <c:pt idx="787">
                  <c:v>0.62688941925218777</c:v>
                </c:pt>
                <c:pt idx="788">
                  <c:v>0.62768496420047737</c:v>
                </c:pt>
                <c:pt idx="789">
                  <c:v>0.62848050914876685</c:v>
                </c:pt>
                <c:pt idx="790">
                  <c:v>0.62927605409705645</c:v>
                </c:pt>
                <c:pt idx="791">
                  <c:v>0.63007159904534604</c:v>
                </c:pt>
                <c:pt idx="792">
                  <c:v>0.63086714399363564</c:v>
                </c:pt>
                <c:pt idx="793">
                  <c:v>0.63166268894192523</c:v>
                </c:pt>
                <c:pt idx="794">
                  <c:v>0.63245823389021483</c:v>
                </c:pt>
                <c:pt idx="795">
                  <c:v>0.63325377883850442</c:v>
                </c:pt>
                <c:pt idx="796">
                  <c:v>0.63404932378679391</c:v>
                </c:pt>
                <c:pt idx="797">
                  <c:v>0.6348448687350835</c:v>
                </c:pt>
                <c:pt idx="798">
                  <c:v>0.6356404136833731</c:v>
                </c:pt>
                <c:pt idx="799">
                  <c:v>0.63643595863166269</c:v>
                </c:pt>
                <c:pt idx="800">
                  <c:v>0.63723150357995229</c:v>
                </c:pt>
                <c:pt idx="801">
                  <c:v>0.63802704852824188</c:v>
                </c:pt>
                <c:pt idx="802">
                  <c:v>0.63882259347653148</c:v>
                </c:pt>
                <c:pt idx="803">
                  <c:v>0.63961813842482096</c:v>
                </c:pt>
                <c:pt idx="804">
                  <c:v>0.64041368337311055</c:v>
                </c:pt>
                <c:pt idx="805">
                  <c:v>0.64120922832140015</c:v>
                </c:pt>
                <c:pt idx="806">
                  <c:v>0.64200477326968974</c:v>
                </c:pt>
                <c:pt idx="807">
                  <c:v>0.64280031821797934</c:v>
                </c:pt>
                <c:pt idx="808">
                  <c:v>0.64359586316626893</c:v>
                </c:pt>
                <c:pt idx="809">
                  <c:v>0.64439140811455842</c:v>
                </c:pt>
                <c:pt idx="810">
                  <c:v>0.64518695306284801</c:v>
                </c:pt>
                <c:pt idx="811">
                  <c:v>0.64598249801113761</c:v>
                </c:pt>
                <c:pt idx="812">
                  <c:v>0.6467780429594272</c:v>
                </c:pt>
                <c:pt idx="813">
                  <c:v>0.6475735879077168</c:v>
                </c:pt>
                <c:pt idx="814">
                  <c:v>0.64836913285600639</c:v>
                </c:pt>
                <c:pt idx="815">
                  <c:v>0.64916467780429599</c:v>
                </c:pt>
                <c:pt idx="816">
                  <c:v>0.64996022275258547</c:v>
                </c:pt>
                <c:pt idx="817">
                  <c:v>0.65075576770087507</c:v>
                </c:pt>
                <c:pt idx="818">
                  <c:v>0.65155131264916466</c:v>
                </c:pt>
                <c:pt idx="819">
                  <c:v>0.65234685759745425</c:v>
                </c:pt>
                <c:pt idx="820">
                  <c:v>0.65314240254574385</c:v>
                </c:pt>
                <c:pt idx="821">
                  <c:v>0.65393794749403344</c:v>
                </c:pt>
                <c:pt idx="822">
                  <c:v>0.65473349244232304</c:v>
                </c:pt>
                <c:pt idx="823">
                  <c:v>0.65552903739061252</c:v>
                </c:pt>
                <c:pt idx="824">
                  <c:v>0.65632458233890212</c:v>
                </c:pt>
                <c:pt idx="825">
                  <c:v>0.65712012728719171</c:v>
                </c:pt>
                <c:pt idx="826">
                  <c:v>0.65791567223548131</c:v>
                </c:pt>
                <c:pt idx="827">
                  <c:v>0.6587112171837709</c:v>
                </c:pt>
                <c:pt idx="828">
                  <c:v>0.6595067621320605</c:v>
                </c:pt>
                <c:pt idx="829">
                  <c:v>0.66030230708035009</c:v>
                </c:pt>
                <c:pt idx="830">
                  <c:v>0.66109785202863958</c:v>
                </c:pt>
                <c:pt idx="831">
                  <c:v>0.66189339697692917</c:v>
                </c:pt>
                <c:pt idx="832">
                  <c:v>0.66268894192521877</c:v>
                </c:pt>
                <c:pt idx="833">
                  <c:v>0.66348448687350836</c:v>
                </c:pt>
                <c:pt idx="834">
                  <c:v>0.66428003182179796</c:v>
                </c:pt>
                <c:pt idx="835">
                  <c:v>0.66507557677008755</c:v>
                </c:pt>
                <c:pt idx="836">
                  <c:v>0.66587112171837703</c:v>
                </c:pt>
                <c:pt idx="837">
                  <c:v>0.66666666666666663</c:v>
                </c:pt>
                <c:pt idx="838">
                  <c:v>0.66746221161495622</c:v>
                </c:pt>
                <c:pt idx="839">
                  <c:v>0.66825775656324582</c:v>
                </c:pt>
                <c:pt idx="840">
                  <c:v>0.66905330151153541</c:v>
                </c:pt>
                <c:pt idx="841">
                  <c:v>0.66984884645982501</c:v>
                </c:pt>
                <c:pt idx="842">
                  <c:v>0.6706443914081146</c:v>
                </c:pt>
                <c:pt idx="843">
                  <c:v>0.67143993635640409</c:v>
                </c:pt>
                <c:pt idx="844">
                  <c:v>0.67223548130469368</c:v>
                </c:pt>
                <c:pt idx="845">
                  <c:v>0.67303102625298328</c:v>
                </c:pt>
                <c:pt idx="846">
                  <c:v>0.67382657120127287</c:v>
                </c:pt>
                <c:pt idx="847">
                  <c:v>0.67462211614956247</c:v>
                </c:pt>
                <c:pt idx="848">
                  <c:v>0.67541766109785206</c:v>
                </c:pt>
                <c:pt idx="849">
                  <c:v>0.67621320604614166</c:v>
                </c:pt>
                <c:pt idx="850">
                  <c:v>0.67700875099443114</c:v>
                </c:pt>
                <c:pt idx="851">
                  <c:v>0.67780429594272074</c:v>
                </c:pt>
                <c:pt idx="852">
                  <c:v>0.67859984089101033</c:v>
                </c:pt>
                <c:pt idx="853">
                  <c:v>0.67939538583929993</c:v>
                </c:pt>
                <c:pt idx="854">
                  <c:v>0.68019093078758952</c:v>
                </c:pt>
                <c:pt idx="855">
                  <c:v>0.68098647573587912</c:v>
                </c:pt>
                <c:pt idx="856">
                  <c:v>0.68178202068416871</c:v>
                </c:pt>
                <c:pt idx="857">
                  <c:v>0.68257756563245819</c:v>
                </c:pt>
                <c:pt idx="858">
                  <c:v>0.68337311058074779</c:v>
                </c:pt>
                <c:pt idx="859">
                  <c:v>0.68416865552903738</c:v>
                </c:pt>
                <c:pt idx="860">
                  <c:v>0.68496420047732698</c:v>
                </c:pt>
                <c:pt idx="861">
                  <c:v>0.68575974542561657</c:v>
                </c:pt>
                <c:pt idx="862">
                  <c:v>0.68655529037390617</c:v>
                </c:pt>
                <c:pt idx="863">
                  <c:v>0.68735083532219565</c:v>
                </c:pt>
                <c:pt idx="864">
                  <c:v>0.68814638027048525</c:v>
                </c:pt>
                <c:pt idx="865">
                  <c:v>0.68894192521877484</c:v>
                </c:pt>
                <c:pt idx="866">
                  <c:v>0.68973747016706444</c:v>
                </c:pt>
                <c:pt idx="867">
                  <c:v>0.69053301511535403</c:v>
                </c:pt>
                <c:pt idx="868">
                  <c:v>0.69132856006364363</c:v>
                </c:pt>
                <c:pt idx="869">
                  <c:v>0.69212410501193322</c:v>
                </c:pt>
                <c:pt idx="870">
                  <c:v>0.69291964996022271</c:v>
                </c:pt>
                <c:pt idx="871">
                  <c:v>0.6937151949085123</c:v>
                </c:pt>
                <c:pt idx="872">
                  <c:v>0.6945107398568019</c:v>
                </c:pt>
                <c:pt idx="873">
                  <c:v>0.69530628480509149</c:v>
                </c:pt>
                <c:pt idx="874">
                  <c:v>0.69610182975338109</c:v>
                </c:pt>
                <c:pt idx="875">
                  <c:v>0.69689737470167068</c:v>
                </c:pt>
                <c:pt idx="876">
                  <c:v>0.69769291964996027</c:v>
                </c:pt>
                <c:pt idx="877">
                  <c:v>0.69848846459824976</c:v>
                </c:pt>
                <c:pt idx="878">
                  <c:v>0.69928400954653935</c:v>
                </c:pt>
                <c:pt idx="879">
                  <c:v>0.70007955449482895</c:v>
                </c:pt>
                <c:pt idx="880">
                  <c:v>0.70087509944311854</c:v>
                </c:pt>
                <c:pt idx="881">
                  <c:v>0.70167064439140814</c:v>
                </c:pt>
                <c:pt idx="882">
                  <c:v>0.70246618933969773</c:v>
                </c:pt>
                <c:pt idx="883">
                  <c:v>0.70326173428798722</c:v>
                </c:pt>
                <c:pt idx="884">
                  <c:v>0.70405727923627681</c:v>
                </c:pt>
                <c:pt idx="885">
                  <c:v>0.70485282418456641</c:v>
                </c:pt>
                <c:pt idx="886">
                  <c:v>0.705648369132856</c:v>
                </c:pt>
                <c:pt idx="887">
                  <c:v>0.7064439140811456</c:v>
                </c:pt>
                <c:pt idx="888">
                  <c:v>0.70723945902943519</c:v>
                </c:pt>
                <c:pt idx="889">
                  <c:v>0.70803500397772479</c:v>
                </c:pt>
                <c:pt idx="890">
                  <c:v>0.70883054892601427</c:v>
                </c:pt>
                <c:pt idx="891">
                  <c:v>0.70962609387430386</c:v>
                </c:pt>
                <c:pt idx="892">
                  <c:v>0.71042163882259346</c:v>
                </c:pt>
                <c:pt idx="893">
                  <c:v>0.71121718377088305</c:v>
                </c:pt>
                <c:pt idx="894">
                  <c:v>0.71201272871917265</c:v>
                </c:pt>
                <c:pt idx="895">
                  <c:v>0.71280827366746224</c:v>
                </c:pt>
                <c:pt idx="896">
                  <c:v>0.71360381861575184</c:v>
                </c:pt>
                <c:pt idx="897">
                  <c:v>0.71439936356404132</c:v>
                </c:pt>
                <c:pt idx="898">
                  <c:v>0.71519490851233092</c:v>
                </c:pt>
                <c:pt idx="899">
                  <c:v>0.71599045346062051</c:v>
                </c:pt>
                <c:pt idx="900">
                  <c:v>0.71678599840891011</c:v>
                </c:pt>
                <c:pt idx="901">
                  <c:v>0.7175815433571997</c:v>
                </c:pt>
                <c:pt idx="902">
                  <c:v>0.7183770883054893</c:v>
                </c:pt>
                <c:pt idx="903">
                  <c:v>0.71917263325377889</c:v>
                </c:pt>
                <c:pt idx="904">
                  <c:v>0.71996817820206838</c:v>
                </c:pt>
                <c:pt idx="905">
                  <c:v>0.72076372315035797</c:v>
                </c:pt>
                <c:pt idx="906">
                  <c:v>0.72155926809864757</c:v>
                </c:pt>
                <c:pt idx="907">
                  <c:v>0.72235481304693716</c:v>
                </c:pt>
                <c:pt idx="908">
                  <c:v>0.72315035799522676</c:v>
                </c:pt>
                <c:pt idx="909">
                  <c:v>0.72394590294351635</c:v>
                </c:pt>
                <c:pt idx="910">
                  <c:v>0.72474144789180583</c:v>
                </c:pt>
                <c:pt idx="911">
                  <c:v>0.72553699284009543</c:v>
                </c:pt>
                <c:pt idx="912">
                  <c:v>0.72633253778838502</c:v>
                </c:pt>
                <c:pt idx="913">
                  <c:v>0.72712808273667462</c:v>
                </c:pt>
                <c:pt idx="914">
                  <c:v>0.72792362768496421</c:v>
                </c:pt>
                <c:pt idx="915">
                  <c:v>0.72871917263325381</c:v>
                </c:pt>
                <c:pt idx="916">
                  <c:v>0.7295147175815434</c:v>
                </c:pt>
                <c:pt idx="917">
                  <c:v>0.73031026252983289</c:v>
                </c:pt>
                <c:pt idx="918">
                  <c:v>0.73110580747812248</c:v>
                </c:pt>
                <c:pt idx="919">
                  <c:v>0.73190135242641208</c:v>
                </c:pt>
                <c:pt idx="920">
                  <c:v>0.73269689737470167</c:v>
                </c:pt>
                <c:pt idx="921">
                  <c:v>0.73349244232299127</c:v>
                </c:pt>
                <c:pt idx="922">
                  <c:v>0.73428798727128086</c:v>
                </c:pt>
                <c:pt idx="923">
                  <c:v>0.73508353221957046</c:v>
                </c:pt>
                <c:pt idx="924">
                  <c:v>0.73587907716785994</c:v>
                </c:pt>
                <c:pt idx="925">
                  <c:v>0.73667462211614954</c:v>
                </c:pt>
                <c:pt idx="926">
                  <c:v>0.73747016706443913</c:v>
                </c:pt>
                <c:pt idx="927">
                  <c:v>0.73826571201272873</c:v>
                </c:pt>
                <c:pt idx="928">
                  <c:v>0.73906125696101832</c:v>
                </c:pt>
                <c:pt idx="929">
                  <c:v>0.73985680190930792</c:v>
                </c:pt>
                <c:pt idx="930">
                  <c:v>0.7406523468575974</c:v>
                </c:pt>
                <c:pt idx="931">
                  <c:v>0.74144789180588699</c:v>
                </c:pt>
                <c:pt idx="932">
                  <c:v>0.74224343675417659</c:v>
                </c:pt>
                <c:pt idx="933">
                  <c:v>0.74303898170246618</c:v>
                </c:pt>
                <c:pt idx="934">
                  <c:v>0.74383452665075578</c:v>
                </c:pt>
                <c:pt idx="935">
                  <c:v>0.74463007159904537</c:v>
                </c:pt>
                <c:pt idx="936">
                  <c:v>0.74542561654733497</c:v>
                </c:pt>
                <c:pt idx="937">
                  <c:v>0.74622116149562445</c:v>
                </c:pt>
                <c:pt idx="938">
                  <c:v>0.74701670644391405</c:v>
                </c:pt>
                <c:pt idx="939">
                  <c:v>0.74781225139220364</c:v>
                </c:pt>
                <c:pt idx="940">
                  <c:v>0.74860779634049324</c:v>
                </c:pt>
                <c:pt idx="941">
                  <c:v>0.74940334128878283</c:v>
                </c:pt>
                <c:pt idx="942">
                  <c:v>0.75019888623707243</c:v>
                </c:pt>
                <c:pt idx="943">
                  <c:v>0.75099443118536202</c:v>
                </c:pt>
                <c:pt idx="944">
                  <c:v>0.75178997613365151</c:v>
                </c:pt>
                <c:pt idx="945">
                  <c:v>0.7525855210819411</c:v>
                </c:pt>
                <c:pt idx="946">
                  <c:v>0.75338106603023069</c:v>
                </c:pt>
                <c:pt idx="947">
                  <c:v>0.75417661097852029</c:v>
                </c:pt>
                <c:pt idx="948">
                  <c:v>0.75497215592680988</c:v>
                </c:pt>
                <c:pt idx="949">
                  <c:v>0.75576770087509948</c:v>
                </c:pt>
                <c:pt idx="950">
                  <c:v>0.75656324582338907</c:v>
                </c:pt>
                <c:pt idx="951">
                  <c:v>0.75735879077167856</c:v>
                </c:pt>
                <c:pt idx="952">
                  <c:v>0.75815433571996815</c:v>
                </c:pt>
                <c:pt idx="953">
                  <c:v>0.75894988066825775</c:v>
                </c:pt>
                <c:pt idx="954">
                  <c:v>0.75974542561654734</c:v>
                </c:pt>
                <c:pt idx="955">
                  <c:v>0.76054097056483694</c:v>
                </c:pt>
                <c:pt idx="956">
                  <c:v>0.76133651551312653</c:v>
                </c:pt>
                <c:pt idx="957">
                  <c:v>0.76213206046141602</c:v>
                </c:pt>
                <c:pt idx="958">
                  <c:v>0.76292760540970561</c:v>
                </c:pt>
                <c:pt idx="959">
                  <c:v>0.76372315035799521</c:v>
                </c:pt>
                <c:pt idx="960">
                  <c:v>0.7645186953062848</c:v>
                </c:pt>
                <c:pt idx="961">
                  <c:v>0.7653142402545744</c:v>
                </c:pt>
                <c:pt idx="962">
                  <c:v>0.76610978520286399</c:v>
                </c:pt>
                <c:pt idx="963">
                  <c:v>0.76690533015115359</c:v>
                </c:pt>
                <c:pt idx="964">
                  <c:v>0.76770087509944307</c:v>
                </c:pt>
                <c:pt idx="965">
                  <c:v>0.76849642004773266</c:v>
                </c:pt>
                <c:pt idx="966">
                  <c:v>0.76929196499602226</c:v>
                </c:pt>
                <c:pt idx="967">
                  <c:v>0.77008750994431185</c:v>
                </c:pt>
                <c:pt idx="968">
                  <c:v>0.77088305489260145</c:v>
                </c:pt>
                <c:pt idx="969">
                  <c:v>0.77167859984089104</c:v>
                </c:pt>
                <c:pt idx="970">
                  <c:v>0.77247414478918064</c:v>
                </c:pt>
                <c:pt idx="971">
                  <c:v>0.77326968973747012</c:v>
                </c:pt>
                <c:pt idx="972">
                  <c:v>0.77406523468575972</c:v>
                </c:pt>
                <c:pt idx="973">
                  <c:v>0.77486077963404931</c:v>
                </c:pt>
                <c:pt idx="974">
                  <c:v>0.77565632458233891</c:v>
                </c:pt>
                <c:pt idx="975">
                  <c:v>0.7764518695306285</c:v>
                </c:pt>
                <c:pt idx="976">
                  <c:v>0.7772474144789181</c:v>
                </c:pt>
                <c:pt idx="977">
                  <c:v>0.77804295942720769</c:v>
                </c:pt>
                <c:pt idx="978">
                  <c:v>0.77883850437549718</c:v>
                </c:pt>
                <c:pt idx="979">
                  <c:v>0.77963404932378677</c:v>
                </c:pt>
                <c:pt idx="980">
                  <c:v>0.78042959427207637</c:v>
                </c:pt>
                <c:pt idx="981">
                  <c:v>0.78122513922036596</c:v>
                </c:pt>
                <c:pt idx="982">
                  <c:v>0.78202068416865556</c:v>
                </c:pt>
                <c:pt idx="983">
                  <c:v>0.78281622911694515</c:v>
                </c:pt>
                <c:pt idx="984">
                  <c:v>0.78361177406523463</c:v>
                </c:pt>
                <c:pt idx="985">
                  <c:v>0.78440731901352423</c:v>
                </c:pt>
                <c:pt idx="986">
                  <c:v>0.78520286396181382</c:v>
                </c:pt>
                <c:pt idx="987">
                  <c:v>0.78599840891010342</c:v>
                </c:pt>
                <c:pt idx="988">
                  <c:v>0.78679395385839301</c:v>
                </c:pt>
                <c:pt idx="989">
                  <c:v>0.78758949880668261</c:v>
                </c:pt>
                <c:pt idx="990">
                  <c:v>0.7883850437549722</c:v>
                </c:pt>
                <c:pt idx="991">
                  <c:v>0.78918058870326169</c:v>
                </c:pt>
                <c:pt idx="992">
                  <c:v>0.78997613365155128</c:v>
                </c:pt>
                <c:pt idx="993">
                  <c:v>0.79077167859984088</c:v>
                </c:pt>
                <c:pt idx="994">
                  <c:v>0.79156722354813047</c:v>
                </c:pt>
                <c:pt idx="995">
                  <c:v>0.79236276849642007</c:v>
                </c:pt>
                <c:pt idx="996">
                  <c:v>0.79315831344470966</c:v>
                </c:pt>
                <c:pt idx="997">
                  <c:v>0.79395385839299926</c:v>
                </c:pt>
                <c:pt idx="998">
                  <c:v>0.79474940334128874</c:v>
                </c:pt>
                <c:pt idx="999">
                  <c:v>0.79554494828957834</c:v>
                </c:pt>
                <c:pt idx="1000">
                  <c:v>0.79634049323786793</c:v>
                </c:pt>
                <c:pt idx="1001">
                  <c:v>0.79713603818615753</c:v>
                </c:pt>
                <c:pt idx="1002">
                  <c:v>0.79793158313444712</c:v>
                </c:pt>
                <c:pt idx="1003">
                  <c:v>0.79872712808273671</c:v>
                </c:pt>
                <c:pt idx="1004">
                  <c:v>0.7995226730310262</c:v>
                </c:pt>
                <c:pt idx="1005">
                  <c:v>0.80031821797931579</c:v>
                </c:pt>
                <c:pt idx="1006">
                  <c:v>0.80111376292760539</c:v>
                </c:pt>
                <c:pt idx="1007">
                  <c:v>0.80190930787589498</c:v>
                </c:pt>
                <c:pt idx="1008">
                  <c:v>0.80270485282418458</c:v>
                </c:pt>
                <c:pt idx="1009">
                  <c:v>0.80350039777247417</c:v>
                </c:pt>
                <c:pt idx="1010">
                  <c:v>0.80429594272076377</c:v>
                </c:pt>
                <c:pt idx="1011">
                  <c:v>0.80509148766905325</c:v>
                </c:pt>
                <c:pt idx="1012">
                  <c:v>0.80588703261734285</c:v>
                </c:pt>
                <c:pt idx="1013">
                  <c:v>0.80668257756563244</c:v>
                </c:pt>
                <c:pt idx="1014">
                  <c:v>0.80747812251392204</c:v>
                </c:pt>
                <c:pt idx="1015">
                  <c:v>0.80827366746221163</c:v>
                </c:pt>
                <c:pt idx="1016">
                  <c:v>0.80906921241050123</c:v>
                </c:pt>
                <c:pt idx="1017">
                  <c:v>0.80986475735879082</c:v>
                </c:pt>
                <c:pt idx="1018">
                  <c:v>0.8106603023070803</c:v>
                </c:pt>
                <c:pt idx="1019">
                  <c:v>0.8114558472553699</c:v>
                </c:pt>
                <c:pt idx="1020">
                  <c:v>0.81225139220365949</c:v>
                </c:pt>
                <c:pt idx="1021">
                  <c:v>0.81304693715194909</c:v>
                </c:pt>
                <c:pt idx="1022">
                  <c:v>0.81384248210023868</c:v>
                </c:pt>
                <c:pt idx="1023">
                  <c:v>0.81463802704852828</c:v>
                </c:pt>
                <c:pt idx="1024">
                  <c:v>0.81543357199681787</c:v>
                </c:pt>
                <c:pt idx="1025">
                  <c:v>0.81622911694510736</c:v>
                </c:pt>
                <c:pt idx="1026">
                  <c:v>0.81702466189339695</c:v>
                </c:pt>
                <c:pt idx="1027">
                  <c:v>0.81782020684168655</c:v>
                </c:pt>
                <c:pt idx="1028">
                  <c:v>0.81861575178997614</c:v>
                </c:pt>
                <c:pt idx="1029">
                  <c:v>0.81941129673826574</c:v>
                </c:pt>
                <c:pt idx="1030">
                  <c:v>0.82020684168655533</c:v>
                </c:pt>
                <c:pt idx="1031">
                  <c:v>0.82100238663484482</c:v>
                </c:pt>
                <c:pt idx="1032">
                  <c:v>0.82179793158313441</c:v>
                </c:pt>
                <c:pt idx="1033">
                  <c:v>0.82259347653142401</c:v>
                </c:pt>
                <c:pt idx="1034">
                  <c:v>0.8233890214797136</c:v>
                </c:pt>
                <c:pt idx="1035">
                  <c:v>0.8241845664280032</c:v>
                </c:pt>
                <c:pt idx="1036">
                  <c:v>0.82498011137629279</c:v>
                </c:pt>
                <c:pt idx="1037">
                  <c:v>0.82577565632458239</c:v>
                </c:pt>
                <c:pt idx="1038">
                  <c:v>0.82657120127287187</c:v>
                </c:pt>
                <c:pt idx="1039">
                  <c:v>0.82736674622116146</c:v>
                </c:pt>
                <c:pt idx="1040">
                  <c:v>0.82816229116945106</c:v>
                </c:pt>
                <c:pt idx="1041">
                  <c:v>0.82895783611774065</c:v>
                </c:pt>
                <c:pt idx="1042">
                  <c:v>0.82975338106603025</c:v>
                </c:pt>
                <c:pt idx="1043">
                  <c:v>0.83054892601431984</c:v>
                </c:pt>
                <c:pt idx="1044">
                  <c:v>0.83134447096260944</c:v>
                </c:pt>
                <c:pt idx="1045">
                  <c:v>0.83214001591089892</c:v>
                </c:pt>
                <c:pt idx="1046">
                  <c:v>0.83293556085918852</c:v>
                </c:pt>
                <c:pt idx="1047">
                  <c:v>0.83373110580747811</c:v>
                </c:pt>
                <c:pt idx="1048">
                  <c:v>0.83452665075576771</c:v>
                </c:pt>
                <c:pt idx="1049">
                  <c:v>0.8353221957040573</c:v>
                </c:pt>
                <c:pt idx="1050">
                  <c:v>0.8361177406523469</c:v>
                </c:pt>
                <c:pt idx="1051">
                  <c:v>0.83691328560063638</c:v>
                </c:pt>
                <c:pt idx="1052">
                  <c:v>0.83770883054892598</c:v>
                </c:pt>
                <c:pt idx="1053">
                  <c:v>0.83850437549721557</c:v>
                </c:pt>
                <c:pt idx="1054">
                  <c:v>0.83929992044550517</c:v>
                </c:pt>
                <c:pt idx="1055">
                  <c:v>0.84009546539379476</c:v>
                </c:pt>
                <c:pt idx="1056">
                  <c:v>0.84089101034208436</c:v>
                </c:pt>
                <c:pt idx="1057">
                  <c:v>0.84168655529037395</c:v>
                </c:pt>
                <c:pt idx="1058">
                  <c:v>0.84248210023866343</c:v>
                </c:pt>
                <c:pt idx="1059">
                  <c:v>0.84327764518695303</c:v>
                </c:pt>
                <c:pt idx="1060">
                  <c:v>0.84407319013524262</c:v>
                </c:pt>
                <c:pt idx="1061">
                  <c:v>0.84486873508353222</c:v>
                </c:pt>
                <c:pt idx="1062">
                  <c:v>0.84566428003182181</c:v>
                </c:pt>
                <c:pt idx="1063">
                  <c:v>0.84645982498011141</c:v>
                </c:pt>
                <c:pt idx="1064">
                  <c:v>0.847255369928401</c:v>
                </c:pt>
                <c:pt idx="1065">
                  <c:v>0.84805091487669049</c:v>
                </c:pt>
                <c:pt idx="1066">
                  <c:v>0.84884645982498008</c:v>
                </c:pt>
                <c:pt idx="1067">
                  <c:v>0.84964200477326968</c:v>
                </c:pt>
                <c:pt idx="1068">
                  <c:v>0.85043754972155927</c:v>
                </c:pt>
                <c:pt idx="1069">
                  <c:v>0.85123309466984887</c:v>
                </c:pt>
                <c:pt idx="1070">
                  <c:v>0.85202863961813846</c:v>
                </c:pt>
                <c:pt idx="1071">
                  <c:v>0.85282418456642806</c:v>
                </c:pt>
                <c:pt idx="1072">
                  <c:v>0.85361972951471754</c:v>
                </c:pt>
                <c:pt idx="1073">
                  <c:v>0.85441527446300713</c:v>
                </c:pt>
                <c:pt idx="1074">
                  <c:v>0.85521081941129673</c:v>
                </c:pt>
                <c:pt idx="1075">
                  <c:v>0.85600636435958632</c:v>
                </c:pt>
                <c:pt idx="1076">
                  <c:v>0.85680190930787592</c:v>
                </c:pt>
                <c:pt idx="1077">
                  <c:v>0.85759745425616551</c:v>
                </c:pt>
                <c:pt idx="1078">
                  <c:v>0.858392999204455</c:v>
                </c:pt>
                <c:pt idx="1079">
                  <c:v>0.85918854415274459</c:v>
                </c:pt>
                <c:pt idx="1080">
                  <c:v>0.85998408910103419</c:v>
                </c:pt>
                <c:pt idx="1081">
                  <c:v>0.86077963404932378</c:v>
                </c:pt>
                <c:pt idx="1082">
                  <c:v>0.86157517899761338</c:v>
                </c:pt>
                <c:pt idx="1083">
                  <c:v>0.86237072394590297</c:v>
                </c:pt>
                <c:pt idx="1084">
                  <c:v>0.86316626889419257</c:v>
                </c:pt>
                <c:pt idx="1085">
                  <c:v>0.86396181384248205</c:v>
                </c:pt>
                <c:pt idx="1086">
                  <c:v>0.86475735879077165</c:v>
                </c:pt>
                <c:pt idx="1087">
                  <c:v>0.86555290373906124</c:v>
                </c:pt>
                <c:pt idx="1088">
                  <c:v>0.86634844868735084</c:v>
                </c:pt>
                <c:pt idx="1089">
                  <c:v>0.86714399363564043</c:v>
                </c:pt>
                <c:pt idx="1090">
                  <c:v>0.86793953858393003</c:v>
                </c:pt>
                <c:pt idx="1091">
                  <c:v>0.86873508353221962</c:v>
                </c:pt>
                <c:pt idx="1092">
                  <c:v>0.8695306284805091</c:v>
                </c:pt>
                <c:pt idx="1093">
                  <c:v>0.8703261734287987</c:v>
                </c:pt>
                <c:pt idx="1094">
                  <c:v>0.87112171837708829</c:v>
                </c:pt>
                <c:pt idx="1095">
                  <c:v>0.87191726332537789</c:v>
                </c:pt>
                <c:pt idx="1096">
                  <c:v>0.87271280827366748</c:v>
                </c:pt>
                <c:pt idx="1097">
                  <c:v>0.87350835322195708</c:v>
                </c:pt>
                <c:pt idx="1098">
                  <c:v>0.87430389817024667</c:v>
                </c:pt>
                <c:pt idx="1099">
                  <c:v>0.87509944311853616</c:v>
                </c:pt>
                <c:pt idx="1100">
                  <c:v>0.87589498806682575</c:v>
                </c:pt>
                <c:pt idx="1101">
                  <c:v>0.87669053301511535</c:v>
                </c:pt>
                <c:pt idx="1102">
                  <c:v>0.87748607796340494</c:v>
                </c:pt>
                <c:pt idx="1103">
                  <c:v>0.87828162291169454</c:v>
                </c:pt>
                <c:pt idx="1104">
                  <c:v>0.87907716785998413</c:v>
                </c:pt>
                <c:pt idx="1105">
                  <c:v>0.87987271280827362</c:v>
                </c:pt>
                <c:pt idx="1106">
                  <c:v>0.88066825775656321</c:v>
                </c:pt>
                <c:pt idx="1107">
                  <c:v>0.88146380270485281</c:v>
                </c:pt>
                <c:pt idx="1108">
                  <c:v>0.8822593476531424</c:v>
                </c:pt>
                <c:pt idx="1109">
                  <c:v>0.883054892601432</c:v>
                </c:pt>
                <c:pt idx="1110">
                  <c:v>0.88385043754972159</c:v>
                </c:pt>
                <c:pt idx="1111">
                  <c:v>0.88464598249801119</c:v>
                </c:pt>
                <c:pt idx="1112">
                  <c:v>0.88544152744630067</c:v>
                </c:pt>
                <c:pt idx="1113">
                  <c:v>0.88623707239459026</c:v>
                </c:pt>
                <c:pt idx="1114">
                  <c:v>0.88703261734287986</c:v>
                </c:pt>
                <c:pt idx="1115">
                  <c:v>0.88782816229116945</c:v>
                </c:pt>
                <c:pt idx="1116">
                  <c:v>0.88862370723945905</c:v>
                </c:pt>
                <c:pt idx="1117">
                  <c:v>0.88941925218774864</c:v>
                </c:pt>
                <c:pt idx="1118">
                  <c:v>0.89021479713603824</c:v>
                </c:pt>
                <c:pt idx="1119">
                  <c:v>0.89101034208432772</c:v>
                </c:pt>
                <c:pt idx="1120">
                  <c:v>0.89180588703261732</c:v>
                </c:pt>
                <c:pt idx="1121">
                  <c:v>0.89260143198090691</c:v>
                </c:pt>
                <c:pt idx="1122">
                  <c:v>0.89339697692919651</c:v>
                </c:pt>
                <c:pt idx="1123">
                  <c:v>0.8941925218774861</c:v>
                </c:pt>
                <c:pt idx="1124">
                  <c:v>0.8949880668257757</c:v>
                </c:pt>
                <c:pt idx="1125">
                  <c:v>0.89578361177406518</c:v>
                </c:pt>
                <c:pt idx="1126">
                  <c:v>0.89657915672235478</c:v>
                </c:pt>
                <c:pt idx="1127">
                  <c:v>0.89737470167064437</c:v>
                </c:pt>
                <c:pt idx="1128">
                  <c:v>0.89817024661893397</c:v>
                </c:pt>
                <c:pt idx="1129">
                  <c:v>0.89896579156722356</c:v>
                </c:pt>
                <c:pt idx="1130">
                  <c:v>0.89976133651551315</c:v>
                </c:pt>
                <c:pt idx="1131">
                  <c:v>0.90055688146380275</c:v>
                </c:pt>
                <c:pt idx="1132">
                  <c:v>0.90135242641209223</c:v>
                </c:pt>
                <c:pt idx="1133">
                  <c:v>0.90214797136038183</c:v>
                </c:pt>
                <c:pt idx="1134">
                  <c:v>0.90294351630867142</c:v>
                </c:pt>
                <c:pt idx="1135">
                  <c:v>0.90373906125696102</c:v>
                </c:pt>
                <c:pt idx="1136">
                  <c:v>0.90453460620525061</c:v>
                </c:pt>
                <c:pt idx="1137">
                  <c:v>0.90533015115354021</c:v>
                </c:pt>
                <c:pt idx="1138">
                  <c:v>0.9061256961018298</c:v>
                </c:pt>
                <c:pt idx="1139">
                  <c:v>0.90692124105011929</c:v>
                </c:pt>
                <c:pt idx="1140">
                  <c:v>0.90771678599840888</c:v>
                </c:pt>
                <c:pt idx="1141">
                  <c:v>0.90851233094669848</c:v>
                </c:pt>
                <c:pt idx="1142">
                  <c:v>0.90930787589498807</c:v>
                </c:pt>
                <c:pt idx="1143">
                  <c:v>0.91010342084327767</c:v>
                </c:pt>
                <c:pt idx="1144">
                  <c:v>0.91089896579156726</c:v>
                </c:pt>
                <c:pt idx="1145">
                  <c:v>0.91169451073985686</c:v>
                </c:pt>
                <c:pt idx="1146">
                  <c:v>0.91249005568814634</c:v>
                </c:pt>
                <c:pt idx="1147">
                  <c:v>0.91328560063643593</c:v>
                </c:pt>
                <c:pt idx="1148">
                  <c:v>0.91408114558472553</c:v>
                </c:pt>
                <c:pt idx="1149">
                  <c:v>0.91487669053301512</c:v>
                </c:pt>
                <c:pt idx="1150">
                  <c:v>0.91567223548130472</c:v>
                </c:pt>
                <c:pt idx="1151">
                  <c:v>0.91646778042959431</c:v>
                </c:pt>
                <c:pt idx="1152">
                  <c:v>0.9172633253778838</c:v>
                </c:pt>
                <c:pt idx="1153">
                  <c:v>0.91805887032617339</c:v>
                </c:pt>
                <c:pt idx="1154">
                  <c:v>0.91885441527446299</c:v>
                </c:pt>
                <c:pt idx="1155">
                  <c:v>0.91964996022275258</c:v>
                </c:pt>
                <c:pt idx="1156">
                  <c:v>0.92044550517104218</c:v>
                </c:pt>
                <c:pt idx="1157">
                  <c:v>0.92124105011933177</c:v>
                </c:pt>
                <c:pt idx="1158">
                  <c:v>0.92203659506762137</c:v>
                </c:pt>
                <c:pt idx="1159">
                  <c:v>0.92283214001591085</c:v>
                </c:pt>
                <c:pt idx="1160">
                  <c:v>0.92362768496420045</c:v>
                </c:pt>
                <c:pt idx="1161">
                  <c:v>0.92442322991249004</c:v>
                </c:pt>
                <c:pt idx="1162">
                  <c:v>0.92521877486077964</c:v>
                </c:pt>
                <c:pt idx="1163">
                  <c:v>0.92601431980906923</c:v>
                </c:pt>
                <c:pt idx="1164">
                  <c:v>0.92680986475735883</c:v>
                </c:pt>
                <c:pt idx="1165">
                  <c:v>0.92760540970564842</c:v>
                </c:pt>
                <c:pt idx="1166">
                  <c:v>0.9284009546539379</c:v>
                </c:pt>
                <c:pt idx="1167">
                  <c:v>0.9291964996022275</c:v>
                </c:pt>
                <c:pt idx="1168">
                  <c:v>0.92999204455051709</c:v>
                </c:pt>
                <c:pt idx="1169">
                  <c:v>0.93078758949880669</c:v>
                </c:pt>
                <c:pt idx="1170">
                  <c:v>0.93158313444709628</c:v>
                </c:pt>
                <c:pt idx="1171">
                  <c:v>0.93237867939538588</c:v>
                </c:pt>
                <c:pt idx="1172">
                  <c:v>0.93317422434367536</c:v>
                </c:pt>
                <c:pt idx="1173">
                  <c:v>0.93396976929196496</c:v>
                </c:pt>
                <c:pt idx="1174">
                  <c:v>0.93476531424025455</c:v>
                </c:pt>
                <c:pt idx="1175">
                  <c:v>0.93556085918854415</c:v>
                </c:pt>
                <c:pt idx="1176">
                  <c:v>0.93635640413683374</c:v>
                </c:pt>
                <c:pt idx="1177">
                  <c:v>0.93715194908512334</c:v>
                </c:pt>
                <c:pt idx="1178">
                  <c:v>0.93794749403341293</c:v>
                </c:pt>
                <c:pt idx="1179">
                  <c:v>0.93874303898170242</c:v>
                </c:pt>
                <c:pt idx="1180">
                  <c:v>0.93953858392999201</c:v>
                </c:pt>
                <c:pt idx="1181">
                  <c:v>0.94033412887828161</c:v>
                </c:pt>
                <c:pt idx="1182">
                  <c:v>0.9411296738265712</c:v>
                </c:pt>
                <c:pt idx="1183">
                  <c:v>0.9419252187748608</c:v>
                </c:pt>
                <c:pt idx="1184">
                  <c:v>0.94272076372315039</c:v>
                </c:pt>
                <c:pt idx="1185">
                  <c:v>0.94351630867143998</c:v>
                </c:pt>
                <c:pt idx="1186">
                  <c:v>0.94431185361972947</c:v>
                </c:pt>
                <c:pt idx="1187">
                  <c:v>0.94510739856801906</c:v>
                </c:pt>
                <c:pt idx="1188">
                  <c:v>0.94590294351630866</c:v>
                </c:pt>
                <c:pt idx="1189">
                  <c:v>0.94669848846459825</c:v>
                </c:pt>
                <c:pt idx="1190">
                  <c:v>0.94749403341288785</c:v>
                </c:pt>
                <c:pt idx="1191">
                  <c:v>0.94828957836117744</c:v>
                </c:pt>
                <c:pt idx="1192">
                  <c:v>0.94908512330946704</c:v>
                </c:pt>
                <c:pt idx="1193">
                  <c:v>0.94988066825775652</c:v>
                </c:pt>
                <c:pt idx="1194">
                  <c:v>0.95067621320604612</c:v>
                </c:pt>
                <c:pt idx="1195">
                  <c:v>0.95147175815433571</c:v>
                </c:pt>
                <c:pt idx="1196">
                  <c:v>0.95226730310262531</c:v>
                </c:pt>
                <c:pt idx="1197">
                  <c:v>0.9530628480509149</c:v>
                </c:pt>
                <c:pt idx="1198">
                  <c:v>0.9538583929992045</c:v>
                </c:pt>
                <c:pt idx="1199">
                  <c:v>0.95465393794749398</c:v>
                </c:pt>
                <c:pt idx="1200">
                  <c:v>0.95544948289578358</c:v>
                </c:pt>
                <c:pt idx="1201">
                  <c:v>0.95624502784407317</c:v>
                </c:pt>
                <c:pt idx="1202">
                  <c:v>0.95704057279236276</c:v>
                </c:pt>
                <c:pt idx="1203">
                  <c:v>0.95783611774065236</c:v>
                </c:pt>
                <c:pt idx="1204">
                  <c:v>0.95863166268894195</c:v>
                </c:pt>
                <c:pt idx="1205">
                  <c:v>0.95942720763723155</c:v>
                </c:pt>
                <c:pt idx="1206">
                  <c:v>0.96022275258552103</c:v>
                </c:pt>
                <c:pt idx="1207">
                  <c:v>0.96101829753381063</c:v>
                </c:pt>
                <c:pt idx="1208">
                  <c:v>0.96181384248210022</c:v>
                </c:pt>
                <c:pt idx="1209">
                  <c:v>0.96260938743038982</c:v>
                </c:pt>
                <c:pt idx="1210">
                  <c:v>0.96340493237867941</c:v>
                </c:pt>
                <c:pt idx="1211">
                  <c:v>0.96420047732696901</c:v>
                </c:pt>
                <c:pt idx="1212">
                  <c:v>0.9649960222752586</c:v>
                </c:pt>
                <c:pt idx="1213">
                  <c:v>0.96579156722354809</c:v>
                </c:pt>
                <c:pt idx="1214">
                  <c:v>0.96658711217183768</c:v>
                </c:pt>
                <c:pt idx="1215">
                  <c:v>0.96738265712012728</c:v>
                </c:pt>
                <c:pt idx="1216">
                  <c:v>0.96817820206841687</c:v>
                </c:pt>
                <c:pt idx="1217">
                  <c:v>0.96897374701670647</c:v>
                </c:pt>
                <c:pt idx="1218">
                  <c:v>0.96976929196499606</c:v>
                </c:pt>
                <c:pt idx="1219">
                  <c:v>0.97056483691328566</c:v>
                </c:pt>
                <c:pt idx="1220">
                  <c:v>0.97136038186157514</c:v>
                </c:pt>
                <c:pt idx="1221">
                  <c:v>0.97215592680986473</c:v>
                </c:pt>
                <c:pt idx="1222">
                  <c:v>0.97295147175815433</c:v>
                </c:pt>
                <c:pt idx="1223">
                  <c:v>0.97374701670644392</c:v>
                </c:pt>
                <c:pt idx="1224">
                  <c:v>0.97454256165473352</c:v>
                </c:pt>
                <c:pt idx="1225">
                  <c:v>0.97533810660302311</c:v>
                </c:pt>
                <c:pt idx="1226">
                  <c:v>0.9761336515513126</c:v>
                </c:pt>
                <c:pt idx="1227">
                  <c:v>0.97692919649960219</c:v>
                </c:pt>
                <c:pt idx="1228">
                  <c:v>0.97772474144789179</c:v>
                </c:pt>
                <c:pt idx="1229">
                  <c:v>0.97852028639618138</c:v>
                </c:pt>
                <c:pt idx="1230">
                  <c:v>0.97931583134447098</c:v>
                </c:pt>
                <c:pt idx="1231">
                  <c:v>0.98011137629276057</c:v>
                </c:pt>
                <c:pt idx="1232">
                  <c:v>0.98090692124105017</c:v>
                </c:pt>
                <c:pt idx="1233">
                  <c:v>0.98170246618933965</c:v>
                </c:pt>
                <c:pt idx="1234">
                  <c:v>0.98249801113762925</c:v>
                </c:pt>
                <c:pt idx="1235">
                  <c:v>0.98329355608591884</c:v>
                </c:pt>
                <c:pt idx="1236">
                  <c:v>0.98408910103420844</c:v>
                </c:pt>
                <c:pt idx="1237">
                  <c:v>0.98488464598249803</c:v>
                </c:pt>
                <c:pt idx="1238">
                  <c:v>0.98568019093078763</c:v>
                </c:pt>
                <c:pt idx="1239">
                  <c:v>0.98647573587907722</c:v>
                </c:pt>
                <c:pt idx="1240">
                  <c:v>0.9872712808273667</c:v>
                </c:pt>
                <c:pt idx="1241">
                  <c:v>0.9880668257756563</c:v>
                </c:pt>
                <c:pt idx="1242">
                  <c:v>0.98886237072394589</c:v>
                </c:pt>
                <c:pt idx="1243">
                  <c:v>0.98965791567223549</c:v>
                </c:pt>
                <c:pt idx="1244">
                  <c:v>0.99045346062052508</c:v>
                </c:pt>
                <c:pt idx="1245">
                  <c:v>0.99124900556881468</c:v>
                </c:pt>
                <c:pt idx="1246">
                  <c:v>0.99204455051710416</c:v>
                </c:pt>
                <c:pt idx="1247">
                  <c:v>0.99284009546539376</c:v>
                </c:pt>
                <c:pt idx="1248">
                  <c:v>0.99363564041368335</c:v>
                </c:pt>
                <c:pt idx="1249">
                  <c:v>0.99443118536197295</c:v>
                </c:pt>
                <c:pt idx="1250">
                  <c:v>0.99522673031026254</c:v>
                </c:pt>
                <c:pt idx="1251">
                  <c:v>0.99602227525855214</c:v>
                </c:pt>
                <c:pt idx="1252">
                  <c:v>0.99681782020684173</c:v>
                </c:pt>
                <c:pt idx="1253">
                  <c:v>0.99761336515513122</c:v>
                </c:pt>
                <c:pt idx="1254">
                  <c:v>0.99840891010342081</c:v>
                </c:pt>
                <c:pt idx="1255">
                  <c:v>0.99920445505171041</c:v>
                </c:pt>
                <c:pt idx="1256">
                  <c:v>1</c:v>
                </c:pt>
              </c:numCache>
            </c:numRef>
          </c:xVal>
          <c:yVal>
            <c:numRef>
              <c:f>Training!$N$2:$N$1258</c:f>
              <c:numCache>
                <c:formatCode>General</c:formatCode>
                <c:ptCount val="1257"/>
                <c:pt idx="0">
                  <c:v>2.3539325842696628</c:v>
                </c:pt>
                <c:pt idx="1">
                  <c:v>2.3539325842696628</c:v>
                </c:pt>
                <c:pt idx="2">
                  <c:v>3.1385767790262173</c:v>
                </c:pt>
                <c:pt idx="3">
                  <c:v>2.3539325842696628</c:v>
                </c:pt>
                <c:pt idx="4">
                  <c:v>1.8831460674157303</c:v>
                </c:pt>
                <c:pt idx="5">
                  <c:v>1.9616104868913857</c:v>
                </c:pt>
                <c:pt idx="6">
                  <c:v>2.0176565008025684</c:v>
                </c:pt>
                <c:pt idx="7">
                  <c:v>2.3539325842696628</c:v>
                </c:pt>
                <c:pt idx="8">
                  <c:v>2.0923845193508113</c:v>
                </c:pt>
                <c:pt idx="9">
                  <c:v>2.1185393258426966</c:v>
                </c:pt>
                <c:pt idx="10">
                  <c:v>2.3539325842696628</c:v>
                </c:pt>
                <c:pt idx="11">
                  <c:v>2.1577715355805243</c:v>
                </c:pt>
                <c:pt idx="12">
                  <c:v>2.1728608470181503</c:v>
                </c:pt>
                <c:pt idx="13">
                  <c:v>2.8583467094703052</c:v>
                </c:pt>
                <c:pt idx="14">
                  <c:v>2.6677902621722844</c:v>
                </c:pt>
                <c:pt idx="15">
                  <c:v>2.5010533707865168</c:v>
                </c:pt>
                <c:pt idx="16">
                  <c:v>2.3539325842696632</c:v>
                </c:pt>
                <c:pt idx="17">
                  <c:v>2.2231585518102372</c:v>
                </c:pt>
                <c:pt idx="18">
                  <c:v>2.2300413956238914</c:v>
                </c:pt>
                <c:pt idx="19">
                  <c:v>2.3539325842696632</c:v>
                </c:pt>
                <c:pt idx="20">
                  <c:v>2.2418405564472983</c:v>
                </c:pt>
                <c:pt idx="21">
                  <c:v>2.1399387129724206</c:v>
                </c:pt>
                <c:pt idx="22">
                  <c:v>2.456277479237909</c:v>
                </c:pt>
                <c:pt idx="23">
                  <c:v>2.3539325842696628</c:v>
                </c:pt>
                <c:pt idx="24">
                  <c:v>2.2597752808988765</c:v>
                </c:pt>
                <c:pt idx="25">
                  <c:v>2.1728608470181503</c:v>
                </c:pt>
                <c:pt idx="26">
                  <c:v>2.1795672076570956</c:v>
                </c:pt>
                <c:pt idx="27">
                  <c:v>2.2698635634028892</c:v>
                </c:pt>
                <c:pt idx="28">
                  <c:v>2.1915924060441689</c:v>
                </c:pt>
                <c:pt idx="29">
                  <c:v>2.197003745318352</c:v>
                </c:pt>
                <c:pt idx="30">
                  <c:v>2.1261326567596956</c:v>
                </c:pt>
                <c:pt idx="31">
                  <c:v>2.133251404494382</c:v>
                </c:pt>
                <c:pt idx="32">
                  <c:v>2.0686074225400071</c:v>
                </c:pt>
                <c:pt idx="33">
                  <c:v>2.0769993390614676</c:v>
                </c:pt>
                <c:pt idx="34">
                  <c:v>2.084911717495987</c:v>
                </c:pt>
                <c:pt idx="35">
                  <c:v>2.1577715355805243</c:v>
                </c:pt>
                <c:pt idx="36">
                  <c:v>2.0994533859702398</c:v>
                </c:pt>
                <c:pt idx="37">
                  <c:v>2.1061502069781195</c:v>
                </c:pt>
                <c:pt idx="38">
                  <c:v>2.052146355517142</c:v>
                </c:pt>
                <c:pt idx="39">
                  <c:v>2.1185393258426966</c:v>
                </c:pt>
                <c:pt idx="40">
                  <c:v>2.0668676349684842</c:v>
                </c:pt>
                <c:pt idx="41">
                  <c:v>2.0737025147137507</c:v>
                </c:pt>
                <c:pt idx="42">
                  <c:v>2.1897047295531746</c:v>
                </c:pt>
                <c:pt idx="43">
                  <c:v>2.1399387129724206</c:v>
                </c:pt>
                <c:pt idx="44">
                  <c:v>2.0923845193508117</c:v>
                </c:pt>
                <c:pt idx="45">
                  <c:v>2.1492427943331704</c:v>
                </c:pt>
                <c:pt idx="46">
                  <c:v>2.1035142242409757</c:v>
                </c:pt>
                <c:pt idx="47">
                  <c:v>2.0596910112359552</c:v>
                </c:pt>
                <c:pt idx="48">
                  <c:v>2.0176565008025684</c:v>
                </c:pt>
                <c:pt idx="49">
                  <c:v>2.1185393258426966</c:v>
                </c:pt>
                <c:pt idx="50">
                  <c:v>2.0769993390614672</c:v>
                </c:pt>
                <c:pt idx="51">
                  <c:v>2.0370570440795159</c:v>
                </c:pt>
                <c:pt idx="52">
                  <c:v>2.0430358278566887</c:v>
                </c:pt>
                <c:pt idx="53">
                  <c:v>2.0052018310445279</c:v>
                </c:pt>
                <c:pt idx="54">
                  <c:v>2.0115423901940757</c:v>
                </c:pt>
                <c:pt idx="55">
                  <c:v>1.9756219903691816</c:v>
                </c:pt>
                <c:pt idx="56">
                  <c:v>2.0235560812142714</c:v>
                </c:pt>
                <c:pt idx="57">
                  <c:v>1.9886671832623013</c:v>
                </c:pt>
                <c:pt idx="58">
                  <c:v>2.0347552847076749</c:v>
                </c:pt>
                <c:pt idx="59">
                  <c:v>2.0008426966292134</c:v>
                </c:pt>
                <c:pt idx="60">
                  <c:v>1.9680419966844724</c:v>
                </c:pt>
                <c:pt idx="61">
                  <c:v>2.0501993475897065</c:v>
                </c:pt>
                <c:pt idx="62">
                  <c:v>2.017656500802568</c:v>
                </c:pt>
                <c:pt idx="63">
                  <c:v>1.9861306179775282</c:v>
                </c:pt>
                <c:pt idx="64">
                  <c:v>2.0280034572169403</c:v>
                </c:pt>
                <c:pt idx="65">
                  <c:v>1.9972761321075929</c:v>
                </c:pt>
                <c:pt idx="66">
                  <c:v>2.0025993627368774</c:v>
                </c:pt>
                <c:pt idx="67">
                  <c:v>1.9731493721083939</c:v>
                </c:pt>
                <c:pt idx="68">
                  <c:v>1.9786679693860936</c:v>
                </c:pt>
                <c:pt idx="69">
                  <c:v>1.9840288924558587</c:v>
                </c:pt>
                <c:pt idx="70">
                  <c:v>1.9560848235480297</c:v>
                </c:pt>
                <c:pt idx="71">
                  <c:v>1.9616104868913857</c:v>
                </c:pt>
                <c:pt idx="72">
                  <c:v>1.9669847621979375</c:v>
                </c:pt>
                <c:pt idx="73">
                  <c:v>1.9404038870331004</c:v>
                </c:pt>
                <c:pt idx="74">
                  <c:v>1.9145318352059926</c:v>
                </c:pt>
                <c:pt idx="75">
                  <c:v>1.9512862211709048</c:v>
                </c:pt>
                <c:pt idx="76">
                  <c:v>1.9259448416751788</c:v>
                </c:pt>
                <c:pt idx="77">
                  <c:v>1.9314318640161334</c:v>
                </c:pt>
                <c:pt idx="78">
                  <c:v>1.9367799743990899</c:v>
                </c:pt>
                <c:pt idx="79">
                  <c:v>1.9419943820224721</c:v>
                </c:pt>
                <c:pt idx="80">
                  <c:v>1.9470800388403384</c:v>
                </c:pt>
                <c:pt idx="81">
                  <c:v>1.980748150178131</c:v>
                </c:pt>
                <c:pt idx="82">
                  <c:v>1.9568837146338161</c:v>
                </c:pt>
                <c:pt idx="83">
                  <c:v>1.9896334938469771</c:v>
                </c:pt>
                <c:pt idx="84">
                  <c:v>1.9662260409781891</c:v>
                </c:pt>
                <c:pt idx="85">
                  <c:v>1.9707342565978574</c:v>
                </c:pt>
                <c:pt idx="86">
                  <c:v>1.9751388350768435</c:v>
                </c:pt>
                <c:pt idx="87">
                  <c:v>2.0061925434116445</c:v>
                </c:pt>
                <c:pt idx="88">
                  <c:v>1.9836510541598285</c:v>
                </c:pt>
                <c:pt idx="89">
                  <c:v>2.0139200998751563</c:v>
                </c:pt>
                <c:pt idx="90">
                  <c:v>1.9917891097666378</c:v>
                </c:pt>
                <c:pt idx="91">
                  <c:v>1.995725451880801</c:v>
                </c:pt>
                <c:pt idx="92">
                  <c:v>1.9995771414763805</c:v>
                </c:pt>
                <c:pt idx="93">
                  <c:v>1.9783050442266317</c:v>
                </c:pt>
                <c:pt idx="94">
                  <c:v>1.9822590183323476</c:v>
                </c:pt>
                <c:pt idx="95">
                  <c:v>1.9616104868913857</c:v>
                </c:pt>
                <c:pt idx="96">
                  <c:v>1.9899223908259005</c:v>
                </c:pt>
                <c:pt idx="97">
                  <c:v>1.9696170603072691</c:v>
                </c:pt>
                <c:pt idx="98">
                  <c:v>1.9972761321075929</c:v>
                </c:pt>
                <c:pt idx="99">
                  <c:v>1.9773033707865169</c:v>
                </c:pt>
                <c:pt idx="100">
                  <c:v>2.004338636110802</c:v>
                </c:pt>
                <c:pt idx="101">
                  <c:v>1.9846882573254019</c:v>
                </c:pt>
                <c:pt idx="102">
                  <c:v>2.011126868113887</c:v>
                </c:pt>
                <c:pt idx="103">
                  <c:v>1.9917891097666378</c:v>
                </c:pt>
                <c:pt idx="104">
                  <c:v>1.9728196896736223</c:v>
                </c:pt>
                <c:pt idx="105">
                  <c:v>1.9764150943396226</c:v>
                </c:pt>
                <c:pt idx="106">
                  <c:v>1.9799432951800902</c:v>
                </c:pt>
                <c:pt idx="107">
                  <c:v>1.961610486891386</c:v>
                </c:pt>
                <c:pt idx="108">
                  <c:v>1.9868054839707248</c:v>
                </c:pt>
                <c:pt idx="109">
                  <c:v>1.9687436159346272</c:v>
                </c:pt>
                <c:pt idx="110">
                  <c:v>1.951007186962243</c:v>
                </c:pt>
                <c:pt idx="111">
                  <c:v>1.9756219903691816</c:v>
                </c:pt>
                <c:pt idx="112">
                  <c:v>1.9581386099234366</c:v>
                </c:pt>
                <c:pt idx="113">
                  <c:v>1.9409619554504238</c:v>
                </c:pt>
                <c:pt idx="114">
                  <c:v>1.9240840254030287</c:v>
                </c:pt>
                <c:pt idx="115">
                  <c:v>1.9074970941495544</c:v>
                </c:pt>
                <c:pt idx="116">
                  <c:v>1.911312782099299</c:v>
                </c:pt>
                <c:pt idx="117">
                  <c:v>1.895115216149305</c:v>
                </c:pt>
                <c:pt idx="118">
                  <c:v>1.8791898781984704</c:v>
                </c:pt>
                <c:pt idx="119">
                  <c:v>1.8635299625468165</c:v>
                </c:pt>
                <c:pt idx="120">
                  <c:v>1.8481288884761815</c:v>
                </c:pt>
                <c:pt idx="121">
                  <c:v>1.8522748204089152</c:v>
                </c:pt>
                <c:pt idx="122">
                  <c:v>1.8372156755275417</c:v>
                </c:pt>
                <c:pt idx="123">
                  <c:v>1.8413827473722364</c:v>
                </c:pt>
                <c:pt idx="124">
                  <c:v>1.8266516853932584</c:v>
                </c:pt>
                <c:pt idx="125">
                  <c:v>1.8121544497948991</c:v>
                </c:pt>
                <c:pt idx="126">
                  <c:v>1.8534902238343802</c:v>
                </c:pt>
                <c:pt idx="127">
                  <c:v>1.8390098314606742</c:v>
                </c:pt>
                <c:pt idx="128">
                  <c:v>1.8247539412943123</c:v>
                </c:pt>
                <c:pt idx="129">
                  <c:v>1.8288245462402766</c:v>
                </c:pt>
                <c:pt idx="130">
                  <c:v>1.8148640535208853</c:v>
                </c:pt>
                <c:pt idx="131">
                  <c:v>1.8011150834184542</c:v>
                </c:pt>
                <c:pt idx="132">
                  <c:v>1.8052716059812453</c:v>
                </c:pt>
                <c:pt idx="133">
                  <c:v>1.791799429817206</c:v>
                </c:pt>
                <c:pt idx="134">
                  <c:v>1.7959633791094465</c:v>
                </c:pt>
                <c:pt idx="135">
                  <c:v>1.8173744216787839</c:v>
                </c:pt>
                <c:pt idx="136">
                  <c:v>1.8041089149512015</c:v>
                </c:pt>
                <c:pt idx="137">
                  <c:v>1.8080931444390165</c:v>
                </c:pt>
                <c:pt idx="138">
                  <c:v>1.7950852800905344</c:v>
                </c:pt>
                <c:pt idx="139">
                  <c:v>1.8158908507223113</c:v>
                </c:pt>
                <c:pt idx="140">
                  <c:v>1.8030121922065505</c:v>
                </c:pt>
                <c:pt idx="141">
                  <c:v>1.8068919132774173</c:v>
                </c:pt>
                <c:pt idx="142">
                  <c:v>1.7942563054922605</c:v>
                </c:pt>
                <c:pt idx="143">
                  <c:v>1.7981429463171035</c:v>
                </c:pt>
                <c:pt idx="144">
                  <c:v>1.7857419604804339</c:v>
                </c:pt>
                <c:pt idx="145">
                  <c:v>1.78963367708173</c:v>
                </c:pt>
                <c:pt idx="146">
                  <c:v>1.777459298326072</c:v>
                </c:pt>
                <c:pt idx="147">
                  <c:v>1.781354388095961</c:v>
                </c:pt>
                <c:pt idx="148">
                  <c:v>1.7693989895181359</c:v>
                </c:pt>
                <c:pt idx="149">
                  <c:v>1.7732958801498129</c:v>
                </c:pt>
                <c:pt idx="150">
                  <c:v>1.7771411563360369</c:v>
                </c:pt>
                <c:pt idx="151">
                  <c:v>1.7964222353636901</c:v>
                </c:pt>
                <c:pt idx="152">
                  <c:v>1.7846809135639274</c:v>
                </c:pt>
                <c:pt idx="153">
                  <c:v>1.7883773529840945</c:v>
                </c:pt>
                <c:pt idx="154">
                  <c:v>1.8072127582457411</c:v>
                </c:pt>
                <c:pt idx="155">
                  <c:v>1.7956280610774991</c:v>
                </c:pt>
                <c:pt idx="156">
                  <c:v>1.7841909396693623</c:v>
                </c:pt>
                <c:pt idx="157">
                  <c:v>1.7877968994453137</c:v>
                </c:pt>
                <c:pt idx="158">
                  <c:v>1.776552893788425</c:v>
                </c:pt>
                <c:pt idx="159">
                  <c:v>1.7654494382022472</c:v>
                </c:pt>
                <c:pt idx="160">
                  <c:v>1.7691046130225416</c:v>
                </c:pt>
                <c:pt idx="161">
                  <c:v>1.7581842141767234</c:v>
                </c:pt>
                <c:pt idx="162">
                  <c:v>1.7618391121527539</c:v>
                </c:pt>
                <c:pt idx="163">
                  <c:v>1.7798026856673059</c:v>
                </c:pt>
                <c:pt idx="164">
                  <c:v>1.7690160027238677</c:v>
                </c:pt>
                <c:pt idx="165">
                  <c:v>1.7583592798158927</c:v>
                </c:pt>
                <c:pt idx="166">
                  <c:v>1.7478301823319655</c:v>
                </c:pt>
                <c:pt idx="167">
                  <c:v>1.7514379347244518</c:v>
                </c:pt>
                <c:pt idx="168">
                  <c:v>1.7410743966491591</c:v>
                </c:pt>
                <c:pt idx="169">
                  <c:v>1.7446794448116325</c:v>
                </c:pt>
                <c:pt idx="170">
                  <c:v>1.7344766410408043</c:v>
                </c:pt>
                <c:pt idx="171">
                  <c:v>1.7243924745231252</c:v>
                </c:pt>
                <c:pt idx="172">
                  <c:v>1.741637981424953</c:v>
                </c:pt>
                <c:pt idx="173">
                  <c:v>1.7316285677386025</c:v>
                </c:pt>
                <c:pt idx="174">
                  <c:v>1.7217335473515247</c:v>
                </c:pt>
                <c:pt idx="175">
                  <c:v>1.7119509703779365</c:v>
                </c:pt>
                <c:pt idx="176">
                  <c:v>1.7022789309972706</c:v>
                </c:pt>
                <c:pt idx="177">
                  <c:v>1.7059399065774525</c:v>
                </c:pt>
                <c:pt idx="178">
                  <c:v>1.7095599774025485</c:v>
                </c:pt>
                <c:pt idx="179">
                  <c:v>1.7000624219725344</c:v>
                </c:pt>
                <c:pt idx="180">
                  <c:v>1.7166801167049475</c:v>
                </c:pt>
                <c:pt idx="181">
                  <c:v>1.7072478083714038</c:v>
                </c:pt>
                <c:pt idx="182">
                  <c:v>1.6979185853748389</c:v>
                </c:pt>
                <c:pt idx="183">
                  <c:v>1.7014838788470932</c:v>
                </c:pt>
                <c:pt idx="184">
                  <c:v>1.7050106286061342</c:v>
                </c:pt>
                <c:pt idx="185">
                  <c:v>1.695843904796424</c:v>
                </c:pt>
                <c:pt idx="186">
                  <c:v>1.6993630955957462</c:v>
                </c:pt>
                <c:pt idx="187">
                  <c:v>1.7028448481950753</c:v>
                </c:pt>
                <c:pt idx="188">
                  <c:v>1.7436537661256764</c:v>
                </c:pt>
                <c:pt idx="189">
                  <c:v>1.7344766410408043</c:v>
                </c:pt>
                <c:pt idx="190">
                  <c:v>1.7253956115065592</c:v>
                </c:pt>
                <c:pt idx="191">
                  <c:v>1.7164091760299625</c:v>
                </c:pt>
                <c:pt idx="192">
                  <c:v>1.7441054898992838</c:v>
                </c:pt>
                <c:pt idx="193">
                  <c:v>1.7351152554152669</c:v>
                </c:pt>
                <c:pt idx="194">
                  <c:v>1.7262172284644193</c:v>
                </c:pt>
                <c:pt idx="195">
                  <c:v>1.7294198578307729</c:v>
                </c:pt>
                <c:pt idx="196">
                  <c:v>1.7445388695602579</c:v>
                </c:pt>
                <c:pt idx="197">
                  <c:v>1.7357280671887414</c:v>
                </c:pt>
                <c:pt idx="198">
                  <c:v>1.738834622550957</c:v>
                </c:pt>
                <c:pt idx="199">
                  <c:v>1.7419101123595506</c:v>
                </c:pt>
                <c:pt idx="200">
                  <c:v>1.7449550002795013</c:v>
                </c:pt>
                <c:pt idx="201">
                  <c:v>1.747969740794304</c:v>
                </c:pt>
                <c:pt idx="202">
                  <c:v>1.7509547794321136</c:v>
                </c:pt>
                <c:pt idx="203">
                  <c:v>1.765449438202247</c:v>
                </c:pt>
                <c:pt idx="204">
                  <c:v>1.756837489723212</c:v>
                </c:pt>
                <c:pt idx="205">
                  <c:v>1.759736009599651</c:v>
                </c:pt>
                <c:pt idx="206">
                  <c:v>1.7626065244531293</c:v>
                </c:pt>
                <c:pt idx="207">
                  <c:v>1.7654494382022472</c:v>
                </c:pt>
                <c:pt idx="208">
                  <c:v>1.7570023117036719</c:v>
                </c:pt>
                <c:pt idx="209">
                  <c:v>1.759844836811129</c:v>
                </c:pt>
                <c:pt idx="210">
                  <c:v>1.7626604185526384</c:v>
                </c:pt>
                <c:pt idx="211">
                  <c:v>1.7543459826160694</c:v>
                </c:pt>
                <c:pt idx="212">
                  <c:v>1.746109616500501</c:v>
                </c:pt>
                <c:pt idx="213">
                  <c:v>1.7489499107424129</c:v>
                </c:pt>
                <c:pt idx="214">
                  <c:v>1.7627123072903059</c:v>
                </c:pt>
                <c:pt idx="215">
                  <c:v>1.7545516021639618</c:v>
                </c:pt>
                <c:pt idx="216">
                  <c:v>1.7681613421011755</c:v>
                </c:pt>
                <c:pt idx="217">
                  <c:v>1.7600505102566746</c:v>
                </c:pt>
                <c:pt idx="218">
                  <c:v>1.7520137499358679</c:v>
                </c:pt>
                <c:pt idx="219">
                  <c:v>1.744050051072523</c:v>
                </c:pt>
                <c:pt idx="220">
                  <c:v>1.7361584218821495</c:v>
                </c:pt>
                <c:pt idx="221">
                  <c:v>1.7495444883085332</c:v>
                </c:pt>
                <c:pt idx="222">
                  <c:v>1.7416989973295711</c:v>
                </c:pt>
                <c:pt idx="223">
                  <c:v>1.7549408105939006</c:v>
                </c:pt>
                <c:pt idx="224">
                  <c:v>1.7471410736579276</c:v>
                </c:pt>
                <c:pt idx="225">
                  <c:v>1.739410360942627</c:v>
                </c:pt>
                <c:pt idx="226">
                  <c:v>1.7317477602336286</c:v>
                </c:pt>
                <c:pt idx="227">
                  <c:v>1.7344766410408043</c:v>
                </c:pt>
                <c:pt idx="228">
                  <c:v>1.7371816888278298</c:v>
                </c:pt>
                <c:pt idx="229">
                  <c:v>1.7296287249633611</c:v>
                </c:pt>
                <c:pt idx="230">
                  <c:v>1.732331339072912</c:v>
                </c:pt>
                <c:pt idx="231">
                  <c:v>1.7248643936458736</c:v>
                </c:pt>
                <c:pt idx="232">
                  <c:v>1.7174615421709987</c:v>
                </c:pt>
                <c:pt idx="233">
                  <c:v>1.7201815038893691</c:v>
                </c:pt>
                <c:pt idx="234">
                  <c:v>1.7128615825962228</c:v>
                </c:pt>
                <c:pt idx="235">
                  <c:v>1.7155779851456865</c:v>
                </c:pt>
                <c:pt idx="236">
                  <c:v>1.7083392594699665</c:v>
                </c:pt>
                <c:pt idx="237">
                  <c:v>1.7011613634217733</c:v>
                </c:pt>
                <c:pt idx="238">
                  <c:v>1.6940435334492971</c:v>
                </c:pt>
                <c:pt idx="239">
                  <c:v>1.6869850187265918</c:v>
                </c:pt>
                <c:pt idx="240">
                  <c:v>1.6799850808895518</c:v>
                </c:pt>
                <c:pt idx="241">
                  <c:v>1.6730429937784379</c:v>
                </c:pt>
                <c:pt idx="242">
                  <c:v>1.6758450085541223</c:v>
                </c:pt>
                <c:pt idx="243">
                  <c:v>1.6882713206852091</c:v>
                </c:pt>
                <c:pt idx="244">
                  <c:v>1.6813804173354736</c:v>
                </c:pt>
                <c:pt idx="245">
                  <c:v>1.6745455375902074</c:v>
                </c:pt>
                <c:pt idx="246">
                  <c:v>1.6677660010007733</c:v>
                </c:pt>
                <c:pt idx="247">
                  <c:v>1.689516129032258</c:v>
                </c:pt>
                <c:pt idx="248">
                  <c:v>1.6827309236947792</c:v>
                </c:pt>
                <c:pt idx="249">
                  <c:v>1.6759999999999999</c:v>
                </c:pt>
                <c:pt idx="250">
                  <c:v>1.7162137964993955</c:v>
                </c:pt>
                <c:pt idx="251">
                  <c:v>1.7094034242910647</c:v>
                </c:pt>
                <c:pt idx="252">
                  <c:v>1.7026468890171871</c:v>
                </c:pt>
                <c:pt idx="253">
                  <c:v>1.695943554808458</c:v>
                </c:pt>
                <c:pt idx="254">
                  <c:v>1.6892927957699935</c:v>
                </c:pt>
                <c:pt idx="255">
                  <c:v>1.6826939957865168</c:v>
                </c:pt>
                <c:pt idx="256">
                  <c:v>1.6853058190880077</c:v>
                </c:pt>
                <c:pt idx="257">
                  <c:v>1.687897395697239</c:v>
                </c:pt>
                <c:pt idx="258">
                  <c:v>1.6995575029282894</c:v>
                </c:pt>
                <c:pt idx="259">
                  <c:v>1.6930207433016422</c:v>
                </c:pt>
                <c:pt idx="260">
                  <c:v>1.6865340737870764</c:v>
                </c:pt>
                <c:pt idx="261">
                  <c:v>1.7160348228836093</c:v>
                </c:pt>
                <c:pt idx="262">
                  <c:v>1.7095099756483103</c:v>
                </c:pt>
                <c:pt idx="263">
                  <c:v>1.7030345590738849</c:v>
                </c:pt>
                <c:pt idx="264">
                  <c:v>1.6966080135679458</c:v>
                </c:pt>
                <c:pt idx="265">
                  <c:v>1.707928529188139</c:v>
                </c:pt>
                <c:pt idx="266">
                  <c:v>1.7015317931237639</c:v>
                </c:pt>
                <c:pt idx="267">
                  <c:v>1.69518279389569</c:v>
                </c:pt>
                <c:pt idx="268">
                  <c:v>1.6888809991228435</c:v>
                </c:pt>
                <c:pt idx="269">
                  <c:v>1.6826258843112776</c:v>
                </c:pt>
                <c:pt idx="270">
                  <c:v>1.6937891289025249</c:v>
                </c:pt>
                <c:pt idx="271">
                  <c:v>1.6875619629874423</c:v>
                </c:pt>
                <c:pt idx="272">
                  <c:v>1.690002881014117</c:v>
                </c:pt>
                <c:pt idx="273">
                  <c:v>1.683834987287788</c:v>
                </c:pt>
                <c:pt idx="274">
                  <c:v>1.6862717058222676</c:v>
                </c:pt>
                <c:pt idx="275">
                  <c:v>1.6801620257287087</c:v>
                </c:pt>
                <c:pt idx="276">
                  <c:v>1.6825944104165822</c:v>
                </c:pt>
                <c:pt idx="277">
                  <c:v>1.6765419125373857</c:v>
                </c:pt>
                <c:pt idx="278">
                  <c:v>1.6705328017397607</c:v>
                </c:pt>
                <c:pt idx="279">
                  <c:v>1.6645666131621186</c:v>
                </c:pt>
                <c:pt idx="280">
                  <c:v>1.6670198728457757</c:v>
                </c:pt>
                <c:pt idx="281">
                  <c:v>1.6611084548569608</c:v>
                </c:pt>
                <c:pt idx="282">
                  <c:v>1.6718743796402906</c:v>
                </c:pt>
                <c:pt idx="283">
                  <c:v>1.665987498021839</c:v>
                </c:pt>
                <c:pt idx="284">
                  <c:v>1.668401340429726</c:v>
                </c:pt>
                <c:pt idx="285">
                  <c:v>1.6625677693093424</c:v>
                </c:pt>
                <c:pt idx="286">
                  <c:v>1.6567748502525153</c:v>
                </c:pt>
                <c:pt idx="287">
                  <c:v>1.6510221598002497</c:v>
                </c:pt>
                <c:pt idx="288">
                  <c:v>1.6534543758018738</c:v>
                </c:pt>
                <c:pt idx="289">
                  <c:v>1.6721038357225881</c:v>
                </c:pt>
                <c:pt idx="290">
                  <c:v>1.6663577744314453</c:v>
                </c:pt>
                <c:pt idx="291">
                  <c:v>1.6606510697244883</c:v>
                </c:pt>
                <c:pt idx="292">
                  <c:v>1.6630172182382943</c:v>
                </c:pt>
                <c:pt idx="293">
                  <c:v>1.6573606970878239</c:v>
                </c:pt>
                <c:pt idx="294">
                  <c:v>1.6597219577223385</c:v>
                </c:pt>
                <c:pt idx="295">
                  <c:v>1.6620672638931067</c:v>
                </c:pt>
                <c:pt idx="296">
                  <c:v>1.6643967767563272</c:v>
                </c:pt>
                <c:pt idx="297">
                  <c:v>1.6667106553050297</c:v>
                </c:pt>
                <c:pt idx="298">
                  <c:v>1.6611363721769192</c:v>
                </c:pt>
                <c:pt idx="299">
                  <c:v>1.6555992509363298</c:v>
                </c:pt>
                <c:pt idx="300">
                  <c:v>1.6579192952331181</c:v>
                </c:pt>
                <c:pt idx="301">
                  <c:v>1.6758129325098594</c:v>
                </c:pt>
                <c:pt idx="302">
                  <c:v>1.6702821967590018</c:v>
                </c:pt>
                <c:pt idx="303">
                  <c:v>1.6647878474275577</c:v>
                </c:pt>
                <c:pt idx="304">
                  <c:v>1.6593295266163197</c:v>
                </c:pt>
                <c:pt idx="305">
                  <c:v>1.6539068811045017</c:v>
                </c:pt>
                <c:pt idx="306">
                  <c:v>1.6485195622735425</c:v>
                </c:pt>
                <c:pt idx="307">
                  <c:v>1.6431672260323944</c:v>
                </c:pt>
                <c:pt idx="308">
                  <c:v>1.6454674375477254</c:v>
                </c:pt>
                <c:pt idx="309">
                  <c:v>1.640159478071765</c:v>
                </c:pt>
                <c:pt idx="310">
                  <c:v>1.6348856533834313</c:v>
                </c:pt>
                <c:pt idx="311">
                  <c:v>1.6296456352636126</c:v>
                </c:pt>
                <c:pt idx="312">
                  <c:v>1.6244390996876905</c:v>
                </c:pt>
                <c:pt idx="313">
                  <c:v>1.6192657267587489</c:v>
                </c:pt>
                <c:pt idx="314">
                  <c:v>1.621598002496879</c:v>
                </c:pt>
                <c:pt idx="315">
                  <c:v>1.6239155169961601</c:v>
                </c:pt>
                <c:pt idx="316">
                  <c:v>1.6187927551128913</c:v>
                </c:pt>
                <c:pt idx="317">
                  <c:v>1.6137022118578193</c:v>
                </c:pt>
                <c:pt idx="318">
                  <c:v>1.6086435842344406</c:v>
                </c:pt>
                <c:pt idx="319">
                  <c:v>1.603616573033708</c:v>
                </c:pt>
                <c:pt idx="320">
                  <c:v>1.6059540060905177</c:v>
                </c:pt>
                <c:pt idx="321">
                  <c:v>1.6082769209295833</c:v>
                </c:pt>
                <c:pt idx="322">
                  <c:v>1.6032977354158695</c:v>
                </c:pt>
                <c:pt idx="323">
                  <c:v>1.6128797336662506</c:v>
                </c:pt>
                <c:pt idx="324">
                  <c:v>1.6079170267934313</c:v>
                </c:pt>
                <c:pt idx="325">
                  <c:v>1.6029847659750465</c:v>
                </c:pt>
                <c:pt idx="326">
                  <c:v>1.6052812424835927</c:v>
                </c:pt>
                <c:pt idx="327">
                  <c:v>1.607563716086599</c:v>
                </c:pt>
                <c:pt idx="328">
                  <c:v>1.6026775041836001</c:v>
                </c:pt>
                <c:pt idx="329">
                  <c:v>1.6192202928157984</c:v>
                </c:pt>
                <c:pt idx="330">
                  <c:v>1.6143283886078956</c:v>
                </c:pt>
                <c:pt idx="331">
                  <c:v>1.60946595370245</c:v>
                </c:pt>
                <c:pt idx="332">
                  <c:v>1.6117015892296789</c:v>
                </c:pt>
                <c:pt idx="333">
                  <c:v>1.6068761353697101</c:v>
                </c:pt>
                <c:pt idx="334">
                  <c:v>1.6020794901895021</c:v>
                </c:pt>
                <c:pt idx="335">
                  <c:v>1.5973113964687</c:v>
                </c:pt>
                <c:pt idx="336">
                  <c:v>1.5925716000400094</c:v>
                </c:pt>
                <c:pt idx="337">
                  <c:v>1.5948241473306297</c:v>
                </c:pt>
                <c:pt idx="338">
                  <c:v>1.5901196513208049</c:v>
                </c:pt>
                <c:pt idx="339">
                  <c:v>1.6062128222075347</c:v>
                </c:pt>
                <c:pt idx="340">
                  <c:v>1.6015025206761344</c:v>
                </c:pt>
                <c:pt idx="341">
                  <c:v>1.5968197647677245</c:v>
                </c:pt>
                <c:pt idx="342">
                  <c:v>1.5921643135584893</c:v>
                </c:pt>
                <c:pt idx="343">
                  <c:v>1.5875359289260518</c:v>
                </c:pt>
                <c:pt idx="344">
                  <c:v>1.5897573685067579</c:v>
                </c:pt>
                <c:pt idx="345">
                  <c:v>1.5851626940313048</c:v>
                </c:pt>
                <c:pt idx="346">
                  <c:v>1.5805945018294854</c:v>
                </c:pt>
                <c:pt idx="347">
                  <c:v>1.5828167376985665</c:v>
                </c:pt>
                <c:pt idx="348">
                  <c:v>1.5850262386916067</c:v>
                </c:pt>
                <c:pt idx="349">
                  <c:v>1.580497592295345</c:v>
                </c:pt>
                <c:pt idx="350">
                  <c:v>1.5894074714299433</c:v>
                </c:pt>
                <c:pt idx="351">
                  <c:v>1.5848921092951991</c:v>
                </c:pt>
                <c:pt idx="352">
                  <c:v>1.5937390584715283</c:v>
                </c:pt>
                <c:pt idx="353">
                  <c:v>1.589236970735733</c:v>
                </c:pt>
                <c:pt idx="354">
                  <c:v>1.5913910428865328</c:v>
                </c:pt>
                <c:pt idx="355">
                  <c:v>1.5869208433278628</c:v>
                </c:pt>
                <c:pt idx="356">
                  <c:v>1.5956629842948415</c:v>
                </c:pt>
                <c:pt idx="357">
                  <c:v>1.5912058251208336</c:v>
                </c:pt>
                <c:pt idx="358">
                  <c:v>1.5867734969171545</c:v>
                </c:pt>
                <c:pt idx="359">
                  <c:v>1.5823657927590513</c:v>
                </c:pt>
                <c:pt idx="360">
                  <c:v>1.5910236857667528</c:v>
                </c:pt>
                <c:pt idx="361">
                  <c:v>1.5866285927121484</c:v>
                </c:pt>
                <c:pt idx="362">
                  <c:v>1.588742377812858</c:v>
                </c:pt>
                <c:pt idx="363">
                  <c:v>1.5843777009507347</c:v>
                </c:pt>
                <c:pt idx="364">
                  <c:v>1.5864860704940742</c:v>
                </c:pt>
                <c:pt idx="365">
                  <c:v>1.5821514090992816</c:v>
                </c:pt>
                <c:pt idx="366">
                  <c:v>1.5778403698374306</c:v>
                </c:pt>
                <c:pt idx="367">
                  <c:v>1.5735527601367854</c:v>
                </c:pt>
                <c:pt idx="368">
                  <c:v>1.5756676106086902</c:v>
                </c:pt>
                <c:pt idx="369">
                  <c:v>1.5777710294564227</c:v>
                </c:pt>
                <c:pt idx="370">
                  <c:v>1.5798631091189919</c:v>
                </c:pt>
                <c:pt idx="371">
                  <c:v>1.5819439410414402</c:v>
                </c:pt>
                <c:pt idx="372">
                  <c:v>1.5777028044702837</c:v>
                </c:pt>
                <c:pt idx="373">
                  <c:v>1.5734843477738389</c:v>
                </c:pt>
                <c:pt idx="374">
                  <c:v>1.5692883895131087</c:v>
                </c:pt>
                <c:pt idx="375">
                  <c:v>1.5776356681807315</c:v>
                </c:pt>
                <c:pt idx="376">
                  <c:v>1.5734509581855571</c:v>
                </c:pt>
                <c:pt idx="377">
                  <c:v>1.5755157243921289</c:v>
                </c:pt>
                <c:pt idx="378">
                  <c:v>1.5713586908185349</c:v>
                </c:pt>
                <c:pt idx="379">
                  <c:v>1.5734180958013011</c:v>
                </c:pt>
                <c:pt idx="380">
                  <c:v>1.5692883895131087</c:v>
                </c:pt>
                <c:pt idx="381">
                  <c:v>1.5651803047238073</c:v>
                </c:pt>
                <c:pt idx="382">
                  <c:v>1.5856778243905301</c:v>
                </c:pt>
                <c:pt idx="383">
                  <c:v>1.5815484550561798</c:v>
                </c:pt>
                <c:pt idx="384">
                  <c:v>1.5774405369910987</c:v>
                </c:pt>
                <c:pt idx="385">
                  <c:v>1.5733539034755777</c:v>
                </c:pt>
                <c:pt idx="386">
                  <c:v>1.5753709026507563</c:v>
                </c:pt>
                <c:pt idx="387">
                  <c:v>1.5713106683655738</c:v>
                </c:pt>
                <c:pt idx="388">
                  <c:v>1.5672713093209323</c:v>
                </c:pt>
                <c:pt idx="389">
                  <c:v>1.5753241140881589</c:v>
                </c:pt>
                <c:pt idx="390">
                  <c:v>1.5712951521595449</c:v>
                </c:pt>
                <c:pt idx="391">
                  <c:v>1.567286746159138</c:v>
                </c:pt>
                <c:pt idx="392">
                  <c:v>1.5692883895131087</c:v>
                </c:pt>
                <c:pt idx="393">
                  <c:v>1.5653054240574917</c:v>
                </c:pt>
                <c:pt idx="394">
                  <c:v>1.567301948513725</c:v>
                </c:pt>
                <c:pt idx="395">
                  <c:v>1.5692883895131087</c:v>
                </c:pt>
                <c:pt idx="396">
                  <c:v>1.5653355220332268</c:v>
                </c:pt>
                <c:pt idx="397">
                  <c:v>1.5673169216870872</c:v>
                </c:pt>
                <c:pt idx="398">
                  <c:v>1.5633888091014052</c:v>
                </c:pt>
                <c:pt idx="399">
                  <c:v>1.5653651685393259</c:v>
                </c:pt>
                <c:pt idx="400">
                  <c:v>1.5614615147524447</c:v>
                </c:pt>
                <c:pt idx="401">
                  <c:v>1.5575772821286824</c:v>
                </c:pt>
                <c:pt idx="402">
                  <c:v>1.5537123260936236</c:v>
                </c:pt>
                <c:pt idx="403">
                  <c:v>1.5498665035042829</c:v>
                </c:pt>
                <c:pt idx="404">
                  <c:v>1.5576640310722707</c:v>
                </c:pt>
                <c:pt idx="405">
                  <c:v>1.5538274201582996</c:v>
                </c:pt>
                <c:pt idx="406">
                  <c:v>1.5500096623692128</c:v>
                </c:pt>
                <c:pt idx="407">
                  <c:v>1.5519800616875963</c:v>
                </c:pt>
                <c:pt idx="408">
                  <c:v>1.5539408258014888</c:v>
                </c:pt>
                <c:pt idx="409">
                  <c:v>1.5501507262263634</c:v>
                </c:pt>
                <c:pt idx="410">
                  <c:v>1.5463790699581728</c:v>
                </c:pt>
                <c:pt idx="411">
                  <c:v>1.5426257227009927</c:v>
                </c:pt>
                <c:pt idx="412">
                  <c:v>1.5388905514595861</c:v>
                </c:pt>
                <c:pt idx="413">
                  <c:v>1.5351734245236932</c:v>
                </c:pt>
                <c:pt idx="414">
                  <c:v>1.5371463381616353</c:v>
                </c:pt>
                <c:pt idx="415">
                  <c:v>1.5334512748487468</c:v>
                </c:pt>
                <c:pt idx="416">
                  <c:v>1.5354188559264947</c:v>
                </c:pt>
                <c:pt idx="417">
                  <c:v>1.5486398580721468</c:v>
                </c:pt>
                <c:pt idx="418">
                  <c:v>1.5449438202247192</c:v>
                </c:pt>
                <c:pt idx="419">
                  <c:v>1.5412653825575173</c:v>
                </c:pt>
                <c:pt idx="420">
                  <c:v>1.5376044196535803</c:v>
                </c:pt>
                <c:pt idx="421">
                  <c:v>1.5395388465839501</c:v>
                </c:pt>
                <c:pt idx="422">
                  <c:v>1.5358992748426168</c:v>
                </c:pt>
                <c:pt idx="423">
                  <c:v>1.5378285986856053</c:v>
                </c:pt>
                <c:pt idx="424">
                  <c:v>1.5397488433575677</c:v>
                </c:pt>
                <c:pt idx="425">
                  <c:v>1.5361344094529725</c:v>
                </c:pt>
                <c:pt idx="426">
                  <c:v>1.5380496276609741</c:v>
                </c:pt>
                <c:pt idx="427">
                  <c:v>1.5399558962511812</c:v>
                </c:pt>
                <c:pt idx="428">
                  <c:v>1.5363662554673791</c:v>
                </c:pt>
                <c:pt idx="429">
                  <c:v>1.5437418343349882</c:v>
                </c:pt>
                <c:pt idx="430">
                  <c:v>1.5401600667379234</c:v>
                </c:pt>
                <c:pt idx="431">
                  <c:v>1.5365948813982522</c:v>
                </c:pt>
                <c:pt idx="432">
                  <c:v>1.5330461634273556</c:v>
                </c:pt>
                <c:pt idx="433">
                  <c:v>1.5295137989954952</c:v>
                </c:pt>
                <c:pt idx="434">
                  <c:v>1.5314090145938266</c:v>
                </c:pt>
                <c:pt idx="435">
                  <c:v>1.5278966085970518</c:v>
                </c:pt>
                <c:pt idx="436">
                  <c:v>1.5244002776849304</c:v>
                </c:pt>
                <c:pt idx="437">
                  <c:v>1.5262941870606948</c:v>
                </c:pt>
                <c:pt idx="438">
                  <c:v>1.5335415013693021</c:v>
                </c:pt>
                <c:pt idx="439">
                  <c:v>1.530056179775281</c:v>
                </c:pt>
                <c:pt idx="440">
                  <c:v>1.5265866646283981</c:v>
                </c:pt>
                <c:pt idx="441">
                  <c:v>1.5444354059687833</c:v>
                </c:pt>
                <c:pt idx="442">
                  <c:v>1.5409490957972962</c:v>
                </c:pt>
                <c:pt idx="443">
                  <c:v>1.5374784897256806</c:v>
                </c:pt>
                <c:pt idx="444">
                  <c:v>1.5340234818836005</c:v>
                </c:pt>
                <c:pt idx="445">
                  <c:v>1.5305839673502291</c:v>
                </c:pt>
                <c:pt idx="446">
                  <c:v>1.5324259105648139</c:v>
                </c:pt>
                <c:pt idx="447">
                  <c:v>1.5342596308186196</c:v>
                </c:pt>
                <c:pt idx="448">
                  <c:v>1.5308425715072196</c:v>
                </c:pt>
                <c:pt idx="449">
                  <c:v>1.5274406991260925</c:v>
                </c:pt>
                <c:pt idx="450">
                  <c:v>1.5240539126535291</c:v>
                </c:pt>
                <c:pt idx="451">
                  <c:v>1.5206821119618177</c:v>
                </c:pt>
                <c:pt idx="452">
                  <c:v>1.5173251978073765</c:v>
                </c:pt>
                <c:pt idx="453">
                  <c:v>1.5191679453546503</c:v>
                </c:pt>
                <c:pt idx="454">
                  <c:v>1.5158291147055192</c:v>
                </c:pt>
                <c:pt idx="455">
                  <c:v>1.5176670609107037</c:v>
                </c:pt>
                <c:pt idx="456">
                  <c:v>1.5297986379170456</c:v>
                </c:pt>
                <c:pt idx="457">
                  <c:v>1.5264584662185368</c:v>
                </c:pt>
                <c:pt idx="458">
                  <c:v>1.5231328486450759</c:v>
                </c:pt>
                <c:pt idx="459">
                  <c:v>1.5249389350268685</c:v>
                </c:pt>
                <c:pt idx="460">
                  <c:v>1.5369494747617538</c:v>
                </c:pt>
                <c:pt idx="461">
                  <c:v>1.5336227442969015</c:v>
                </c:pt>
                <c:pt idx="462">
                  <c:v>1.5303103841580314</c:v>
                </c:pt>
                <c:pt idx="463">
                  <c:v>1.5270123014335528</c:v>
                </c:pt>
                <c:pt idx="464">
                  <c:v>1.5287906246224476</c:v>
                </c:pt>
                <c:pt idx="465">
                  <c:v>1.5305613155229782</c:v>
                </c:pt>
                <c:pt idx="466">
                  <c:v>1.5323244231648343</c:v>
                </c:pt>
                <c:pt idx="467">
                  <c:v>1.534079996158648</c:v>
                </c:pt>
                <c:pt idx="468">
                  <c:v>1.5308090366785656</c:v>
                </c:pt>
                <c:pt idx="469">
                  <c:v>1.5275519961749942</c:v>
                </c:pt>
                <c:pt idx="470">
                  <c:v>1.5293065197165963</c:v>
                </c:pt>
                <c:pt idx="471">
                  <c:v>1.5410278994477242</c:v>
                </c:pt>
                <c:pt idx="472">
                  <c:v>1.5377699123452977</c:v>
                </c:pt>
                <c:pt idx="473">
                  <c:v>1.5345256720238942</c:v>
                </c:pt>
                <c:pt idx="474">
                  <c:v>1.5312950916617387</c:v>
                </c:pt>
                <c:pt idx="475">
                  <c:v>1.5280780851666509</c:v>
                </c:pt>
                <c:pt idx="476">
                  <c:v>1.5248745671683981</c:v>
                </c:pt>
                <c:pt idx="477">
                  <c:v>1.5364580884772694</c:v>
                </c:pt>
                <c:pt idx="478">
                  <c:v>1.5332504515493419</c:v>
                </c:pt>
                <c:pt idx="479">
                  <c:v>1.5300561797752807</c:v>
                </c:pt>
                <c:pt idx="480">
                  <c:v>1.526875189796538</c:v>
                </c:pt>
                <c:pt idx="481">
                  <c:v>1.5237073989463377</c:v>
                </c:pt>
                <c:pt idx="482">
                  <c:v>1.5254262916695744</c:v>
                </c:pt>
                <c:pt idx="483">
                  <c:v>1.5222745844553811</c:v>
                </c:pt>
                <c:pt idx="484">
                  <c:v>1.519135873971968</c:v>
                </c:pt>
                <c:pt idx="485">
                  <c:v>1.516010079992602</c:v>
                </c:pt>
                <c:pt idx="486">
                  <c:v>1.5177306600835199</c:v>
                </c:pt>
                <c:pt idx="487">
                  <c:v>1.5146205562718733</c:v>
                </c:pt>
                <c:pt idx="488">
                  <c:v>1.5163369407872063</c:v>
                </c:pt>
                <c:pt idx="489">
                  <c:v>1.5180463196514562</c:v>
                </c:pt>
                <c:pt idx="490">
                  <c:v>1.5149545756195795</c:v>
                </c:pt>
                <c:pt idx="491">
                  <c:v>1.5166598154745592</c:v>
                </c:pt>
                <c:pt idx="492">
                  <c:v>1.5183581375207968</c:v>
                </c:pt>
                <c:pt idx="493">
                  <c:v>1.5248146294864213</c:v>
                </c:pt>
                <c:pt idx="494">
                  <c:v>1.5217341958914992</c:v>
                </c:pt>
                <c:pt idx="495">
                  <c:v>1.5281578470460311</c:v>
                </c:pt>
                <c:pt idx="496">
                  <c:v>1.5250830827662605</c:v>
                </c:pt>
                <c:pt idx="497">
                  <c:v>1.5314742114525517</c:v>
                </c:pt>
                <c:pt idx="498">
                  <c:v>1.5284051248564545</c:v>
                </c:pt>
                <c:pt idx="499">
                  <c:v>1.5347640449438202</c:v>
                </c:pt>
                <c:pt idx="500">
                  <c:v>1.531700643656507</c:v>
                </c:pt>
                <c:pt idx="501">
                  <c:v>1.5333385558888042</c:v>
                </c:pt>
                <c:pt idx="502">
                  <c:v>1.5349699555476131</c:v>
                </c:pt>
                <c:pt idx="503">
                  <c:v>1.5365948813982522</c:v>
                </c:pt>
                <c:pt idx="504">
                  <c:v>1.5335521192568695</c:v>
                </c:pt>
                <c:pt idx="505">
                  <c:v>1.5305213838433185</c:v>
                </c:pt>
                <c:pt idx="506">
                  <c:v>1.5275026039935289</c:v>
                </c:pt>
                <c:pt idx="507">
                  <c:v>1.5291294346633637</c:v>
                </c:pt>
                <c:pt idx="508">
                  <c:v>1.5261252510982097</c:v>
                </c:pt>
                <c:pt idx="509">
                  <c:v>1.5231328486450761</c:v>
                </c:pt>
                <c:pt idx="510">
                  <c:v>1.5247586798302513</c:v>
                </c:pt>
                <c:pt idx="511">
                  <c:v>1.5217806355337078</c:v>
                </c:pt>
                <c:pt idx="512">
                  <c:v>1.5279913266311846</c:v>
                </c:pt>
                <c:pt idx="513">
                  <c:v>1.5250185808595287</c:v>
                </c:pt>
                <c:pt idx="514">
                  <c:v>1.5220573797316461</c:v>
                </c:pt>
                <c:pt idx="515">
                  <c:v>1.519107656127515</c:v>
                </c:pt>
                <c:pt idx="516">
                  <c:v>1.5161693434464172</c:v>
                </c:pt>
                <c:pt idx="517">
                  <c:v>1.5132423756019262</c:v>
                </c:pt>
                <c:pt idx="518">
                  <c:v>1.5148622025935787</c:v>
                </c:pt>
                <c:pt idx="519">
                  <c:v>1.5164757994814173</c:v>
                </c:pt>
                <c:pt idx="520">
                  <c:v>1.5180832021393602</c:v>
                </c:pt>
                <c:pt idx="521">
                  <c:v>1.5151749967712771</c:v>
                </c:pt>
                <c:pt idx="522">
                  <c:v>1.5122779126474315</c:v>
                </c:pt>
                <c:pt idx="523">
                  <c:v>1.5093918860965778</c:v>
                </c:pt>
                <c:pt idx="524">
                  <c:v>1.5110005350454789</c:v>
                </c:pt>
                <c:pt idx="525">
                  <c:v>1.5081279104541376</c:v>
                </c:pt>
                <c:pt idx="526">
                  <c:v>1.5052661876639022</c:v>
                </c:pt>
                <c:pt idx="527">
                  <c:v>1.5024153047327204</c:v>
                </c:pt>
                <c:pt idx="528">
                  <c:v>1.5040249782290096</c:v>
                </c:pt>
                <c:pt idx="529">
                  <c:v>1.5056285774856901</c:v>
                </c:pt>
                <c:pt idx="530">
                  <c:v>1.5027931187710277</c:v>
                </c:pt>
                <c:pt idx="531">
                  <c:v>1.4999683196755935</c:v>
                </c:pt>
                <c:pt idx="532">
                  <c:v>1.4971541202015304</c:v>
                </c:pt>
                <c:pt idx="533">
                  <c:v>1.4943504608004039</c:v>
                </c:pt>
                <c:pt idx="534">
                  <c:v>1.4959571563582905</c:v>
                </c:pt>
                <c:pt idx="535">
                  <c:v>1.4931661915143384</c:v>
                </c:pt>
                <c:pt idx="536">
                  <c:v>1.4947691084468437</c:v>
                </c:pt>
                <c:pt idx="537">
                  <c:v>1.4919907272043773</c:v>
                </c:pt>
                <c:pt idx="538">
                  <c:v>1.4892226553542764</c:v>
                </c:pt>
                <c:pt idx="539">
                  <c:v>1.4864648356221388</c:v>
                </c:pt>
                <c:pt idx="540">
                  <c:v>1.4880682880225964</c:v>
                </c:pt>
                <c:pt idx="541">
                  <c:v>1.4853227745760602</c:v>
                </c:pt>
                <c:pt idx="542">
                  <c:v>1.4912574751174292</c:v>
                </c:pt>
                <c:pt idx="543">
                  <c:v>1.4885161929940516</c:v>
                </c:pt>
                <c:pt idx="544">
                  <c:v>1.4857849706215855</c:v>
                </c:pt>
                <c:pt idx="545">
                  <c:v>1.4830637527266741</c:v>
                </c:pt>
                <c:pt idx="546">
                  <c:v>1.4803524844401537</c:v>
                </c:pt>
                <c:pt idx="547">
                  <c:v>1.477651111293365</c:v>
                </c:pt>
                <c:pt idx="548">
                  <c:v>1.4792472524098974</c:v>
                </c:pt>
                <c:pt idx="549">
                  <c:v>1.4808375893769152</c:v>
                </c:pt>
                <c:pt idx="550">
                  <c:v>1.4824221537959583</c:v>
                </c:pt>
                <c:pt idx="551">
                  <c:v>1.4797366064158932</c:v>
                </c:pt>
                <c:pt idx="552">
                  <c:v>1.4813174309689741</c:v>
                </c:pt>
                <c:pt idx="553">
                  <c:v>1.4786435727903298</c:v>
                </c:pt>
                <c:pt idx="554">
                  <c:v>1.4802206701083105</c:v>
                </c:pt>
                <c:pt idx="555">
                  <c:v>1.4775584027160293</c:v>
                </c:pt>
                <c:pt idx="556">
                  <c:v>1.4749056946321586</c:v>
                </c:pt>
                <c:pt idx="557">
                  <c:v>1.4722624944625669</c:v>
                </c:pt>
                <c:pt idx="558">
                  <c:v>1.4696287511808808</c:v>
                </c:pt>
                <c:pt idx="559">
                  <c:v>1.4670044141252006</c:v>
                </c:pt>
                <c:pt idx="560">
                  <c:v>1.4643894329948526</c:v>
                </c:pt>
                <c:pt idx="561">
                  <c:v>1.4617837578471751</c:v>
                </c:pt>
                <c:pt idx="562">
                  <c:v>1.4591873390943382</c:v>
                </c:pt>
                <c:pt idx="563">
                  <c:v>1.4566001275001992</c:v>
                </c:pt>
                <c:pt idx="564">
                  <c:v>1.4540220741771901</c:v>
                </c:pt>
                <c:pt idx="565">
                  <c:v>1.4514531305832374</c:v>
                </c:pt>
                <c:pt idx="566">
                  <c:v>1.4488932485187167</c:v>
                </c:pt>
                <c:pt idx="567">
                  <c:v>1.4463423801234372</c:v>
                </c:pt>
                <c:pt idx="568">
                  <c:v>1.4438004778736597</c:v>
                </c:pt>
                <c:pt idx="569">
                  <c:v>1.4412674945791446</c:v>
                </c:pt>
                <c:pt idx="570">
                  <c:v>1.4428658572581121</c:v>
                </c:pt>
                <c:pt idx="571">
                  <c:v>1.4444586312563841</c:v>
                </c:pt>
                <c:pt idx="572">
                  <c:v>1.4460458458340686</c:v>
                </c:pt>
                <c:pt idx="573">
                  <c:v>1.4435266022002113</c:v>
                </c:pt>
                <c:pt idx="574">
                  <c:v>1.4410161211529067</c:v>
                </c:pt>
                <c:pt idx="575">
                  <c:v>1.4385143570536829</c:v>
                </c:pt>
                <c:pt idx="576">
                  <c:v>1.4360212645804529</c:v>
                </c:pt>
                <c:pt idx="577">
                  <c:v>1.4335367987247774</c:v>
                </c:pt>
                <c:pt idx="578">
                  <c:v>1.4432574566765635</c:v>
                </c:pt>
                <c:pt idx="579">
                  <c:v>1.4407690817512591</c:v>
                </c:pt>
                <c:pt idx="580">
                  <c:v>1.4382892726604655</c:v>
                </c:pt>
                <c:pt idx="581">
                  <c:v>1.4358179852503958</c:v>
                </c:pt>
                <c:pt idx="582">
                  <c:v>1.4333551756702065</c:v>
                </c:pt>
                <c:pt idx="583">
                  <c:v>1.4349315068493151</c:v>
                </c:pt>
                <c:pt idx="584">
                  <c:v>1.4324786324786325</c:v>
                </c:pt>
                <c:pt idx="585">
                  <c:v>1.4300341296928327</c:v>
                </c:pt>
                <c:pt idx="586">
                  <c:v>1.4275979557069847</c:v>
                </c:pt>
                <c:pt idx="587">
                  <c:v>1.4371799281510358</c:v>
                </c:pt>
                <c:pt idx="588">
                  <c:v>1.434739894317163</c:v>
                </c:pt>
                <c:pt idx="589">
                  <c:v>1.432308131784422</c:v>
                </c:pt>
                <c:pt idx="590">
                  <c:v>1.4338675640221297</c:v>
                </c:pt>
                <c:pt idx="591">
                  <c:v>1.4314454904342544</c:v>
                </c:pt>
                <c:pt idx="592">
                  <c:v>1.4290315857286318</c:v>
                </c:pt>
                <c:pt idx="593">
                  <c:v>1.430588658116748</c:v>
                </c:pt>
                <c:pt idx="594">
                  <c:v>1.4281843074308376</c:v>
                </c:pt>
                <c:pt idx="595">
                  <c:v>1.4257880250358193</c:v>
                </c:pt>
                <c:pt idx="596">
                  <c:v>1.4233997703875181</c:v>
                </c:pt>
                <c:pt idx="597">
                  <c:v>1.4249558453271203</c:v>
                </c:pt>
                <c:pt idx="598">
                  <c:v>1.422576954099529</c:v>
                </c:pt>
                <c:pt idx="599">
                  <c:v>1.4202059925093633</c:v>
                </c:pt>
                <c:pt idx="600">
                  <c:v>1.4178429209744061</c:v>
                </c:pt>
                <c:pt idx="601">
                  <c:v>1.4154877001754451</c:v>
                </c:pt>
                <c:pt idx="602">
                  <c:v>1.4209476959770437</c:v>
                </c:pt>
                <c:pt idx="603">
                  <c:v>1.4185951335664857</c:v>
                </c:pt>
                <c:pt idx="604">
                  <c:v>1.4162503482217477</c:v>
                </c:pt>
                <c:pt idx="605">
                  <c:v>1.4255664330477993</c:v>
                </c:pt>
                <c:pt idx="606">
                  <c:v>1.423217888677045</c:v>
                </c:pt>
                <c:pt idx="607">
                  <c:v>1.4208770697811945</c:v>
                </c:pt>
                <c:pt idx="608">
                  <c:v>1.4185439383037213</c:v>
                </c:pt>
                <c:pt idx="609">
                  <c:v>1.4162184564376497</c:v>
                </c:pt>
                <c:pt idx="610">
                  <c:v>1.4177531767778002</c:v>
                </c:pt>
                <c:pt idx="611">
                  <c:v>1.4192828816920027</c:v>
                </c:pt>
                <c:pt idx="612">
                  <c:v>1.4169675751965833</c:v>
                </c:pt>
                <c:pt idx="613">
                  <c:v>1.414659810416133</c:v>
                </c:pt>
                <c:pt idx="614">
                  <c:v>1.4123595505617976</c:v>
                </c:pt>
                <c:pt idx="615">
                  <c:v>1.4100667590836129</c:v>
                </c:pt>
                <c:pt idx="616">
                  <c:v>1.4077813996685666</c:v>
                </c:pt>
                <c:pt idx="617">
                  <c:v>1.4093123886404131</c:v>
                </c:pt>
                <c:pt idx="618">
                  <c:v>1.4070356319544026</c:v>
                </c:pt>
                <c:pt idx="619">
                  <c:v>1.4085628851032983</c:v>
                </c:pt>
                <c:pt idx="620">
                  <c:v>1.4062946678970127</c:v>
                </c:pt>
                <c:pt idx="621">
                  <c:v>1.4040337439936412</c:v>
                </c:pt>
                <c:pt idx="622">
                  <c:v>1.4017800782729453</c:v>
                </c:pt>
                <c:pt idx="623">
                  <c:v>1.3995336358398156</c:v>
                </c:pt>
                <c:pt idx="624">
                  <c:v>1.3972943820224717</c:v>
                </c:pt>
                <c:pt idx="625">
                  <c:v>1.3988225580644003</c:v>
                </c:pt>
                <c:pt idx="626">
                  <c:v>1.3965915810977902</c:v>
                </c:pt>
                <c:pt idx="627">
                  <c:v>1.3981160094467902</c:v>
                </c:pt>
                <c:pt idx="628">
                  <c:v>1.3958932494953646</c:v>
                </c:pt>
                <c:pt idx="629">
                  <c:v>1.4086231496343857</c:v>
                </c:pt>
                <c:pt idx="630">
                  <c:v>1.4063907833116689</c:v>
                </c:pt>
                <c:pt idx="631">
                  <c:v>1.4041654814393403</c:v>
                </c:pt>
                <c:pt idx="632">
                  <c:v>1.4019472105365924</c:v>
                </c:pt>
                <c:pt idx="633">
                  <c:v>1.403448764753837</c:v>
                </c:pt>
                <c:pt idx="634">
                  <c:v>1.4012386092187916</c:v>
                </c:pt>
                <c:pt idx="635">
                  <c:v>1.3990354038583848</c:v>
                </c:pt>
                <c:pt idx="636">
                  <c:v>1.3968391159402396</c:v>
                </c:pt>
                <c:pt idx="637">
                  <c:v>1.3946497129371984</c:v>
                </c:pt>
                <c:pt idx="638">
                  <c:v>1.3924671625257161</c:v>
                </c:pt>
                <c:pt idx="639">
                  <c:v>1.3976474719101124</c:v>
                </c:pt>
                <c:pt idx="640">
                  <c:v>1.3954670546372416</c:v>
                </c:pt>
                <c:pt idx="641">
                  <c:v>1.3969599915992861</c:v>
                </c:pt>
                <c:pt idx="642">
                  <c:v>1.3947874255159278</c:v>
                </c:pt>
                <c:pt idx="643">
                  <c:v>1.3999319561727965</c:v>
                </c:pt>
                <c:pt idx="644">
                  <c:v>1.3977615190314432</c:v>
                </c:pt>
                <c:pt idx="645">
                  <c:v>1.3955978015097228</c:v>
                </c:pt>
                <c:pt idx="646">
                  <c:v>1.3970789990101244</c:v>
                </c:pt>
                <c:pt idx="647">
                  <c:v>1.394923012900541</c:v>
                </c:pt>
                <c:pt idx="648">
                  <c:v>1.3927736708159484</c:v>
                </c:pt>
                <c:pt idx="649">
                  <c:v>1.3906309420916163</c:v>
                </c:pt>
                <c:pt idx="650">
                  <c:v>1.3884947962512297</c:v>
                </c:pt>
                <c:pt idx="651">
                  <c:v>1.3971961811539257</c:v>
                </c:pt>
                <c:pt idx="652">
                  <c:v>1.395056523908667</c:v>
                </c:pt>
                <c:pt idx="653">
                  <c:v>1.3929234099577363</c:v>
                </c:pt>
                <c:pt idx="654">
                  <c:v>1.3907968093318466</c:v>
                </c:pt>
                <c:pt idx="655">
                  <c:v>1.3922650041107152</c:v>
                </c:pt>
                <c:pt idx="656">
                  <c:v>1.3901458792947172</c:v>
                </c:pt>
                <c:pt idx="657">
                  <c:v>1.3880331955875824</c:v>
                </c:pt>
                <c:pt idx="658">
                  <c:v>1.3859269236671157</c:v>
                </c:pt>
                <c:pt idx="659">
                  <c:v>1.3838270343888321</c:v>
                </c:pt>
                <c:pt idx="660">
                  <c:v>1.3817334987846128</c:v>
                </c:pt>
                <c:pt idx="661">
                  <c:v>1.3796462880613733</c:v>
                </c:pt>
                <c:pt idx="662">
                  <c:v>1.3811157998203603</c:v>
                </c:pt>
                <c:pt idx="663">
                  <c:v>1.379035806145932</c:v>
                </c:pt>
                <c:pt idx="664">
                  <c:v>1.3769620680915771</c:v>
                </c:pt>
                <c:pt idx="665">
                  <c:v>1.3748945574788269</c:v>
                </c:pt>
                <c:pt idx="666">
                  <c:v>1.3834206492259489</c:v>
                </c:pt>
                <c:pt idx="667">
                  <c:v>1.3813496602301016</c:v>
                </c:pt>
                <c:pt idx="668">
                  <c:v>1.3792848625317009</c:v>
                </c:pt>
                <c:pt idx="669">
                  <c:v>1.3772262284085193</c:v>
                </c:pt>
                <c:pt idx="670">
                  <c:v>1.378681826554363</c:v>
                </c:pt>
                <c:pt idx="671">
                  <c:v>1.383635968432317</c:v>
                </c:pt>
                <c:pt idx="672">
                  <c:v>1.3815800457451961</c:v>
                </c:pt>
                <c:pt idx="673">
                  <c:v>1.3830227052979029</c:v>
                </c:pt>
                <c:pt idx="674">
                  <c:v>1.3809737827715356</c:v>
                </c:pt>
                <c:pt idx="675">
                  <c:v>1.3789309221461339</c:v>
                </c:pt>
                <c:pt idx="676">
                  <c:v>1.3768940965595076</c:v>
                </c:pt>
                <c:pt idx="677">
                  <c:v>1.3783351562758941</c:v>
                </c:pt>
                <c:pt idx="678">
                  <c:v>1.3763052075921298</c:v>
                </c:pt>
                <c:pt idx="679">
                  <c:v>1.374281229345671</c:v>
                </c:pt>
                <c:pt idx="680">
                  <c:v>1.372263195235031</c:v>
                </c:pt>
                <c:pt idx="681">
                  <c:v>1.3702510791129856</c:v>
                </c:pt>
                <c:pt idx="682">
                  <c:v>1.3751377761692467</c:v>
                </c:pt>
                <c:pt idx="683">
                  <c:v>1.3731273408239701</c:v>
                </c:pt>
                <c:pt idx="684">
                  <c:v>1.3711227753629132</c:v>
                </c:pt>
                <c:pt idx="685">
                  <c:v>1.3691240541160283</c:v>
                </c:pt>
                <c:pt idx="686">
                  <c:v>1.3705575454262957</c:v>
                </c:pt>
                <c:pt idx="687">
                  <c:v>1.3685654559707343</c:v>
                </c:pt>
                <c:pt idx="688">
                  <c:v>1.3699955969406892</c:v>
                </c:pt>
                <c:pt idx="689">
                  <c:v>1.3680100960755577</c:v>
                </c:pt>
                <c:pt idx="690">
                  <c:v>1.369436901413031</c:v>
                </c:pt>
                <c:pt idx="691">
                  <c:v>1.3674579463531857</c:v>
                </c:pt>
                <c:pt idx="692">
                  <c:v>1.3654847025633543</c:v>
                </c:pt>
                <c:pt idx="693">
                  <c:v>1.3669089790499627</c:v>
                </c:pt>
                <c:pt idx="694">
                  <c:v>1.3649422035405383</c:v>
                </c:pt>
                <c:pt idx="695">
                  <c:v>1.3629810796848767</c:v>
                </c:pt>
                <c:pt idx="696">
                  <c:v>1.3610255831573517</c:v>
                </c:pt>
                <c:pt idx="697">
                  <c:v>1.3590756897717393</c:v>
                </c:pt>
                <c:pt idx="698">
                  <c:v>1.3604989471315361</c:v>
                </c:pt>
                <c:pt idx="699">
                  <c:v>1.3585553772070624</c:v>
                </c:pt>
                <c:pt idx="700">
                  <c:v>1.3633332799051114</c:v>
                </c:pt>
                <c:pt idx="701">
                  <c:v>1.3613912097058163</c:v>
                </c:pt>
                <c:pt idx="702">
                  <c:v>1.362803075103489</c:v>
                </c:pt>
                <c:pt idx="703">
                  <c:v>1.3608672752808988</c:v>
                </c:pt>
                <c:pt idx="704">
                  <c:v>1.3656147900231095</c:v>
                </c:pt>
                <c:pt idx="705">
                  <c:v>1.3636804914536718</c:v>
                </c:pt>
                <c:pt idx="706">
                  <c:v>1.3617516647330865</c:v>
                </c:pt>
                <c:pt idx="707">
                  <c:v>1.3631530502126581</c:v>
                </c:pt>
                <c:pt idx="708">
                  <c:v>1.3612304083928941</c:v>
                </c:pt>
                <c:pt idx="709">
                  <c:v>1.3626285804715936</c:v>
                </c:pt>
                <c:pt idx="710">
                  <c:v>1.3673335545757677</c:v>
                </c:pt>
                <c:pt idx="711">
                  <c:v>1.3654131422800153</c:v>
                </c:pt>
                <c:pt idx="712">
                  <c:v>1.3634981168350222</c:v>
                </c:pt>
                <c:pt idx="713">
                  <c:v>1.3648852799546787</c:v>
                </c:pt>
                <c:pt idx="714">
                  <c:v>1.3629763494932035</c:v>
                </c:pt>
                <c:pt idx="715">
                  <c:v>1.3610727512397214</c:v>
                </c:pt>
                <c:pt idx="716">
                  <c:v>1.3591744628837386</c:v>
                </c:pt>
                <c:pt idx="717">
                  <c:v>1.3572814622390537</c:v>
                </c:pt>
                <c:pt idx="718">
                  <c:v>1.3586676251347847</c:v>
                </c:pt>
                <c:pt idx="719">
                  <c:v>1.3633192883895131</c:v>
                </c:pt>
                <c:pt idx="720">
                  <c:v>1.3614284155900824</c:v>
                </c:pt>
                <c:pt idx="721">
                  <c:v>1.3595427806654425</c:v>
                </c:pt>
                <c:pt idx="722">
                  <c:v>1.3576623618816728</c:v>
                </c:pt>
                <c:pt idx="723">
                  <c:v>1.3557871376249302</c:v>
                </c:pt>
                <c:pt idx="724">
                  <c:v>1.3571638899651297</c:v>
                </c:pt>
                <c:pt idx="725">
                  <c:v>1.3552945182158664</c:v>
                </c:pt>
                <c:pt idx="726">
                  <c:v>1.3566681606726119</c:v>
                </c:pt>
                <c:pt idx="727">
                  <c:v>1.3612714532658352</c:v>
                </c:pt>
                <c:pt idx="728">
                  <c:v>1.3594041398868697</c:v>
                </c:pt>
                <c:pt idx="729">
                  <c:v>1.35754194243497</c:v>
                </c:pt>
                <c:pt idx="730">
                  <c:v>1.3589049939285878</c:v>
                </c:pt>
                <c:pt idx="731">
                  <c:v>1.3570485663412537</c:v>
                </c:pt>
                <c:pt idx="732">
                  <c:v>1.3584085718227386</c:v>
                </c:pt>
                <c:pt idx="733">
                  <c:v>1.3565578789455959</c:v>
                </c:pt>
                <c:pt idx="734">
                  <c:v>1.3547122219674386</c:v>
                </c:pt>
                <c:pt idx="735">
                  <c:v>1.3528715803615046</c:v>
                </c:pt>
                <c:pt idx="736">
                  <c:v>1.3542298720900094</c:v>
                </c:pt>
                <c:pt idx="737">
                  <c:v>1.3523948722633292</c:v>
                </c:pt>
                <c:pt idx="738">
                  <c:v>1.3537501330373567</c:v>
                </c:pt>
                <c:pt idx="739">
                  <c:v>1.3519207409656846</c:v>
                </c:pt>
                <c:pt idx="740">
                  <c:v>1.3500962865244355</c:v>
                </c:pt>
                <c:pt idx="741">
                  <c:v>1.3482767497501438</c:v>
                </c:pt>
                <c:pt idx="742">
                  <c:v>1.3464621107868193</c:v>
                </c:pt>
                <c:pt idx="743">
                  <c:v>1.3446523498852243</c:v>
                </c:pt>
                <c:pt idx="744">
                  <c:v>1.3428474474021568</c:v>
                </c:pt>
                <c:pt idx="745">
                  <c:v>1.341047383799741</c:v>
                </c:pt>
                <c:pt idx="746">
                  <c:v>1.3424033211497677</c:v>
                </c:pt>
                <c:pt idx="747">
                  <c:v>1.3406086643033108</c:v>
                </c:pt>
                <c:pt idx="748">
                  <c:v>1.3451043338683788</c:v>
                </c:pt>
                <c:pt idx="749">
                  <c:v>1.343310861423221</c:v>
                </c:pt>
                <c:pt idx="750">
                  <c:v>1.3415221652029505</c:v>
                </c:pt>
                <c:pt idx="751">
                  <c:v>1.3397382261534785</c:v>
                </c:pt>
                <c:pt idx="752">
                  <c:v>1.3379590253219333</c:v>
                </c:pt>
                <c:pt idx="753">
                  <c:v>1.3361845438559892</c:v>
                </c:pt>
                <c:pt idx="754">
                  <c:v>1.3344147630031997</c:v>
                </c:pt>
                <c:pt idx="755">
                  <c:v>1.3326496641103383</c:v>
                </c:pt>
                <c:pt idx="756">
                  <c:v>1.3339987828952251</c:v>
                </c:pt>
                <c:pt idx="757">
                  <c:v>1.3322388900418014</c:v>
                </c:pt>
                <c:pt idx="758">
                  <c:v>1.3304836345872009</c:v>
                </c:pt>
                <c:pt idx="759">
                  <c:v>1.3287329982259017</c:v>
                </c:pt>
                <c:pt idx="760">
                  <c:v>1.3269869627486011</c:v>
                </c:pt>
                <c:pt idx="761">
                  <c:v>1.3252455100415819</c:v>
                </c:pt>
                <c:pt idx="762">
                  <c:v>1.3235086220860883</c:v>
                </c:pt>
                <c:pt idx="763">
                  <c:v>1.3217762809577034</c:v>
                </c:pt>
                <c:pt idx="764">
                  <c:v>1.3200484688257326</c:v>
                </c:pt>
                <c:pt idx="765">
                  <c:v>1.3213981869921083</c:v>
                </c:pt>
                <c:pt idx="766">
                  <c:v>1.322744385684778</c:v>
                </c:pt>
                <c:pt idx="767">
                  <c:v>1.3240870786516854</c:v>
                </c:pt>
                <c:pt idx="768">
                  <c:v>1.3223652489005129</c:v>
                </c:pt>
                <c:pt idx="769">
                  <c:v>1.3206478914344082</c:v>
                </c:pt>
                <c:pt idx="770">
                  <c:v>1.3189349888514843</c:v>
                </c:pt>
                <c:pt idx="771">
                  <c:v>1.3172265238400185</c:v>
                </c:pt>
                <c:pt idx="772">
                  <c:v>1.318567670101894</c:v>
                </c:pt>
                <c:pt idx="773">
                  <c:v>1.3168640943007286</c:v>
                </c:pt>
                <c:pt idx="774">
                  <c:v>1.3151649148242115</c:v>
                </c:pt>
                <c:pt idx="775">
                  <c:v>1.3165035329549402</c:v>
                </c:pt>
                <c:pt idx="776">
                  <c:v>1.3148091912136854</c:v>
                </c:pt>
                <c:pt idx="777">
                  <c:v>1.3131192051067271</c:v>
                </c:pt>
                <c:pt idx="778">
                  <c:v>1.3114335578601202</c:v>
                </c:pt>
                <c:pt idx="779">
                  <c:v>1.3097522327859406</c:v>
                </c:pt>
                <c:pt idx="780">
                  <c:v>1.3110892114690185</c:v>
                </c:pt>
                <c:pt idx="781">
                  <c:v>1.312422770769275</c:v>
                </c:pt>
                <c:pt idx="782">
                  <c:v>1.3107466241910257</c:v>
                </c:pt>
                <c:pt idx="783">
                  <c:v>1.3090747534969045</c:v>
                </c:pt>
                <c:pt idx="784">
                  <c:v>1.307407142345953</c:v>
                </c:pt>
                <c:pt idx="785">
                  <c:v>1.3057437744803728</c:v>
                </c:pt>
                <c:pt idx="786">
                  <c:v>1.3040846337249976</c:v>
                </c:pt>
                <c:pt idx="787">
                  <c:v>1.3024297039867678</c:v>
                </c:pt>
                <c:pt idx="788">
                  <c:v>1.3037624072570884</c:v>
                </c:pt>
                <c:pt idx="789">
                  <c:v>1.3021120750960036</c:v>
                </c:pt>
                <c:pt idx="790">
                  <c:v>1.3034418102529866</c:v>
                </c:pt>
                <c:pt idx="791">
                  <c:v>1.301796050391556</c:v>
                </c:pt>
                <c:pt idx="792">
                  <c:v>1.303122830383836</c:v>
                </c:pt>
                <c:pt idx="793">
                  <c:v>1.3014816177511108</c:v>
                </c:pt>
                <c:pt idx="794">
                  <c:v>1.3028054554448449</c:v>
                </c:pt>
                <c:pt idx="795">
                  <c:v>1.3011687651741854</c:v>
                </c:pt>
                <c:pt idx="796">
                  <c:v>1.2995361820309306</c:v>
                </c:pt>
                <c:pt idx="797">
                  <c:v>1.2979076905747515</c:v>
                </c:pt>
                <c:pt idx="798">
                  <c:v>1.3021754721491752</c:v>
                </c:pt>
                <c:pt idx="799">
                  <c:v>1.3005477528089888</c:v>
                </c:pt>
                <c:pt idx="800">
                  <c:v>1.2989240976868801</c:v>
                </c:pt>
                <c:pt idx="801">
                  <c:v>1.2973044915800387</c:v>
                </c:pt>
                <c:pt idx="802">
                  <c:v>1.2956889193613836</c:v>
                </c:pt>
                <c:pt idx="803">
                  <c:v>1.2940773659790932</c:v>
                </c:pt>
                <c:pt idx="804">
                  <c:v>1.2953939563123735</c:v>
                </c:pt>
                <c:pt idx="805">
                  <c:v>1.2937867677809685</c:v>
                </c:pt>
                <c:pt idx="806">
                  <c:v>1.2921835623686007</c:v>
                </c:pt>
                <c:pt idx="807">
                  <c:v>1.2905843252864613</c:v>
                </c:pt>
                <c:pt idx="808">
                  <c:v>1.2889890418188636</c:v>
                </c:pt>
                <c:pt idx="809">
                  <c:v>1.287397697322791</c:v>
                </c:pt>
                <c:pt idx="810">
                  <c:v>1.2858102772274485</c:v>
                </c:pt>
                <c:pt idx="811">
                  <c:v>1.2900246305418719</c:v>
                </c:pt>
                <c:pt idx="812">
                  <c:v>1.2884378843788438</c:v>
                </c:pt>
                <c:pt idx="813">
                  <c:v>1.2868550368550369</c:v>
                </c:pt>
                <c:pt idx="814">
                  <c:v>1.2852760736196318</c:v>
                </c:pt>
                <c:pt idx="815">
                  <c:v>1.2837009803921569</c:v>
                </c:pt>
                <c:pt idx="816">
                  <c:v>1.2821297429620562</c:v>
                </c:pt>
                <c:pt idx="817">
                  <c:v>1.2805623471882639</c:v>
                </c:pt>
                <c:pt idx="818">
                  <c:v>1.2789987789987791</c:v>
                </c:pt>
                <c:pt idx="819">
                  <c:v>1.2803096738832558</c:v>
                </c:pt>
                <c:pt idx="820">
                  <c:v>1.2787502223925331</c:v>
                </c:pt>
                <c:pt idx="821">
                  <c:v>1.2771945651876762</c:v>
                </c:pt>
                <c:pt idx="822">
                  <c:v>1.281363059237921</c:v>
                </c:pt>
                <c:pt idx="823">
                  <c:v>1.2798080069815643</c:v>
                </c:pt>
                <c:pt idx="824">
                  <c:v>1.2782567245488594</c:v>
                </c:pt>
                <c:pt idx="825">
                  <c:v>1.285258590200506</c:v>
                </c:pt>
                <c:pt idx="826">
                  <c:v>1.2837044685678574</c:v>
                </c:pt>
                <c:pt idx="827">
                  <c:v>1.2821541008521957</c:v>
                </c:pt>
                <c:pt idx="828">
                  <c:v>1.2806074734687793</c:v>
                </c:pt>
                <c:pt idx="829">
                  <c:v>1.279064572898335</c:v>
                </c:pt>
                <c:pt idx="830">
                  <c:v>1.2775253856866642</c:v>
                </c:pt>
                <c:pt idx="831">
                  <c:v>1.2844776361279171</c:v>
                </c:pt>
                <c:pt idx="832">
                  <c:v>1.2829356461685799</c:v>
                </c:pt>
                <c:pt idx="833">
                  <c:v>1.2813973540268908</c:v>
                </c:pt>
                <c:pt idx="834">
                  <c:v>1.282681827356523</c:v>
                </c:pt>
                <c:pt idx="835">
                  <c:v>1.2867789366163109</c:v>
                </c:pt>
                <c:pt idx="836">
                  <c:v>1.2852415663216679</c:v>
                </c:pt>
                <c:pt idx="837">
                  <c:v>1.2837078651685394</c:v>
                </c:pt>
                <c:pt idx="838">
                  <c:v>1.28217782003723</c:v>
                </c:pt>
                <c:pt idx="839">
                  <c:v>1.2806514178705191</c:v>
                </c:pt>
                <c:pt idx="840">
                  <c:v>1.2791286456732889</c:v>
                </c:pt>
                <c:pt idx="841">
                  <c:v>1.2776094905121567</c:v>
                </c:pt>
                <c:pt idx="842">
                  <c:v>1.278886267610327</c:v>
                </c:pt>
                <c:pt idx="843">
                  <c:v>1.2801600191703497</c:v>
                </c:pt>
                <c:pt idx="844">
                  <c:v>1.2786450368991422</c:v>
                </c:pt>
                <c:pt idx="845">
                  <c:v>1.2771336361463064</c:v>
                </c:pt>
                <c:pt idx="846">
                  <c:v>1.2784049454120956</c:v>
                </c:pt>
                <c:pt idx="847">
                  <c:v>1.2796732563069748</c:v>
                </c:pt>
                <c:pt idx="848">
                  <c:v>1.2781659850981326</c:v>
                </c:pt>
                <c:pt idx="849">
                  <c:v>1.2766622604097819</c:v>
                </c:pt>
                <c:pt idx="850">
                  <c:v>1.2751620697395001</c:v>
                </c:pt>
                <c:pt idx="851">
                  <c:v>1.2791910639869177</c:v>
                </c:pt>
                <c:pt idx="852">
                  <c:v>1.277691426162783</c:v>
                </c:pt>
                <c:pt idx="853">
                  <c:v>1.2761953003710234</c:v>
                </c:pt>
                <c:pt idx="854">
                  <c:v>1.274702674288718</c:v>
                </c:pt>
                <c:pt idx="855">
                  <c:v>1.2732135356505303</c:v>
                </c:pt>
                <c:pt idx="856">
                  <c:v>1.2717278722483709</c:v>
                </c:pt>
                <c:pt idx="857">
                  <c:v>1.2702456719310653</c:v>
                </c:pt>
                <c:pt idx="858">
                  <c:v>1.268766922604021</c:v>
                </c:pt>
                <c:pt idx="859">
                  <c:v>1.2700287431408415</c:v>
                </c:pt>
                <c:pt idx="860">
                  <c:v>1.268553680721398</c:v>
                </c:pt>
                <c:pt idx="861">
                  <c:v>1.2698128209807347</c:v>
                </c:pt>
                <c:pt idx="862">
                  <c:v>1.2683414272136655</c:v>
                </c:pt>
                <c:pt idx="863">
                  <c:v>1.2668734394506866</c:v>
                </c:pt>
                <c:pt idx="864">
                  <c:v>1.2654088458790673</c:v>
                </c:pt>
                <c:pt idx="865">
                  <c:v>1.2639476347406389</c:v>
                </c:pt>
                <c:pt idx="866">
                  <c:v>1.2624897943314801</c:v>
                </c:pt>
                <c:pt idx="867">
                  <c:v>1.2610353130016052</c:v>
                </c:pt>
                <c:pt idx="868">
                  <c:v>1.2595841791546527</c:v>
                </c:pt>
                <c:pt idx="869">
                  <c:v>1.2581363812475785</c:v>
                </c:pt>
                <c:pt idx="870">
                  <c:v>1.2566919077903482</c:v>
                </c:pt>
                <c:pt idx="871">
                  <c:v>1.2552507473456345</c:v>
                </c:pt>
                <c:pt idx="872">
                  <c:v>1.2538128885285147</c:v>
                </c:pt>
                <c:pt idx="873">
                  <c:v>1.2550716067158614</c:v>
                </c:pt>
                <c:pt idx="874">
                  <c:v>1.253637239165329</c:v>
                </c:pt>
                <c:pt idx="875">
                  <c:v>1.2522061464265559</c:v>
                </c:pt>
                <c:pt idx="876">
                  <c:v>1.2507783172972211</c:v>
                </c:pt>
                <c:pt idx="877">
                  <c:v>1.2493537406260398</c:v>
                </c:pt>
                <c:pt idx="878">
                  <c:v>1.2506103718474773</c:v>
                </c:pt>
                <c:pt idx="879">
                  <c:v>1.2491892236976507</c:v>
                </c:pt>
                <c:pt idx="880">
                  <c:v>1.2477713017638281</c:v>
                </c:pt>
                <c:pt idx="881">
                  <c:v>1.2490254528777802</c:v>
                </c:pt>
                <c:pt idx="882">
                  <c:v>1.2529425986486313</c:v>
                </c:pt>
                <c:pt idx="883">
                  <c:v>1.2515252427678072</c:v>
                </c:pt>
                <c:pt idx="884">
                  <c:v>1.2501110899511203</c:v>
                </c:pt>
                <c:pt idx="885">
                  <c:v>1.2487001293529814</c:v>
                </c:pt>
                <c:pt idx="886">
                  <c:v>1.2472923501767097</c:v>
                </c:pt>
                <c:pt idx="887">
                  <c:v>1.2458877416742584</c:v>
                </c:pt>
                <c:pt idx="888">
                  <c:v>1.2471341363228472</c:v>
                </c:pt>
                <c:pt idx="889">
                  <c:v>1.2457328620123722</c:v>
                </c:pt>
                <c:pt idx="890">
                  <c:v>1.244334733098778</c:v>
                </c:pt>
                <c:pt idx="891">
                  <c:v>1.2429397390033758</c:v>
                </c:pt>
                <c:pt idx="892">
                  <c:v>1.2415478691948614</c:v>
                </c:pt>
                <c:pt idx="893">
                  <c:v>1.2401591131890506</c:v>
                </c:pt>
                <c:pt idx="894">
                  <c:v>1.2387734605486158</c:v>
                </c:pt>
                <c:pt idx="895">
                  <c:v>1.2373909008828252</c:v>
                </c:pt>
                <c:pt idx="896">
                  <c:v>1.2386356519233901</c:v>
                </c:pt>
                <c:pt idx="897">
                  <c:v>1.237256324916794</c:v>
                </c:pt>
                <c:pt idx="898">
                  <c:v>1.2358800664908576</c:v>
                </c:pt>
                <c:pt idx="899">
                  <c:v>1.2345068664169789</c:v>
                </c:pt>
                <c:pt idx="900">
                  <c:v>1.2331367145119656</c:v>
                </c:pt>
                <c:pt idx="901">
                  <c:v>1.2317696006377838</c:v>
                </c:pt>
                <c:pt idx="902">
                  <c:v>1.2330123060460139</c:v>
                </c:pt>
                <c:pt idx="903">
                  <c:v>1.2316483543800338</c:v>
                </c:pt>
                <c:pt idx="904">
                  <c:v>1.2302874169718792</c:v>
                </c:pt>
                <c:pt idx="905">
                  <c:v>1.2289294838405636</c:v>
                </c:pt>
                <c:pt idx="906">
                  <c:v>1.2301698400703642</c:v>
                </c:pt>
                <c:pt idx="907">
                  <c:v>1.2288150274711678</c:v>
                </c:pt>
                <c:pt idx="908">
                  <c:v>1.227463195757778</c:v>
                </c:pt>
                <c:pt idx="909">
                  <c:v>1.2287010742066922</c:v>
                </c:pt>
                <c:pt idx="910">
                  <c:v>1.227352335376608</c:v>
                </c:pt>
                <c:pt idx="911">
                  <c:v>1.2285876207372364</c:v>
                </c:pt>
                <c:pt idx="912">
                  <c:v>1.2272419606926173</c:v>
                </c:pt>
                <c:pt idx="913">
                  <c:v>1.233625500946574</c:v>
                </c:pt>
                <c:pt idx="914">
                  <c:v>1.2322772763553755</c:v>
                </c:pt>
                <c:pt idx="915">
                  <c:v>1.2309319954859919</c:v>
                </c:pt>
                <c:pt idx="916">
                  <c:v>1.2295896487079265</c:v>
                </c:pt>
                <c:pt idx="917">
                  <c:v>1.2282502264326454</c:v>
                </c:pt>
                <c:pt idx="918">
                  <c:v>1.2294751256250687</c:v>
                </c:pt>
                <c:pt idx="919">
                  <c:v>1.2281387396189545</c:v>
                </c:pt>
                <c:pt idx="920">
                  <c:v>1.226805255645427</c:v>
                </c:pt>
                <c:pt idx="921">
                  <c:v>1.2254746642618635</c:v>
                </c:pt>
                <c:pt idx="922">
                  <c:v>1.2292475683835076</c:v>
                </c:pt>
                <c:pt idx="923">
                  <c:v>1.22791721387227</c:v>
                </c:pt>
                <c:pt idx="924">
                  <c:v>1.2291345277862131</c:v>
                </c:pt>
                <c:pt idx="925">
                  <c:v>1.2278071686849321</c:v>
                </c:pt>
                <c:pt idx="926">
                  <c:v>1.236639879761948</c:v>
                </c:pt>
                <c:pt idx="927">
                  <c:v>1.2353072936846183</c:v>
                </c:pt>
                <c:pt idx="928">
                  <c:v>1.2339775764685961</c:v>
                </c:pt>
                <c:pt idx="929">
                  <c:v>1.2326507188594902</c:v>
                </c:pt>
                <c:pt idx="930">
                  <c:v>1.2363834948527015</c:v>
                </c:pt>
                <c:pt idx="931">
                  <c:v>1.2350569031200269</c:v>
                </c:pt>
                <c:pt idx="932">
                  <c:v>1.2337331550995339</c:v>
                </c:pt>
                <c:pt idx="933">
                  <c:v>1.2324122416572434</c:v>
                </c:pt>
                <c:pt idx="934">
                  <c:v>1.2310941536982516</c:v>
                </c:pt>
                <c:pt idx="935">
                  <c:v>1.2297788821665228</c:v>
                </c:pt>
                <c:pt idx="936">
                  <c:v>1.22846641804468</c:v>
                </c:pt>
                <c:pt idx="937">
                  <c:v>1.227156752353801</c:v>
                </c:pt>
                <c:pt idx="938">
                  <c:v>1.2283567266156921</c:v>
                </c:pt>
                <c:pt idx="939">
                  <c:v>1.227049964140569</c:v>
                </c:pt>
                <c:pt idx="940">
                  <c:v>1.2257459790564664</c:v>
                </c:pt>
                <c:pt idx="941">
                  <c:v>1.2244447625181898</c:v>
                </c:pt>
                <c:pt idx="942">
                  <c:v>1.2256425226685095</c:v>
                </c:pt>
                <c:pt idx="943">
                  <c:v>1.2243441725385642</c:v>
                </c:pt>
                <c:pt idx="944">
                  <c:v>1.2230485702395815</c:v>
                </c:pt>
                <c:pt idx="945">
                  <c:v>1.22175570705751</c:v>
                </c:pt>
                <c:pt idx="946">
                  <c:v>1.2254369208499936</c:v>
                </c:pt>
                <c:pt idx="947">
                  <c:v>1.224144265870194</c:v>
                </c:pt>
                <c:pt idx="948">
                  <c:v>1.2228543351369272</c:v>
                </c:pt>
                <c:pt idx="949">
                  <c:v>1.2215671200473093</c:v>
                </c:pt>
                <c:pt idx="950">
                  <c:v>1.2202826120346413</c:v>
                </c:pt>
                <c:pt idx="951">
                  <c:v>1.2190008025682182</c:v>
                </c:pt>
                <c:pt idx="952">
                  <c:v>1.2177216831531414</c:v>
                </c:pt>
                <c:pt idx="953">
                  <c:v>1.218912679904836</c:v>
                </c:pt>
                <c:pt idx="954">
                  <c:v>1.2176363315489147</c:v>
                </c:pt>
                <c:pt idx="955">
                  <c:v>1.2163626533778384</c:v>
                </c:pt>
                <c:pt idx="956">
                  <c:v>1.2150916370211218</c:v>
                </c:pt>
                <c:pt idx="957">
                  <c:v>1.2138232741432291</c:v>
                </c:pt>
                <c:pt idx="958">
                  <c:v>1.2125575564433926</c:v>
                </c:pt>
                <c:pt idx="959">
                  <c:v>1.2112944756554307</c:v>
                </c:pt>
                <c:pt idx="960">
                  <c:v>1.2100340235475686</c:v>
                </c:pt>
                <c:pt idx="961">
                  <c:v>1.2087761919222593</c:v>
                </c:pt>
                <c:pt idx="962">
                  <c:v>1.2075209726160057</c:v>
                </c:pt>
                <c:pt idx="963">
                  <c:v>1.2062683574991842</c:v>
                </c:pt>
                <c:pt idx="964">
                  <c:v>1.2050183384758688</c:v>
                </c:pt>
                <c:pt idx="965">
                  <c:v>1.2037709074836578</c:v>
                </c:pt>
                <c:pt idx="966">
                  <c:v>1.202526056493499</c:v>
                </c:pt>
                <c:pt idx="967">
                  <c:v>1.201283777509518</c:v>
                </c:pt>
                <c:pt idx="968">
                  <c:v>1.2000440625688478</c:v>
                </c:pt>
                <c:pt idx="969">
                  <c:v>1.198806903741457</c:v>
                </c:pt>
                <c:pt idx="970">
                  <c:v>1.1999965285411771</c:v>
                </c:pt>
                <c:pt idx="971">
                  <c:v>1.1987619642114025</c:v>
                </c:pt>
                <c:pt idx="972">
                  <c:v>1.1975299375267043</c:v>
                </c:pt>
                <c:pt idx="973">
                  <c:v>1.1963004406709272</c:v>
                </c:pt>
                <c:pt idx="974">
                  <c:v>1.1950734658599829</c:v>
                </c:pt>
                <c:pt idx="975">
                  <c:v>1.1938490053416837</c:v>
                </c:pt>
                <c:pt idx="976">
                  <c:v>1.1950363989741586</c:v>
                </c:pt>
                <c:pt idx="977">
                  <c:v>1.1938144803658004</c:v>
                </c:pt>
                <c:pt idx="978">
                  <c:v>1.1925950580160907</c:v>
                </c:pt>
                <c:pt idx="979">
                  <c:v>1.1913781242834214</c:v>
                </c:pt>
                <c:pt idx="980">
                  <c:v>1.1901636715573423</c:v>
                </c:pt>
                <c:pt idx="981">
                  <c:v>1.1913487722831186</c:v>
                </c:pt>
                <c:pt idx="982">
                  <c:v>1.1901368203275915</c:v>
                </c:pt>
                <c:pt idx="983">
                  <c:v>1.1889273316890472</c:v>
                </c:pt>
                <c:pt idx="984">
                  <c:v>1.1877202988649975</c:v>
                </c:pt>
                <c:pt idx="985">
                  <c:v>1.18651571438339</c:v>
                </c:pt>
                <c:pt idx="986">
                  <c:v>1.1853135708024545</c:v>
                </c:pt>
                <c:pt idx="987">
                  <c:v>1.184113860710549</c:v>
                </c:pt>
                <c:pt idx="988">
                  <c:v>1.1829165767260086</c:v>
                </c:pt>
                <c:pt idx="989">
                  <c:v>1.1817217114969925</c:v>
                </c:pt>
                <c:pt idx="990">
                  <c:v>1.1805292577013344</c:v>
                </c:pt>
                <c:pt idx="991">
                  <c:v>1.1793392080463936</c:v>
                </c:pt>
                <c:pt idx="992">
                  <c:v>1.1781515552689048</c:v>
                </c:pt>
                <c:pt idx="993">
                  <c:v>1.1769662921348314</c:v>
                </c:pt>
                <c:pt idx="994">
                  <c:v>1.1757834114392185</c:v>
                </c:pt>
                <c:pt idx="995">
                  <c:v>1.1746029060060466</c:v>
                </c:pt>
                <c:pt idx="996">
                  <c:v>1.1757857843192498</c:v>
                </c:pt>
                <c:pt idx="997">
                  <c:v>1.1769662921348314</c:v>
                </c:pt>
                <c:pt idx="998">
                  <c:v>1.1757881476982601</c:v>
                </c:pt>
                <c:pt idx="999">
                  <c:v>1.1746123595505618</c:v>
                </c:pt>
                <c:pt idx="1000">
                  <c:v>1.1734389206299318</c:v>
                </c:pt>
                <c:pt idx="1001">
                  <c:v>1.1722678239027562</c:v>
                </c:pt>
                <c:pt idx="1002">
                  <c:v>1.1710990623634714</c:v>
                </c:pt>
                <c:pt idx="1003">
                  <c:v>1.1722771834012264</c:v>
                </c:pt>
                <c:pt idx="1004">
                  <c:v>1.1711107384426183</c:v>
                </c:pt>
                <c:pt idx="1005">
                  <c:v>1.169946612460071</c:v>
                </c:pt>
                <c:pt idx="1006">
                  <c:v>1.1687847985450164</c:v>
                </c:pt>
                <c:pt idx="1007">
                  <c:v>1.1676252898163009</c:v>
                </c:pt>
                <c:pt idx="1008">
                  <c:v>1.1664680794200508</c:v>
                </c:pt>
                <c:pt idx="1009">
                  <c:v>1.1699744131716543</c:v>
                </c:pt>
                <c:pt idx="1010">
                  <c:v>1.1688171684504163</c:v>
                </c:pt>
                <c:pt idx="1011">
                  <c:v>1.1676622107740819</c:v>
                </c:pt>
                <c:pt idx="1012">
                  <c:v>1.1665095333695665</c:v>
                </c:pt>
                <c:pt idx="1013">
                  <c:v>1.1653591294905037</c:v>
                </c:pt>
                <c:pt idx="1014">
                  <c:v>1.1642109924171142</c:v>
                </c:pt>
                <c:pt idx="1015">
                  <c:v>1.1630651154560736</c:v>
                </c:pt>
                <c:pt idx="1016">
                  <c:v>1.1619214919403844</c:v>
                </c:pt>
                <c:pt idx="1017">
                  <c:v>1.1607801152292445</c:v>
                </c:pt>
                <c:pt idx="1018">
                  <c:v>1.1596409787079203</c:v>
                </c:pt>
                <c:pt idx="1019">
                  <c:v>1.1585040757876184</c:v>
                </c:pt>
                <c:pt idx="1020">
                  <c:v>1.1596749166382374</c:v>
                </c:pt>
                <c:pt idx="1021">
                  <c:v>1.1585402053695113</c:v>
                </c:pt>
                <c:pt idx="1022">
                  <c:v>1.1574077125001374</c:v>
                </c:pt>
                <c:pt idx="1023">
                  <c:v>1.1562774315308988</c:v>
                </c:pt>
                <c:pt idx="1024">
                  <c:v>1.155149355987942</c:v>
                </c:pt>
                <c:pt idx="1025">
                  <c:v>1.1540234794226516</c:v>
                </c:pt>
                <c:pt idx="1026">
                  <c:v>1.1551918427185104</c:v>
                </c:pt>
                <c:pt idx="1027">
                  <c:v>1.1540681152450487</c:v>
                </c:pt>
                <c:pt idx="1028">
                  <c:v>1.1529465718871819</c:v>
                </c:pt>
                <c:pt idx="1029">
                  <c:v>1.1518272062834078</c:v>
                </c:pt>
                <c:pt idx="1030">
                  <c:v>1.1529931668828126</c:v>
                </c:pt>
                <c:pt idx="1031">
                  <c:v>1.1518759254420345</c:v>
                </c:pt>
                <c:pt idx="1032">
                  <c:v>1.1507608471018198</c:v>
                </c:pt>
                <c:pt idx="1033">
                  <c:v>1.1496479255862473</c:v>
                </c:pt>
                <c:pt idx="1034">
                  <c:v>1.148537154643652</c:v>
                </c:pt>
                <c:pt idx="1035">
                  <c:v>1.1497006637456075</c:v>
                </c:pt>
                <c:pt idx="1036">
                  <c:v>1.1485919842241556</c:v>
                </c:pt>
                <c:pt idx="1037">
                  <c:v>1.1474854408867527</c:v>
                </c:pt>
                <c:pt idx="1038">
                  <c:v>1.1463810275653989</c:v>
                </c:pt>
                <c:pt idx="1039">
                  <c:v>1.1452787381158167</c:v>
                </c:pt>
                <c:pt idx="1040">
                  <c:v>1.1441785664173385</c:v>
                </c:pt>
                <c:pt idx="1041">
                  <c:v>1.143080506372792</c:v>
                </c:pt>
                <c:pt idx="1042">
                  <c:v>1.1419845519083887</c:v>
                </c:pt>
                <c:pt idx="1043">
                  <c:v>1.1408906969736106</c:v>
                </c:pt>
                <c:pt idx="1044">
                  <c:v>1.1397989355410998</c:v>
                </c:pt>
                <c:pt idx="1045">
                  <c:v>1.1387092616065482</c:v>
                </c:pt>
                <c:pt idx="1046">
                  <c:v>1.1398699333569426</c:v>
                </c:pt>
                <c:pt idx="1047">
                  <c:v>1.1387822712067932</c:v>
                </c:pt>
                <c:pt idx="1048">
                  <c:v>1.1376966827690365</c:v>
                </c:pt>
                <c:pt idx="1049">
                  <c:v>1.1366131621187801</c:v>
                </c:pt>
                <c:pt idx="1050">
                  <c:v>1.1355317033536814</c:v>
                </c:pt>
                <c:pt idx="1051">
                  <c:v>1.1344523005938396</c:v>
                </c:pt>
                <c:pt idx="1052">
                  <c:v>1.1333749479816897</c:v>
                </c:pt>
                <c:pt idx="1053">
                  <c:v>1.1322996396818967</c:v>
                </c:pt>
                <c:pt idx="1054">
                  <c:v>1.1312263698812504</c:v>
                </c:pt>
                <c:pt idx="1055">
                  <c:v>1.1301551327885597</c:v>
                </c:pt>
                <c:pt idx="1056">
                  <c:v>1.1290859226345498</c:v>
                </c:pt>
                <c:pt idx="1057">
                  <c:v>1.1280187336717573</c:v>
                </c:pt>
                <c:pt idx="1058">
                  <c:v>1.1269535601744278</c:v>
                </c:pt>
                <c:pt idx="1059">
                  <c:v>1.1303317786728853</c:v>
                </c:pt>
                <c:pt idx="1060">
                  <c:v>1.1292664329813935</c:v>
                </c:pt>
                <c:pt idx="1061">
                  <c:v>1.1282030935906389</c:v>
                </c:pt>
                <c:pt idx="1062">
                  <c:v>1.1271417548384368</c:v>
                </c:pt>
                <c:pt idx="1063">
                  <c:v>1.1260824110838894</c:v>
                </c:pt>
                <c:pt idx="1064">
                  <c:v>1.1250250567072848</c:v>
                </c:pt>
                <c:pt idx="1065">
                  <c:v>1.1239696861099986</c:v>
                </c:pt>
                <c:pt idx="1066">
                  <c:v>1.1229162937143939</c:v>
                </c:pt>
                <c:pt idx="1067">
                  <c:v>1.1240689306905693</c:v>
                </c:pt>
                <c:pt idx="1068">
                  <c:v>1.1230174162558728</c:v>
                </c:pt>
                <c:pt idx="1069">
                  <c:v>1.1219678672687179</c:v>
                </c:pt>
                <c:pt idx="1070">
                  <c:v>1.1209202782236489</c:v>
                </c:pt>
                <c:pt idx="1071">
                  <c:v>1.1220704762703337</c:v>
                </c:pt>
                <c:pt idx="1072">
                  <c:v>1.1210247442328032</c:v>
                </c:pt>
                <c:pt idx="1073">
                  <c:v>1.1199809595547465</c:v>
                </c:pt>
                <c:pt idx="1074">
                  <c:v>1.1189391168016722</c:v>
                </c:pt>
                <c:pt idx="1075">
                  <c:v>1.1178992105592915</c:v>
                </c:pt>
                <c:pt idx="1076">
                  <c:v>1.116861235433424</c:v>
                </c:pt>
                <c:pt idx="1077">
                  <c:v>1.1158251860499051</c:v>
                </c:pt>
                <c:pt idx="1078">
                  <c:v>1.1147910570544928</c:v>
                </c:pt>
                <c:pt idx="1079">
                  <c:v>1.1137588431127756</c:v>
                </c:pt>
                <c:pt idx="1080">
                  <c:v>1.1127285389100812</c:v>
                </c:pt>
                <c:pt idx="1081">
                  <c:v>1.1117001391513841</c:v>
                </c:pt>
                <c:pt idx="1082">
                  <c:v>1.1106736385612166</c:v>
                </c:pt>
                <c:pt idx="1083">
                  <c:v>1.1096490318835772</c:v>
                </c:pt>
                <c:pt idx="1084">
                  <c:v>1.1086263138818411</c:v>
                </c:pt>
                <c:pt idx="1085">
                  <c:v>1.111940530138432</c:v>
                </c:pt>
                <c:pt idx="1086">
                  <c:v>1.1109175857684794</c:v>
                </c:pt>
                <c:pt idx="1087">
                  <c:v>1.1098965218109715</c:v>
                </c:pt>
                <c:pt idx="1088">
                  <c:v>1.1088773330857091</c:v>
                </c:pt>
                <c:pt idx="1089">
                  <c:v>1.1078600144315021</c:v>
                </c:pt>
                <c:pt idx="1090">
                  <c:v>1.1068445607060835</c:v>
                </c:pt>
                <c:pt idx="1091">
                  <c:v>1.1058309667860231</c:v>
                </c:pt>
                <c:pt idx="1092">
                  <c:v>1.1048192275666395</c:v>
                </c:pt>
                <c:pt idx="1093">
                  <c:v>1.1059610130846498</c:v>
                </c:pt>
                <c:pt idx="1094">
                  <c:v>1.1049510030270382</c:v>
                </c:pt>
                <c:pt idx="1095">
                  <c:v>1.1039428360534733</c:v>
                </c:pt>
                <c:pt idx="1096">
                  <c:v>1.1029365071236161</c:v>
                </c:pt>
                <c:pt idx="1097">
                  <c:v>1.1040758478131845</c:v>
                </c:pt>
                <c:pt idx="1098">
                  <c:v>1.1030712292073488</c:v>
                </c:pt>
                <c:pt idx="1099">
                  <c:v>1.1020684371807967</c:v>
                </c:pt>
                <c:pt idx="1100">
                  <c:v>1.1010674667564726</c:v>
                </c:pt>
                <c:pt idx="1101">
                  <c:v>1.100068312975387</c:v>
                </c:pt>
                <c:pt idx="1102">
                  <c:v>1.0990709708965334</c:v>
                </c:pt>
                <c:pt idx="1103">
                  <c:v>1.0980754355968083</c:v>
                </c:pt>
                <c:pt idx="1104">
                  <c:v>1.0970817021709289</c:v>
                </c:pt>
                <c:pt idx="1105">
                  <c:v>1.0960897657313531</c:v>
                </c:pt>
                <c:pt idx="1106">
                  <c:v>1.0950996214081992</c:v>
                </c:pt>
                <c:pt idx="1107">
                  <c:v>1.0941112643491664</c:v>
                </c:pt>
                <c:pt idx="1108">
                  <c:v>1.0931246897194558</c:v>
                </c:pt>
                <c:pt idx="1109">
                  <c:v>1.0942605526875189</c:v>
                </c:pt>
                <c:pt idx="1110">
                  <c:v>1.0932756196968012</c:v>
                </c:pt>
                <c:pt idx="1111">
                  <c:v>1.0922924581682969</c:v>
                </c:pt>
                <c:pt idx="1112">
                  <c:v>1.0913110633271752</c:v>
                </c:pt>
                <c:pt idx="1113">
                  <c:v>1.092444475823533</c:v>
                </c:pt>
                <c:pt idx="1114">
                  <c:v>1.091464704993198</c:v>
                </c:pt>
                <c:pt idx="1115">
                  <c:v>1.090486690024566</c:v>
                </c:pt>
                <c:pt idx="1116">
                  <c:v>1.0895104262018045</c:v>
                </c:pt>
                <c:pt idx="1117">
                  <c:v>1.0885359088259532</c:v>
                </c:pt>
                <c:pt idx="1118">
                  <c:v>1.0896667369541424</c:v>
                </c:pt>
                <c:pt idx="1119">
                  <c:v>1.0907955457463885</c:v>
                </c:pt>
                <c:pt idx="1120">
                  <c:v>1.0919223406068017</c:v>
                </c:pt>
                <c:pt idx="1121">
                  <c:v>1.0909491477898616</c:v>
                </c:pt>
                <c:pt idx="1122">
                  <c:v>1.0899776881747325</c:v>
                </c:pt>
                <c:pt idx="1123">
                  <c:v>1.0890079571354314</c:v>
                </c:pt>
                <c:pt idx="1124">
                  <c:v>1.088039950062422</c:v>
                </c:pt>
                <c:pt idx="1125">
                  <c:v>1.0870736623625441</c:v>
                </c:pt>
                <c:pt idx="1126">
                  <c:v>1.0861090894589394</c:v>
                </c:pt>
                <c:pt idx="1127">
                  <c:v>1.0872330464578852</c:v>
                </c:pt>
                <c:pt idx="1128">
                  <c:v>1.0862700411022981</c:v>
                </c:pt>
                <c:pt idx="1129">
                  <c:v>1.0853087401809685</c:v>
                </c:pt>
                <c:pt idx="1130">
                  <c:v>1.084349139172851</c:v>
                </c:pt>
                <c:pt idx="1131">
                  <c:v>1.083391233572875</c:v>
                </c:pt>
                <c:pt idx="1132">
                  <c:v>1.0845126292928191</c:v>
                </c:pt>
                <c:pt idx="1133">
                  <c:v>1.0835562689495275</c:v>
                </c:pt>
                <c:pt idx="1134">
                  <c:v>1.0826015938226996</c:v>
                </c:pt>
                <c:pt idx="1135">
                  <c:v>1.0816485994619403</c:v>
                </c:pt>
                <c:pt idx="1136">
                  <c:v>1.0806972814325102</c:v>
                </c:pt>
                <c:pt idx="1137">
                  <c:v>1.0818161173752494</c:v>
                </c:pt>
                <c:pt idx="1138">
                  <c:v>1.082932988724586</c:v>
                </c:pt>
                <c:pt idx="1139">
                  <c:v>1.0819830475064065</c:v>
                </c:pt>
                <c:pt idx="1140">
                  <c:v>1.081034771391151</c:v>
                </c:pt>
                <c:pt idx="1141">
                  <c:v>1.080088156004644</c:v>
                </c:pt>
                <c:pt idx="1142">
                  <c:v>1.079143196988017</c:v>
                </c:pt>
                <c:pt idx="1143">
                  <c:v>1.0781998899976428</c:v>
                </c:pt>
                <c:pt idx="1144">
                  <c:v>1.0772582307050684</c:v>
                </c:pt>
                <c:pt idx="1145">
                  <c:v>1.0763182147969488</c:v>
                </c:pt>
                <c:pt idx="1146">
                  <c:v>1.07743208957417</c:v>
                </c:pt>
                <c:pt idx="1147">
                  <c:v>1.076493559879419</c:v>
                </c:pt>
                <c:pt idx="1148">
                  <c:v>1.0755566638307859</c:v>
                </c:pt>
                <c:pt idx="1149">
                  <c:v>1.0746213971665852</c:v>
                </c:pt>
                <c:pt idx="1150">
                  <c:v>1.0736877556399418</c:v>
                </c:pt>
                <c:pt idx="1151">
                  <c:v>1.0727557350187265</c:v>
                </c:pt>
                <c:pt idx="1152">
                  <c:v>1.0759084752039136</c:v>
                </c:pt>
                <c:pt idx="1153">
                  <c:v>1.0749761455026969</c:v>
                </c:pt>
                <c:pt idx="1154">
                  <c:v>1.0740454302252054</c:v>
                </c:pt>
                <c:pt idx="1155">
                  <c:v>1.0731163251817581</c:v>
                </c:pt>
                <c:pt idx="1156">
                  <c:v>1.0721888261971584</c:v>
                </c:pt>
                <c:pt idx="1157">
                  <c:v>1.0712629291106324</c:v>
                </c:pt>
                <c:pt idx="1158">
                  <c:v>1.0703386297757655</c:v>
                </c:pt>
                <c:pt idx="1159">
                  <c:v>1.0694159240604417</c:v>
                </c:pt>
                <c:pt idx="1160">
                  <c:v>1.0684948078467806</c:v>
                </c:pt>
                <c:pt idx="1161">
                  <c:v>1.0675752770310778</c:v>
                </c:pt>
                <c:pt idx="1162">
                  <c:v>1.0686813452230284</c:v>
                </c:pt>
                <c:pt idx="1163">
                  <c:v>1.0718077918066335</c:v>
                </c:pt>
                <c:pt idx="1164">
                  <c:v>1.0708877851183876</c:v>
                </c:pt>
                <c:pt idx="1165">
                  <c:v>1.0699693564862105</c:v>
                </c:pt>
                <c:pt idx="1166">
                  <c:v>1.0690525018534032</c:v>
                </c:pt>
                <c:pt idx="1167">
                  <c:v>1.0681372171771588</c:v>
                </c:pt>
                <c:pt idx="1168">
                  <c:v>1.0672234984285043</c:v>
                </c:pt>
                <c:pt idx="1169">
                  <c:v>1.0663113415922405</c:v>
                </c:pt>
                <c:pt idx="1170">
                  <c:v>1.0654007426668841</c:v>
                </c:pt>
                <c:pt idx="1171">
                  <c:v>1.0644916976646086</c:v>
                </c:pt>
                <c:pt idx="1172">
                  <c:v>1.0635842026111861</c:v>
                </c:pt>
                <c:pt idx="1173">
                  <c:v>1.0626782535459296</c:v>
                </c:pt>
                <c:pt idx="1174">
                  <c:v>1.0637771934018647</c:v>
                </c:pt>
                <c:pt idx="1175">
                  <c:v>1.0628726209584958</c:v>
                </c:pt>
                <c:pt idx="1176">
                  <c:v>1.0619695855965938</c:v>
                </c:pt>
                <c:pt idx="1177">
                  <c:v>1.0610680834016901</c:v>
                </c:pt>
                <c:pt idx="1178">
                  <c:v>1.0601681104725962</c:v>
                </c:pt>
                <c:pt idx="1179">
                  <c:v>1.0592696629213483</c:v>
                </c:pt>
                <c:pt idx="1180">
                  <c:v>1.0583727368731508</c:v>
                </c:pt>
                <c:pt idx="1181">
                  <c:v>1.0574773284663206</c:v>
                </c:pt>
                <c:pt idx="1182">
                  <c:v>1.0585732331626887</c:v>
                </c:pt>
                <c:pt idx="1183">
                  <c:v>1.0596672866686911</c:v>
                </c:pt>
                <c:pt idx="1184">
                  <c:v>1.0587730526715025</c:v>
                </c:pt>
                <c:pt idx="1185">
                  <c:v>1.0578803266574455</c:v>
                </c:pt>
                <c:pt idx="1186">
                  <c:v>1.056989104815274</c:v>
                </c:pt>
                <c:pt idx="1187">
                  <c:v>1.0560993833465744</c:v>
                </c:pt>
                <c:pt idx="1188">
                  <c:v>1.0552111584657109</c:v>
                </c:pt>
                <c:pt idx="1189">
                  <c:v>1.0543244263997733</c:v>
                </c:pt>
                <c:pt idx="1190">
                  <c:v>1.0534391833885226</c:v>
                </c:pt>
                <c:pt idx="1191">
                  <c:v>1.0525554256843375</c:v>
                </c:pt>
                <c:pt idx="1192">
                  <c:v>1.051673149552163</c:v>
                </c:pt>
                <c:pt idx="1193">
                  <c:v>1.0507923512694559</c:v>
                </c:pt>
                <c:pt idx="1194">
                  <c:v>1.0499130271261341</c:v>
                </c:pt>
                <c:pt idx="1195">
                  <c:v>1.0490351734245236</c:v>
                </c:pt>
                <c:pt idx="1196">
                  <c:v>1.0481587864793069</c:v>
                </c:pt>
                <c:pt idx="1197">
                  <c:v>1.047283862617471</c:v>
                </c:pt>
                <c:pt idx="1198">
                  <c:v>1.0464103981782571</c:v>
                </c:pt>
                <c:pt idx="1199">
                  <c:v>1.0455383895131087</c:v>
                </c:pt>
                <c:pt idx="1200">
                  <c:v>1.0466278101582016</c:v>
                </c:pt>
                <c:pt idx="1201">
                  <c:v>1.0457570715474209</c:v>
                </c:pt>
                <c:pt idx="1202">
                  <c:v>1.0448877805486285</c:v>
                </c:pt>
                <c:pt idx="1203">
                  <c:v>1.0440199335548173</c:v>
                </c:pt>
                <c:pt idx="1204">
                  <c:v>1.0431535269709544</c:v>
                </c:pt>
                <c:pt idx="1205">
                  <c:v>1.0422885572139304</c:v>
                </c:pt>
                <c:pt idx="1206">
                  <c:v>1.0414250207125102</c:v>
                </c:pt>
                <c:pt idx="1207">
                  <c:v>1.0405629139072847</c:v>
                </c:pt>
                <c:pt idx="1208">
                  <c:v>1.0397022332506203</c:v>
                </c:pt>
                <c:pt idx="1209">
                  <c:v>1.0388429752066115</c:v>
                </c:pt>
                <c:pt idx="1210">
                  <c:v>1.0379851362510322</c:v>
                </c:pt>
                <c:pt idx="1211">
                  <c:v>1.0371287128712872</c:v>
                </c:pt>
                <c:pt idx="1212">
                  <c:v>1.0362737015663643</c:v>
                </c:pt>
                <c:pt idx="1213">
                  <c:v>1.0354200988467874</c:v>
                </c:pt>
                <c:pt idx="1214">
                  <c:v>1.0345679012345679</c:v>
                </c:pt>
                <c:pt idx="1215">
                  <c:v>1.033717105263158</c:v>
                </c:pt>
                <c:pt idx="1216">
                  <c:v>1.0328677074774033</c:v>
                </c:pt>
                <c:pt idx="1217">
                  <c:v>1.0320197044334976</c:v>
                </c:pt>
                <c:pt idx="1218">
                  <c:v>1.0311730926989338</c:v>
                </c:pt>
                <c:pt idx="1219">
                  <c:v>1.0303278688524591</c:v>
                </c:pt>
                <c:pt idx="1220">
                  <c:v>1.0294840294840295</c:v>
                </c:pt>
                <c:pt idx="1221">
                  <c:v>1.0286415711947627</c:v>
                </c:pt>
                <c:pt idx="1222">
                  <c:v>1.0278004905968929</c:v>
                </c:pt>
                <c:pt idx="1223">
                  <c:v>1.0269607843137254</c:v>
                </c:pt>
                <c:pt idx="1224">
                  <c:v>1.0261224489795919</c:v>
                </c:pt>
                <c:pt idx="1225">
                  <c:v>1.0252854812398042</c:v>
                </c:pt>
                <c:pt idx="1226">
                  <c:v>1.0244498777506112</c:v>
                </c:pt>
                <c:pt idx="1227">
                  <c:v>1.023615635179153</c:v>
                </c:pt>
                <c:pt idx="1228">
                  <c:v>1.0227827502034175</c:v>
                </c:pt>
                <c:pt idx="1229">
                  <c:v>1.0219512195121951</c:v>
                </c:pt>
                <c:pt idx="1230">
                  <c:v>1.0211210398050365</c:v>
                </c:pt>
                <c:pt idx="1231">
                  <c:v>1.0202922077922079</c:v>
                </c:pt>
                <c:pt idx="1232">
                  <c:v>1.0194647201946472</c:v>
                </c:pt>
                <c:pt idx="1233">
                  <c:v>1.0186385737439221</c:v>
                </c:pt>
                <c:pt idx="1234">
                  <c:v>1.0178137651821864</c:v>
                </c:pt>
                <c:pt idx="1235">
                  <c:v>1.0169902912621358</c:v>
                </c:pt>
                <c:pt idx="1236">
                  <c:v>1.0161681487469685</c:v>
                </c:pt>
                <c:pt idx="1237">
                  <c:v>1.0153473344103392</c:v>
                </c:pt>
                <c:pt idx="1238">
                  <c:v>1.0145278450363198</c:v>
                </c:pt>
                <c:pt idx="1239">
                  <c:v>1.0137096774193548</c:v>
                </c:pt>
                <c:pt idx="1240">
                  <c:v>1.0128928283642225</c:v>
                </c:pt>
                <c:pt idx="1241">
                  <c:v>1.0120772946859902</c:v>
                </c:pt>
                <c:pt idx="1242">
                  <c:v>1.0112630732099759</c:v>
                </c:pt>
                <c:pt idx="1243">
                  <c:v>1.010450160771704</c:v>
                </c:pt>
                <c:pt idx="1244">
                  <c:v>1.0096385542168675</c:v>
                </c:pt>
                <c:pt idx="1245">
                  <c:v>1.008828250401284</c:v>
                </c:pt>
                <c:pt idx="1246">
                  <c:v>1.0080192461908581</c:v>
                </c:pt>
                <c:pt idx="1247">
                  <c:v>1.0072115384615383</c:v>
                </c:pt>
                <c:pt idx="1248">
                  <c:v>1.0064051240992795</c:v>
                </c:pt>
                <c:pt idx="1249">
                  <c:v>1.0055999999999998</c:v>
                </c:pt>
                <c:pt idx="1250">
                  <c:v>1.0047961630695443</c:v>
                </c:pt>
                <c:pt idx="1251">
                  <c:v>1.003993610223642</c:v>
                </c:pt>
                <c:pt idx="1252">
                  <c:v>1.0031923383878691</c:v>
                </c:pt>
                <c:pt idx="1253">
                  <c:v>1.0023923444976075</c:v>
                </c:pt>
                <c:pt idx="1254">
                  <c:v>1.001593625498008</c:v>
                </c:pt>
                <c:pt idx="1255">
                  <c:v>1.000796178343949</c:v>
                </c:pt>
                <c:pt idx="12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A5-4CDB-87FF-C257D6B093A0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Validation!$M$2:$M$629</c:f>
              <c:numCache>
                <c:formatCode>0.00%</c:formatCode>
                <c:ptCount val="628"/>
                <c:pt idx="0">
                  <c:v>1.5923566878980893E-3</c:v>
                </c:pt>
                <c:pt idx="1">
                  <c:v>3.1847133757961785E-3</c:v>
                </c:pt>
                <c:pt idx="2">
                  <c:v>4.7770700636942673E-3</c:v>
                </c:pt>
                <c:pt idx="3">
                  <c:v>6.369426751592357E-3</c:v>
                </c:pt>
                <c:pt idx="4">
                  <c:v>7.9617834394904458E-3</c:v>
                </c:pt>
                <c:pt idx="5">
                  <c:v>9.5541401273885346E-3</c:v>
                </c:pt>
                <c:pt idx="6">
                  <c:v>1.1146496815286623E-2</c:v>
                </c:pt>
                <c:pt idx="7">
                  <c:v>1.2738853503184714E-2</c:v>
                </c:pt>
                <c:pt idx="8">
                  <c:v>1.4331210191082803E-2</c:v>
                </c:pt>
                <c:pt idx="9">
                  <c:v>1.5923566878980892E-2</c:v>
                </c:pt>
                <c:pt idx="10">
                  <c:v>1.751592356687898E-2</c:v>
                </c:pt>
                <c:pt idx="11">
                  <c:v>1.9108280254777069E-2</c:v>
                </c:pt>
                <c:pt idx="12">
                  <c:v>2.0700636942675158E-2</c:v>
                </c:pt>
                <c:pt idx="13">
                  <c:v>2.2292993630573247E-2</c:v>
                </c:pt>
                <c:pt idx="14">
                  <c:v>2.3885350318471339E-2</c:v>
                </c:pt>
                <c:pt idx="15">
                  <c:v>2.5477707006369428E-2</c:v>
                </c:pt>
                <c:pt idx="16">
                  <c:v>2.7070063694267517E-2</c:v>
                </c:pt>
                <c:pt idx="17">
                  <c:v>2.8662420382165606E-2</c:v>
                </c:pt>
                <c:pt idx="18">
                  <c:v>3.0254777070063694E-2</c:v>
                </c:pt>
                <c:pt idx="19">
                  <c:v>3.1847133757961783E-2</c:v>
                </c:pt>
                <c:pt idx="20">
                  <c:v>3.3439490445859872E-2</c:v>
                </c:pt>
                <c:pt idx="21">
                  <c:v>3.5031847133757961E-2</c:v>
                </c:pt>
                <c:pt idx="22">
                  <c:v>3.662420382165605E-2</c:v>
                </c:pt>
                <c:pt idx="23">
                  <c:v>3.8216560509554139E-2</c:v>
                </c:pt>
                <c:pt idx="24">
                  <c:v>3.9808917197452227E-2</c:v>
                </c:pt>
                <c:pt idx="25">
                  <c:v>4.1401273885350316E-2</c:v>
                </c:pt>
                <c:pt idx="26">
                  <c:v>4.2993630573248405E-2</c:v>
                </c:pt>
                <c:pt idx="27">
                  <c:v>4.4585987261146494E-2</c:v>
                </c:pt>
                <c:pt idx="28">
                  <c:v>4.6178343949044583E-2</c:v>
                </c:pt>
                <c:pt idx="29">
                  <c:v>4.7770700636942678E-2</c:v>
                </c:pt>
                <c:pt idx="30">
                  <c:v>4.9363057324840767E-2</c:v>
                </c:pt>
                <c:pt idx="31">
                  <c:v>5.0955414012738856E-2</c:v>
                </c:pt>
                <c:pt idx="32">
                  <c:v>5.2547770700636945E-2</c:v>
                </c:pt>
                <c:pt idx="33">
                  <c:v>5.4140127388535034E-2</c:v>
                </c:pt>
                <c:pt idx="34">
                  <c:v>5.5732484076433123E-2</c:v>
                </c:pt>
                <c:pt idx="35">
                  <c:v>5.7324840764331211E-2</c:v>
                </c:pt>
                <c:pt idx="36">
                  <c:v>5.89171974522293E-2</c:v>
                </c:pt>
                <c:pt idx="37">
                  <c:v>6.0509554140127389E-2</c:v>
                </c:pt>
                <c:pt idx="38">
                  <c:v>6.2101910828025478E-2</c:v>
                </c:pt>
                <c:pt idx="39">
                  <c:v>6.3694267515923567E-2</c:v>
                </c:pt>
                <c:pt idx="40">
                  <c:v>6.5286624203821655E-2</c:v>
                </c:pt>
                <c:pt idx="41">
                  <c:v>6.6878980891719744E-2</c:v>
                </c:pt>
                <c:pt idx="42">
                  <c:v>6.8471337579617833E-2</c:v>
                </c:pt>
                <c:pt idx="43">
                  <c:v>7.0063694267515922E-2</c:v>
                </c:pt>
                <c:pt idx="44">
                  <c:v>7.1656050955414011E-2</c:v>
                </c:pt>
                <c:pt idx="45">
                  <c:v>7.32484076433121E-2</c:v>
                </c:pt>
                <c:pt idx="46">
                  <c:v>7.4840764331210188E-2</c:v>
                </c:pt>
                <c:pt idx="47">
                  <c:v>7.6433121019108277E-2</c:v>
                </c:pt>
                <c:pt idx="48">
                  <c:v>7.8025477707006366E-2</c:v>
                </c:pt>
                <c:pt idx="49">
                  <c:v>7.9617834394904455E-2</c:v>
                </c:pt>
                <c:pt idx="50">
                  <c:v>8.1210191082802544E-2</c:v>
                </c:pt>
                <c:pt idx="51">
                  <c:v>8.2802547770700632E-2</c:v>
                </c:pt>
                <c:pt idx="52">
                  <c:v>8.4394904458598721E-2</c:v>
                </c:pt>
                <c:pt idx="53">
                  <c:v>8.598726114649681E-2</c:v>
                </c:pt>
                <c:pt idx="54">
                  <c:v>8.7579617834394899E-2</c:v>
                </c:pt>
                <c:pt idx="55">
                  <c:v>8.9171974522292988E-2</c:v>
                </c:pt>
                <c:pt idx="56">
                  <c:v>9.0764331210191077E-2</c:v>
                </c:pt>
                <c:pt idx="57">
                  <c:v>9.2356687898089165E-2</c:v>
                </c:pt>
                <c:pt idx="58">
                  <c:v>9.3949044585987268E-2</c:v>
                </c:pt>
                <c:pt idx="59">
                  <c:v>9.5541401273885357E-2</c:v>
                </c:pt>
                <c:pt idx="60">
                  <c:v>9.7133757961783446E-2</c:v>
                </c:pt>
                <c:pt idx="61">
                  <c:v>9.8726114649681534E-2</c:v>
                </c:pt>
                <c:pt idx="62">
                  <c:v>0.10031847133757962</c:v>
                </c:pt>
                <c:pt idx="63">
                  <c:v>0.10191082802547771</c:v>
                </c:pt>
                <c:pt idx="64">
                  <c:v>0.1035031847133758</c:v>
                </c:pt>
                <c:pt idx="65">
                  <c:v>0.10509554140127389</c:v>
                </c:pt>
                <c:pt idx="66">
                  <c:v>0.10668789808917198</c:v>
                </c:pt>
                <c:pt idx="67">
                  <c:v>0.10828025477707007</c:v>
                </c:pt>
                <c:pt idx="68">
                  <c:v>0.10987261146496816</c:v>
                </c:pt>
                <c:pt idx="69">
                  <c:v>0.11146496815286625</c:v>
                </c:pt>
                <c:pt idx="70">
                  <c:v>0.11305732484076433</c:v>
                </c:pt>
                <c:pt idx="71">
                  <c:v>0.11464968152866242</c:v>
                </c:pt>
                <c:pt idx="72">
                  <c:v>0.11624203821656051</c:v>
                </c:pt>
                <c:pt idx="73">
                  <c:v>0.1178343949044586</c:v>
                </c:pt>
                <c:pt idx="74">
                  <c:v>0.11942675159235669</c:v>
                </c:pt>
                <c:pt idx="75">
                  <c:v>0.12101910828025478</c:v>
                </c:pt>
                <c:pt idx="76">
                  <c:v>0.12261146496815287</c:v>
                </c:pt>
                <c:pt idx="77">
                  <c:v>0.12420382165605096</c:v>
                </c:pt>
                <c:pt idx="78">
                  <c:v>0.12579617834394904</c:v>
                </c:pt>
                <c:pt idx="79">
                  <c:v>0.12738853503184713</c:v>
                </c:pt>
                <c:pt idx="80">
                  <c:v>0.12898089171974522</c:v>
                </c:pt>
                <c:pt idx="81">
                  <c:v>0.13057324840764331</c:v>
                </c:pt>
                <c:pt idx="82">
                  <c:v>0.1321656050955414</c:v>
                </c:pt>
                <c:pt idx="83">
                  <c:v>0.13375796178343949</c:v>
                </c:pt>
                <c:pt idx="84">
                  <c:v>0.13535031847133758</c:v>
                </c:pt>
                <c:pt idx="85">
                  <c:v>0.13694267515923567</c:v>
                </c:pt>
                <c:pt idx="86">
                  <c:v>0.13853503184713375</c:v>
                </c:pt>
                <c:pt idx="87">
                  <c:v>0.14012738853503184</c:v>
                </c:pt>
                <c:pt idx="88">
                  <c:v>0.14171974522292993</c:v>
                </c:pt>
                <c:pt idx="89">
                  <c:v>0.14331210191082802</c:v>
                </c:pt>
                <c:pt idx="90">
                  <c:v>0.14490445859872611</c:v>
                </c:pt>
                <c:pt idx="91">
                  <c:v>0.1464968152866242</c:v>
                </c:pt>
                <c:pt idx="92">
                  <c:v>0.14808917197452229</c:v>
                </c:pt>
                <c:pt idx="93">
                  <c:v>0.14968152866242038</c:v>
                </c:pt>
                <c:pt idx="94">
                  <c:v>0.15127388535031847</c:v>
                </c:pt>
                <c:pt idx="95">
                  <c:v>0.15286624203821655</c:v>
                </c:pt>
                <c:pt idx="96">
                  <c:v>0.15445859872611464</c:v>
                </c:pt>
                <c:pt idx="97">
                  <c:v>0.15605095541401273</c:v>
                </c:pt>
                <c:pt idx="98">
                  <c:v>0.15764331210191082</c:v>
                </c:pt>
                <c:pt idx="99">
                  <c:v>0.15923566878980891</c:v>
                </c:pt>
                <c:pt idx="100">
                  <c:v>0.160828025477707</c:v>
                </c:pt>
                <c:pt idx="101">
                  <c:v>0.16242038216560509</c:v>
                </c:pt>
                <c:pt idx="102">
                  <c:v>0.16401273885350318</c:v>
                </c:pt>
                <c:pt idx="103">
                  <c:v>0.16560509554140126</c:v>
                </c:pt>
                <c:pt idx="104">
                  <c:v>0.16719745222929935</c:v>
                </c:pt>
                <c:pt idx="105">
                  <c:v>0.16878980891719744</c:v>
                </c:pt>
                <c:pt idx="106">
                  <c:v>0.17038216560509553</c:v>
                </c:pt>
                <c:pt idx="107">
                  <c:v>0.17197452229299362</c:v>
                </c:pt>
                <c:pt idx="108">
                  <c:v>0.17356687898089171</c:v>
                </c:pt>
                <c:pt idx="109">
                  <c:v>0.1751592356687898</c:v>
                </c:pt>
                <c:pt idx="110">
                  <c:v>0.17675159235668789</c:v>
                </c:pt>
                <c:pt idx="111">
                  <c:v>0.17834394904458598</c:v>
                </c:pt>
                <c:pt idx="112">
                  <c:v>0.17993630573248406</c:v>
                </c:pt>
                <c:pt idx="113">
                  <c:v>0.18152866242038215</c:v>
                </c:pt>
                <c:pt idx="114">
                  <c:v>0.18312101910828024</c:v>
                </c:pt>
                <c:pt idx="115">
                  <c:v>0.18471337579617833</c:v>
                </c:pt>
                <c:pt idx="116">
                  <c:v>0.18630573248407642</c:v>
                </c:pt>
                <c:pt idx="117">
                  <c:v>0.18789808917197454</c:v>
                </c:pt>
                <c:pt idx="118">
                  <c:v>0.18949044585987262</c:v>
                </c:pt>
                <c:pt idx="119">
                  <c:v>0.19108280254777071</c:v>
                </c:pt>
                <c:pt idx="120">
                  <c:v>0.1926751592356688</c:v>
                </c:pt>
                <c:pt idx="121">
                  <c:v>0.19426751592356689</c:v>
                </c:pt>
                <c:pt idx="122">
                  <c:v>0.19585987261146498</c:v>
                </c:pt>
                <c:pt idx="123">
                  <c:v>0.19745222929936307</c:v>
                </c:pt>
                <c:pt idx="124">
                  <c:v>0.19904458598726116</c:v>
                </c:pt>
                <c:pt idx="125">
                  <c:v>0.20063694267515925</c:v>
                </c:pt>
                <c:pt idx="126">
                  <c:v>0.20222929936305734</c:v>
                </c:pt>
                <c:pt idx="127">
                  <c:v>0.20382165605095542</c:v>
                </c:pt>
                <c:pt idx="128">
                  <c:v>0.20541401273885351</c:v>
                </c:pt>
                <c:pt idx="129">
                  <c:v>0.2070063694267516</c:v>
                </c:pt>
                <c:pt idx="130">
                  <c:v>0.20859872611464969</c:v>
                </c:pt>
                <c:pt idx="131">
                  <c:v>0.21019108280254778</c:v>
                </c:pt>
                <c:pt idx="132">
                  <c:v>0.21178343949044587</c:v>
                </c:pt>
                <c:pt idx="133">
                  <c:v>0.21337579617834396</c:v>
                </c:pt>
                <c:pt idx="134">
                  <c:v>0.21496815286624205</c:v>
                </c:pt>
                <c:pt idx="135">
                  <c:v>0.21656050955414013</c:v>
                </c:pt>
                <c:pt idx="136">
                  <c:v>0.21815286624203822</c:v>
                </c:pt>
                <c:pt idx="137">
                  <c:v>0.21974522292993631</c:v>
                </c:pt>
                <c:pt idx="138">
                  <c:v>0.2213375796178344</c:v>
                </c:pt>
                <c:pt idx="139">
                  <c:v>0.22292993630573249</c:v>
                </c:pt>
                <c:pt idx="140">
                  <c:v>0.22452229299363058</c:v>
                </c:pt>
                <c:pt idx="141">
                  <c:v>0.22611464968152867</c:v>
                </c:pt>
                <c:pt idx="142">
                  <c:v>0.22770700636942676</c:v>
                </c:pt>
                <c:pt idx="143">
                  <c:v>0.22929936305732485</c:v>
                </c:pt>
                <c:pt idx="144">
                  <c:v>0.23089171974522293</c:v>
                </c:pt>
                <c:pt idx="145">
                  <c:v>0.23248407643312102</c:v>
                </c:pt>
                <c:pt idx="146">
                  <c:v>0.23407643312101911</c:v>
                </c:pt>
                <c:pt idx="147">
                  <c:v>0.2356687898089172</c:v>
                </c:pt>
                <c:pt idx="148">
                  <c:v>0.23726114649681529</c:v>
                </c:pt>
                <c:pt idx="149">
                  <c:v>0.23885350318471338</c:v>
                </c:pt>
                <c:pt idx="150">
                  <c:v>0.24044585987261147</c:v>
                </c:pt>
                <c:pt idx="151">
                  <c:v>0.24203821656050956</c:v>
                </c:pt>
                <c:pt idx="152">
                  <c:v>0.24363057324840764</c:v>
                </c:pt>
                <c:pt idx="153">
                  <c:v>0.24522292993630573</c:v>
                </c:pt>
                <c:pt idx="154">
                  <c:v>0.24681528662420382</c:v>
                </c:pt>
                <c:pt idx="155">
                  <c:v>0.24840764331210191</c:v>
                </c:pt>
                <c:pt idx="156">
                  <c:v>0.25</c:v>
                </c:pt>
                <c:pt idx="157">
                  <c:v>0.25159235668789809</c:v>
                </c:pt>
                <c:pt idx="158">
                  <c:v>0.25318471337579618</c:v>
                </c:pt>
                <c:pt idx="159">
                  <c:v>0.25477707006369427</c:v>
                </c:pt>
                <c:pt idx="160">
                  <c:v>0.25636942675159236</c:v>
                </c:pt>
                <c:pt idx="161">
                  <c:v>0.25796178343949044</c:v>
                </c:pt>
                <c:pt idx="162">
                  <c:v>0.25955414012738853</c:v>
                </c:pt>
                <c:pt idx="163">
                  <c:v>0.26114649681528662</c:v>
                </c:pt>
                <c:pt idx="164">
                  <c:v>0.26273885350318471</c:v>
                </c:pt>
                <c:pt idx="165">
                  <c:v>0.2643312101910828</c:v>
                </c:pt>
                <c:pt idx="166">
                  <c:v>0.26592356687898089</c:v>
                </c:pt>
                <c:pt idx="167">
                  <c:v>0.26751592356687898</c:v>
                </c:pt>
                <c:pt idx="168">
                  <c:v>0.26910828025477707</c:v>
                </c:pt>
                <c:pt idx="169">
                  <c:v>0.27070063694267515</c:v>
                </c:pt>
                <c:pt idx="170">
                  <c:v>0.27229299363057324</c:v>
                </c:pt>
                <c:pt idx="171">
                  <c:v>0.27388535031847133</c:v>
                </c:pt>
                <c:pt idx="172">
                  <c:v>0.27547770700636942</c:v>
                </c:pt>
                <c:pt idx="173">
                  <c:v>0.27707006369426751</c:v>
                </c:pt>
                <c:pt idx="174">
                  <c:v>0.2786624203821656</c:v>
                </c:pt>
                <c:pt idx="175">
                  <c:v>0.28025477707006369</c:v>
                </c:pt>
                <c:pt idx="176">
                  <c:v>0.28184713375796178</c:v>
                </c:pt>
                <c:pt idx="177">
                  <c:v>0.28343949044585987</c:v>
                </c:pt>
                <c:pt idx="178">
                  <c:v>0.28503184713375795</c:v>
                </c:pt>
                <c:pt idx="179">
                  <c:v>0.28662420382165604</c:v>
                </c:pt>
                <c:pt idx="180">
                  <c:v>0.28821656050955413</c:v>
                </c:pt>
                <c:pt idx="181">
                  <c:v>0.28980891719745222</c:v>
                </c:pt>
                <c:pt idx="182">
                  <c:v>0.29140127388535031</c:v>
                </c:pt>
                <c:pt idx="183">
                  <c:v>0.2929936305732484</c:v>
                </c:pt>
                <c:pt idx="184">
                  <c:v>0.29458598726114649</c:v>
                </c:pt>
                <c:pt idx="185">
                  <c:v>0.29617834394904458</c:v>
                </c:pt>
                <c:pt idx="186">
                  <c:v>0.29777070063694266</c:v>
                </c:pt>
                <c:pt idx="187">
                  <c:v>0.29936305732484075</c:v>
                </c:pt>
                <c:pt idx="188">
                  <c:v>0.30095541401273884</c:v>
                </c:pt>
                <c:pt idx="189">
                  <c:v>0.30254777070063693</c:v>
                </c:pt>
                <c:pt idx="190">
                  <c:v>0.30414012738853502</c:v>
                </c:pt>
                <c:pt idx="191">
                  <c:v>0.30573248407643311</c:v>
                </c:pt>
                <c:pt idx="192">
                  <c:v>0.3073248407643312</c:v>
                </c:pt>
                <c:pt idx="193">
                  <c:v>0.30891719745222929</c:v>
                </c:pt>
                <c:pt idx="194">
                  <c:v>0.31050955414012738</c:v>
                </c:pt>
                <c:pt idx="195">
                  <c:v>0.31210191082802546</c:v>
                </c:pt>
                <c:pt idx="196">
                  <c:v>0.31369426751592355</c:v>
                </c:pt>
                <c:pt idx="197">
                  <c:v>0.31528662420382164</c:v>
                </c:pt>
                <c:pt idx="198">
                  <c:v>0.31687898089171973</c:v>
                </c:pt>
                <c:pt idx="199">
                  <c:v>0.31847133757961782</c:v>
                </c:pt>
                <c:pt idx="200">
                  <c:v>0.32006369426751591</c:v>
                </c:pt>
                <c:pt idx="201">
                  <c:v>0.321656050955414</c:v>
                </c:pt>
                <c:pt idx="202">
                  <c:v>0.32324840764331209</c:v>
                </c:pt>
                <c:pt idx="203">
                  <c:v>0.32484076433121017</c:v>
                </c:pt>
                <c:pt idx="204">
                  <c:v>0.32643312101910826</c:v>
                </c:pt>
                <c:pt idx="205">
                  <c:v>0.32802547770700635</c:v>
                </c:pt>
                <c:pt idx="206">
                  <c:v>0.32961783439490444</c:v>
                </c:pt>
                <c:pt idx="207">
                  <c:v>0.33121019108280253</c:v>
                </c:pt>
                <c:pt idx="208">
                  <c:v>0.33280254777070062</c:v>
                </c:pt>
                <c:pt idx="209">
                  <c:v>0.33439490445859871</c:v>
                </c:pt>
                <c:pt idx="210">
                  <c:v>0.3359872611464968</c:v>
                </c:pt>
                <c:pt idx="211">
                  <c:v>0.33757961783439489</c:v>
                </c:pt>
                <c:pt idx="212">
                  <c:v>0.33917197452229297</c:v>
                </c:pt>
                <c:pt idx="213">
                  <c:v>0.34076433121019106</c:v>
                </c:pt>
                <c:pt idx="214">
                  <c:v>0.34235668789808915</c:v>
                </c:pt>
                <c:pt idx="215">
                  <c:v>0.34394904458598724</c:v>
                </c:pt>
                <c:pt idx="216">
                  <c:v>0.34554140127388533</c:v>
                </c:pt>
                <c:pt idx="217">
                  <c:v>0.34713375796178342</c:v>
                </c:pt>
                <c:pt idx="218">
                  <c:v>0.34872611464968151</c:v>
                </c:pt>
                <c:pt idx="219">
                  <c:v>0.3503184713375796</c:v>
                </c:pt>
                <c:pt idx="220">
                  <c:v>0.35191082802547768</c:v>
                </c:pt>
                <c:pt idx="221">
                  <c:v>0.35350318471337577</c:v>
                </c:pt>
                <c:pt idx="222">
                  <c:v>0.35509554140127386</c:v>
                </c:pt>
                <c:pt idx="223">
                  <c:v>0.35668789808917195</c:v>
                </c:pt>
                <c:pt idx="224">
                  <c:v>0.35828025477707004</c:v>
                </c:pt>
                <c:pt idx="225">
                  <c:v>0.35987261146496813</c:v>
                </c:pt>
                <c:pt idx="226">
                  <c:v>0.36146496815286622</c:v>
                </c:pt>
                <c:pt idx="227">
                  <c:v>0.36305732484076431</c:v>
                </c:pt>
                <c:pt idx="228">
                  <c:v>0.36464968152866239</c:v>
                </c:pt>
                <c:pt idx="229">
                  <c:v>0.36624203821656048</c:v>
                </c:pt>
                <c:pt idx="230">
                  <c:v>0.36783439490445857</c:v>
                </c:pt>
                <c:pt idx="231">
                  <c:v>0.36942675159235666</c:v>
                </c:pt>
                <c:pt idx="232">
                  <c:v>0.37101910828025475</c:v>
                </c:pt>
                <c:pt idx="233">
                  <c:v>0.37261146496815284</c:v>
                </c:pt>
                <c:pt idx="234">
                  <c:v>0.37420382165605093</c:v>
                </c:pt>
                <c:pt idx="235">
                  <c:v>0.37579617834394907</c:v>
                </c:pt>
                <c:pt idx="236">
                  <c:v>0.37738853503184716</c:v>
                </c:pt>
                <c:pt idx="237">
                  <c:v>0.37898089171974525</c:v>
                </c:pt>
                <c:pt idx="238">
                  <c:v>0.38057324840764334</c:v>
                </c:pt>
                <c:pt idx="239">
                  <c:v>0.38216560509554143</c:v>
                </c:pt>
                <c:pt idx="240">
                  <c:v>0.38375796178343952</c:v>
                </c:pt>
                <c:pt idx="241">
                  <c:v>0.38535031847133761</c:v>
                </c:pt>
                <c:pt idx="242">
                  <c:v>0.38694267515923569</c:v>
                </c:pt>
                <c:pt idx="243">
                  <c:v>0.38853503184713378</c:v>
                </c:pt>
                <c:pt idx="244">
                  <c:v>0.39012738853503187</c:v>
                </c:pt>
                <c:pt idx="245">
                  <c:v>0.39171974522292996</c:v>
                </c:pt>
                <c:pt idx="246">
                  <c:v>0.39331210191082805</c:v>
                </c:pt>
                <c:pt idx="247">
                  <c:v>0.39490445859872614</c:v>
                </c:pt>
                <c:pt idx="248">
                  <c:v>0.39649681528662423</c:v>
                </c:pt>
                <c:pt idx="249">
                  <c:v>0.39808917197452232</c:v>
                </c:pt>
                <c:pt idx="250">
                  <c:v>0.3996815286624204</c:v>
                </c:pt>
                <c:pt idx="251">
                  <c:v>0.40127388535031849</c:v>
                </c:pt>
                <c:pt idx="252">
                  <c:v>0.40286624203821658</c:v>
                </c:pt>
                <c:pt idx="253">
                  <c:v>0.40445859872611467</c:v>
                </c:pt>
                <c:pt idx="254">
                  <c:v>0.40605095541401276</c:v>
                </c:pt>
                <c:pt idx="255">
                  <c:v>0.40764331210191085</c:v>
                </c:pt>
                <c:pt idx="256">
                  <c:v>0.40923566878980894</c:v>
                </c:pt>
                <c:pt idx="257">
                  <c:v>0.41082802547770703</c:v>
                </c:pt>
                <c:pt idx="258">
                  <c:v>0.41242038216560511</c:v>
                </c:pt>
                <c:pt idx="259">
                  <c:v>0.4140127388535032</c:v>
                </c:pt>
                <c:pt idx="260">
                  <c:v>0.41560509554140129</c:v>
                </c:pt>
                <c:pt idx="261">
                  <c:v>0.41719745222929938</c:v>
                </c:pt>
                <c:pt idx="262">
                  <c:v>0.41878980891719747</c:v>
                </c:pt>
                <c:pt idx="263">
                  <c:v>0.42038216560509556</c:v>
                </c:pt>
                <c:pt idx="264">
                  <c:v>0.42197452229299365</c:v>
                </c:pt>
                <c:pt idx="265">
                  <c:v>0.42356687898089174</c:v>
                </c:pt>
                <c:pt idx="266">
                  <c:v>0.42515923566878983</c:v>
                </c:pt>
                <c:pt idx="267">
                  <c:v>0.42675159235668791</c:v>
                </c:pt>
                <c:pt idx="268">
                  <c:v>0.428343949044586</c:v>
                </c:pt>
                <c:pt idx="269">
                  <c:v>0.42993630573248409</c:v>
                </c:pt>
                <c:pt idx="270">
                  <c:v>0.43152866242038218</c:v>
                </c:pt>
                <c:pt idx="271">
                  <c:v>0.43312101910828027</c:v>
                </c:pt>
                <c:pt idx="272">
                  <c:v>0.43471337579617836</c:v>
                </c:pt>
                <c:pt idx="273">
                  <c:v>0.43630573248407645</c:v>
                </c:pt>
                <c:pt idx="274">
                  <c:v>0.43789808917197454</c:v>
                </c:pt>
                <c:pt idx="275">
                  <c:v>0.43949044585987262</c:v>
                </c:pt>
                <c:pt idx="276">
                  <c:v>0.44108280254777071</c:v>
                </c:pt>
                <c:pt idx="277">
                  <c:v>0.4426751592356688</c:v>
                </c:pt>
                <c:pt idx="278">
                  <c:v>0.44426751592356689</c:v>
                </c:pt>
                <c:pt idx="279">
                  <c:v>0.44585987261146498</c:v>
                </c:pt>
                <c:pt idx="280">
                  <c:v>0.44745222929936307</c:v>
                </c:pt>
                <c:pt idx="281">
                  <c:v>0.44904458598726116</c:v>
                </c:pt>
                <c:pt idx="282">
                  <c:v>0.45063694267515925</c:v>
                </c:pt>
                <c:pt idx="283">
                  <c:v>0.45222929936305734</c:v>
                </c:pt>
                <c:pt idx="284">
                  <c:v>0.45382165605095542</c:v>
                </c:pt>
                <c:pt idx="285">
                  <c:v>0.45541401273885351</c:v>
                </c:pt>
                <c:pt idx="286">
                  <c:v>0.4570063694267516</c:v>
                </c:pt>
                <c:pt idx="287">
                  <c:v>0.45859872611464969</c:v>
                </c:pt>
                <c:pt idx="288">
                  <c:v>0.46019108280254778</c:v>
                </c:pt>
                <c:pt idx="289">
                  <c:v>0.46178343949044587</c:v>
                </c:pt>
                <c:pt idx="290">
                  <c:v>0.46337579617834396</c:v>
                </c:pt>
                <c:pt idx="291">
                  <c:v>0.46496815286624205</c:v>
                </c:pt>
                <c:pt idx="292">
                  <c:v>0.46656050955414013</c:v>
                </c:pt>
                <c:pt idx="293">
                  <c:v>0.46815286624203822</c:v>
                </c:pt>
                <c:pt idx="294">
                  <c:v>0.46974522292993631</c:v>
                </c:pt>
                <c:pt idx="295">
                  <c:v>0.4713375796178344</c:v>
                </c:pt>
                <c:pt idx="296">
                  <c:v>0.47292993630573249</c:v>
                </c:pt>
                <c:pt idx="297">
                  <c:v>0.47452229299363058</c:v>
                </c:pt>
                <c:pt idx="298">
                  <c:v>0.47611464968152867</c:v>
                </c:pt>
                <c:pt idx="299">
                  <c:v>0.47770700636942676</c:v>
                </c:pt>
                <c:pt idx="300">
                  <c:v>0.47929936305732485</c:v>
                </c:pt>
                <c:pt idx="301">
                  <c:v>0.48089171974522293</c:v>
                </c:pt>
                <c:pt idx="302">
                  <c:v>0.48248407643312102</c:v>
                </c:pt>
                <c:pt idx="303">
                  <c:v>0.48407643312101911</c:v>
                </c:pt>
                <c:pt idx="304">
                  <c:v>0.4856687898089172</c:v>
                </c:pt>
                <c:pt idx="305">
                  <c:v>0.48726114649681529</c:v>
                </c:pt>
                <c:pt idx="306">
                  <c:v>0.48885350318471338</c:v>
                </c:pt>
                <c:pt idx="307">
                  <c:v>0.49044585987261147</c:v>
                </c:pt>
                <c:pt idx="308">
                  <c:v>0.49203821656050956</c:v>
                </c:pt>
                <c:pt idx="309">
                  <c:v>0.49363057324840764</c:v>
                </c:pt>
                <c:pt idx="310">
                  <c:v>0.49522292993630573</c:v>
                </c:pt>
                <c:pt idx="311">
                  <c:v>0.49681528662420382</c:v>
                </c:pt>
                <c:pt idx="312">
                  <c:v>0.49840764331210191</c:v>
                </c:pt>
                <c:pt idx="313">
                  <c:v>0.5</c:v>
                </c:pt>
                <c:pt idx="314">
                  <c:v>0.50159235668789814</c:v>
                </c:pt>
                <c:pt idx="315">
                  <c:v>0.50318471337579618</c:v>
                </c:pt>
                <c:pt idx="316">
                  <c:v>0.50477707006369432</c:v>
                </c:pt>
                <c:pt idx="317">
                  <c:v>0.50636942675159236</c:v>
                </c:pt>
                <c:pt idx="318">
                  <c:v>0.5079617834394905</c:v>
                </c:pt>
                <c:pt idx="319">
                  <c:v>0.50955414012738853</c:v>
                </c:pt>
                <c:pt idx="320">
                  <c:v>0.51114649681528668</c:v>
                </c:pt>
                <c:pt idx="321">
                  <c:v>0.51273885350318471</c:v>
                </c:pt>
                <c:pt idx="322">
                  <c:v>0.51433121019108285</c:v>
                </c:pt>
                <c:pt idx="323">
                  <c:v>0.51592356687898089</c:v>
                </c:pt>
                <c:pt idx="324">
                  <c:v>0.51751592356687903</c:v>
                </c:pt>
                <c:pt idx="325">
                  <c:v>0.51910828025477707</c:v>
                </c:pt>
                <c:pt idx="326">
                  <c:v>0.52070063694267521</c:v>
                </c:pt>
                <c:pt idx="327">
                  <c:v>0.52229299363057324</c:v>
                </c:pt>
                <c:pt idx="328">
                  <c:v>0.52388535031847139</c:v>
                </c:pt>
                <c:pt idx="329">
                  <c:v>0.52547770700636942</c:v>
                </c:pt>
                <c:pt idx="330">
                  <c:v>0.52707006369426757</c:v>
                </c:pt>
                <c:pt idx="331">
                  <c:v>0.5286624203821656</c:v>
                </c:pt>
                <c:pt idx="332">
                  <c:v>0.53025477707006374</c:v>
                </c:pt>
                <c:pt idx="333">
                  <c:v>0.53184713375796178</c:v>
                </c:pt>
                <c:pt idx="334">
                  <c:v>0.53343949044585992</c:v>
                </c:pt>
                <c:pt idx="335">
                  <c:v>0.53503184713375795</c:v>
                </c:pt>
                <c:pt idx="336">
                  <c:v>0.5366242038216561</c:v>
                </c:pt>
                <c:pt idx="337">
                  <c:v>0.53821656050955413</c:v>
                </c:pt>
                <c:pt idx="338">
                  <c:v>0.53980891719745228</c:v>
                </c:pt>
                <c:pt idx="339">
                  <c:v>0.54140127388535031</c:v>
                </c:pt>
                <c:pt idx="340">
                  <c:v>0.54299363057324845</c:v>
                </c:pt>
                <c:pt idx="341">
                  <c:v>0.54458598726114649</c:v>
                </c:pt>
                <c:pt idx="342">
                  <c:v>0.54617834394904463</c:v>
                </c:pt>
                <c:pt idx="343">
                  <c:v>0.54777070063694266</c:v>
                </c:pt>
                <c:pt idx="344">
                  <c:v>0.54936305732484081</c:v>
                </c:pt>
                <c:pt idx="345">
                  <c:v>0.55095541401273884</c:v>
                </c:pt>
                <c:pt idx="346">
                  <c:v>0.55254777070063699</c:v>
                </c:pt>
                <c:pt idx="347">
                  <c:v>0.55414012738853502</c:v>
                </c:pt>
                <c:pt idx="348">
                  <c:v>0.55573248407643316</c:v>
                </c:pt>
                <c:pt idx="349">
                  <c:v>0.5573248407643312</c:v>
                </c:pt>
                <c:pt idx="350">
                  <c:v>0.55891719745222934</c:v>
                </c:pt>
                <c:pt idx="351">
                  <c:v>0.56050955414012738</c:v>
                </c:pt>
                <c:pt idx="352">
                  <c:v>0.56210191082802552</c:v>
                </c:pt>
                <c:pt idx="353">
                  <c:v>0.56369426751592355</c:v>
                </c:pt>
                <c:pt idx="354">
                  <c:v>0.5652866242038217</c:v>
                </c:pt>
                <c:pt idx="355">
                  <c:v>0.56687898089171973</c:v>
                </c:pt>
                <c:pt idx="356">
                  <c:v>0.56847133757961787</c:v>
                </c:pt>
                <c:pt idx="357">
                  <c:v>0.57006369426751591</c:v>
                </c:pt>
                <c:pt idx="358">
                  <c:v>0.57165605095541405</c:v>
                </c:pt>
                <c:pt idx="359">
                  <c:v>0.57324840764331209</c:v>
                </c:pt>
                <c:pt idx="360">
                  <c:v>0.57484076433121023</c:v>
                </c:pt>
                <c:pt idx="361">
                  <c:v>0.57643312101910826</c:v>
                </c:pt>
                <c:pt idx="362">
                  <c:v>0.57802547770700641</c:v>
                </c:pt>
                <c:pt idx="363">
                  <c:v>0.57961783439490444</c:v>
                </c:pt>
                <c:pt idx="364">
                  <c:v>0.58121019108280259</c:v>
                </c:pt>
                <c:pt idx="365">
                  <c:v>0.58280254777070062</c:v>
                </c:pt>
                <c:pt idx="366">
                  <c:v>0.58439490445859876</c:v>
                </c:pt>
                <c:pt idx="367">
                  <c:v>0.5859872611464968</c:v>
                </c:pt>
                <c:pt idx="368">
                  <c:v>0.58757961783439494</c:v>
                </c:pt>
                <c:pt idx="369">
                  <c:v>0.58917197452229297</c:v>
                </c:pt>
                <c:pt idx="370">
                  <c:v>0.59076433121019112</c:v>
                </c:pt>
                <c:pt idx="371">
                  <c:v>0.59235668789808915</c:v>
                </c:pt>
                <c:pt idx="372">
                  <c:v>0.5939490445859873</c:v>
                </c:pt>
                <c:pt idx="373">
                  <c:v>0.59554140127388533</c:v>
                </c:pt>
                <c:pt idx="374">
                  <c:v>0.59713375796178347</c:v>
                </c:pt>
                <c:pt idx="375">
                  <c:v>0.59872611464968151</c:v>
                </c:pt>
                <c:pt idx="376">
                  <c:v>0.60031847133757965</c:v>
                </c:pt>
                <c:pt idx="377">
                  <c:v>0.60191082802547768</c:v>
                </c:pt>
                <c:pt idx="378">
                  <c:v>0.60350318471337583</c:v>
                </c:pt>
                <c:pt idx="379">
                  <c:v>0.60509554140127386</c:v>
                </c:pt>
                <c:pt idx="380">
                  <c:v>0.60668789808917201</c:v>
                </c:pt>
                <c:pt idx="381">
                  <c:v>0.60828025477707004</c:v>
                </c:pt>
                <c:pt idx="382">
                  <c:v>0.60987261146496818</c:v>
                </c:pt>
                <c:pt idx="383">
                  <c:v>0.61146496815286622</c:v>
                </c:pt>
                <c:pt idx="384">
                  <c:v>0.61305732484076436</c:v>
                </c:pt>
                <c:pt idx="385">
                  <c:v>0.61464968152866239</c:v>
                </c:pt>
                <c:pt idx="386">
                  <c:v>0.61624203821656054</c:v>
                </c:pt>
                <c:pt idx="387">
                  <c:v>0.61783439490445857</c:v>
                </c:pt>
                <c:pt idx="388">
                  <c:v>0.61942675159235672</c:v>
                </c:pt>
                <c:pt idx="389">
                  <c:v>0.62101910828025475</c:v>
                </c:pt>
                <c:pt idx="390">
                  <c:v>0.62261146496815289</c:v>
                </c:pt>
                <c:pt idx="391">
                  <c:v>0.62420382165605093</c:v>
                </c:pt>
                <c:pt idx="392">
                  <c:v>0.62579617834394907</c:v>
                </c:pt>
                <c:pt idx="393">
                  <c:v>0.62738853503184711</c:v>
                </c:pt>
                <c:pt idx="394">
                  <c:v>0.62898089171974525</c:v>
                </c:pt>
                <c:pt idx="395">
                  <c:v>0.63057324840764328</c:v>
                </c:pt>
                <c:pt idx="396">
                  <c:v>0.63216560509554143</c:v>
                </c:pt>
                <c:pt idx="397">
                  <c:v>0.63375796178343946</c:v>
                </c:pt>
                <c:pt idx="398">
                  <c:v>0.63535031847133761</c:v>
                </c:pt>
                <c:pt idx="399">
                  <c:v>0.63694267515923564</c:v>
                </c:pt>
                <c:pt idx="400">
                  <c:v>0.63853503184713378</c:v>
                </c:pt>
                <c:pt idx="401">
                  <c:v>0.64012738853503182</c:v>
                </c:pt>
                <c:pt idx="402">
                  <c:v>0.64171974522292996</c:v>
                </c:pt>
                <c:pt idx="403">
                  <c:v>0.64331210191082799</c:v>
                </c:pt>
                <c:pt idx="404">
                  <c:v>0.64490445859872614</c:v>
                </c:pt>
                <c:pt idx="405">
                  <c:v>0.64649681528662417</c:v>
                </c:pt>
                <c:pt idx="406">
                  <c:v>0.64808917197452232</c:v>
                </c:pt>
                <c:pt idx="407">
                  <c:v>0.64968152866242035</c:v>
                </c:pt>
                <c:pt idx="408">
                  <c:v>0.65127388535031849</c:v>
                </c:pt>
                <c:pt idx="409">
                  <c:v>0.65286624203821653</c:v>
                </c:pt>
                <c:pt idx="410">
                  <c:v>0.65445859872611467</c:v>
                </c:pt>
                <c:pt idx="411">
                  <c:v>0.6560509554140127</c:v>
                </c:pt>
                <c:pt idx="412">
                  <c:v>0.65764331210191085</c:v>
                </c:pt>
                <c:pt idx="413">
                  <c:v>0.65923566878980888</c:v>
                </c:pt>
                <c:pt idx="414">
                  <c:v>0.66082802547770703</c:v>
                </c:pt>
                <c:pt idx="415">
                  <c:v>0.66242038216560506</c:v>
                </c:pt>
                <c:pt idx="416">
                  <c:v>0.6640127388535032</c:v>
                </c:pt>
                <c:pt idx="417">
                  <c:v>0.66560509554140124</c:v>
                </c:pt>
                <c:pt idx="418">
                  <c:v>0.66719745222929938</c:v>
                </c:pt>
                <c:pt idx="419">
                  <c:v>0.66878980891719741</c:v>
                </c:pt>
                <c:pt idx="420">
                  <c:v>0.67038216560509556</c:v>
                </c:pt>
                <c:pt idx="421">
                  <c:v>0.67197452229299359</c:v>
                </c:pt>
                <c:pt idx="422">
                  <c:v>0.67356687898089174</c:v>
                </c:pt>
                <c:pt idx="423">
                  <c:v>0.67515923566878977</c:v>
                </c:pt>
                <c:pt idx="424">
                  <c:v>0.67675159235668791</c:v>
                </c:pt>
                <c:pt idx="425">
                  <c:v>0.67834394904458595</c:v>
                </c:pt>
                <c:pt idx="426">
                  <c:v>0.67993630573248409</c:v>
                </c:pt>
                <c:pt idx="427">
                  <c:v>0.68152866242038213</c:v>
                </c:pt>
                <c:pt idx="428">
                  <c:v>0.68312101910828027</c:v>
                </c:pt>
                <c:pt idx="429">
                  <c:v>0.6847133757961783</c:v>
                </c:pt>
                <c:pt idx="430">
                  <c:v>0.68630573248407645</c:v>
                </c:pt>
                <c:pt idx="431">
                  <c:v>0.68789808917197448</c:v>
                </c:pt>
                <c:pt idx="432">
                  <c:v>0.68949044585987262</c:v>
                </c:pt>
                <c:pt idx="433">
                  <c:v>0.69108280254777066</c:v>
                </c:pt>
                <c:pt idx="434">
                  <c:v>0.6926751592356688</c:v>
                </c:pt>
                <c:pt idx="435">
                  <c:v>0.69426751592356684</c:v>
                </c:pt>
                <c:pt idx="436">
                  <c:v>0.69585987261146498</c:v>
                </c:pt>
                <c:pt idx="437">
                  <c:v>0.69745222929936301</c:v>
                </c:pt>
                <c:pt idx="438">
                  <c:v>0.69904458598726116</c:v>
                </c:pt>
                <c:pt idx="439">
                  <c:v>0.70063694267515919</c:v>
                </c:pt>
                <c:pt idx="440">
                  <c:v>0.70222929936305734</c:v>
                </c:pt>
                <c:pt idx="441">
                  <c:v>0.70382165605095537</c:v>
                </c:pt>
                <c:pt idx="442">
                  <c:v>0.70541401273885351</c:v>
                </c:pt>
                <c:pt idx="443">
                  <c:v>0.70700636942675155</c:v>
                </c:pt>
                <c:pt idx="444">
                  <c:v>0.70859872611464969</c:v>
                </c:pt>
                <c:pt idx="445">
                  <c:v>0.71019108280254772</c:v>
                </c:pt>
                <c:pt idx="446">
                  <c:v>0.71178343949044587</c:v>
                </c:pt>
                <c:pt idx="447">
                  <c:v>0.7133757961783439</c:v>
                </c:pt>
                <c:pt idx="448">
                  <c:v>0.71496815286624205</c:v>
                </c:pt>
                <c:pt idx="449">
                  <c:v>0.71656050955414008</c:v>
                </c:pt>
                <c:pt idx="450">
                  <c:v>0.71815286624203822</c:v>
                </c:pt>
                <c:pt idx="451">
                  <c:v>0.71974522292993626</c:v>
                </c:pt>
                <c:pt idx="452">
                  <c:v>0.7213375796178344</c:v>
                </c:pt>
                <c:pt idx="453">
                  <c:v>0.72292993630573243</c:v>
                </c:pt>
                <c:pt idx="454">
                  <c:v>0.72452229299363058</c:v>
                </c:pt>
                <c:pt idx="455">
                  <c:v>0.72611464968152861</c:v>
                </c:pt>
                <c:pt idx="456">
                  <c:v>0.72770700636942676</c:v>
                </c:pt>
                <c:pt idx="457">
                  <c:v>0.72929936305732479</c:v>
                </c:pt>
                <c:pt idx="458">
                  <c:v>0.73089171974522293</c:v>
                </c:pt>
                <c:pt idx="459">
                  <c:v>0.73248407643312097</c:v>
                </c:pt>
                <c:pt idx="460">
                  <c:v>0.73407643312101911</c:v>
                </c:pt>
                <c:pt idx="461">
                  <c:v>0.73566878980891715</c:v>
                </c:pt>
                <c:pt idx="462">
                  <c:v>0.73726114649681529</c:v>
                </c:pt>
                <c:pt idx="463">
                  <c:v>0.73885350318471332</c:v>
                </c:pt>
                <c:pt idx="464">
                  <c:v>0.74044585987261147</c:v>
                </c:pt>
                <c:pt idx="465">
                  <c:v>0.7420382165605095</c:v>
                </c:pt>
                <c:pt idx="466">
                  <c:v>0.74363057324840764</c:v>
                </c:pt>
                <c:pt idx="467">
                  <c:v>0.74522292993630568</c:v>
                </c:pt>
                <c:pt idx="468">
                  <c:v>0.74681528662420382</c:v>
                </c:pt>
                <c:pt idx="469">
                  <c:v>0.74840764331210186</c:v>
                </c:pt>
                <c:pt idx="470">
                  <c:v>0.75</c:v>
                </c:pt>
                <c:pt idx="471">
                  <c:v>0.75159235668789814</c:v>
                </c:pt>
                <c:pt idx="472">
                  <c:v>0.75318471337579618</c:v>
                </c:pt>
                <c:pt idx="473">
                  <c:v>0.75477707006369432</c:v>
                </c:pt>
                <c:pt idx="474">
                  <c:v>0.75636942675159236</c:v>
                </c:pt>
                <c:pt idx="475">
                  <c:v>0.7579617834394905</c:v>
                </c:pt>
                <c:pt idx="476">
                  <c:v>0.75955414012738853</c:v>
                </c:pt>
                <c:pt idx="477">
                  <c:v>0.76114649681528668</c:v>
                </c:pt>
                <c:pt idx="478">
                  <c:v>0.76273885350318471</c:v>
                </c:pt>
                <c:pt idx="479">
                  <c:v>0.76433121019108285</c:v>
                </c:pt>
                <c:pt idx="480">
                  <c:v>0.76592356687898089</c:v>
                </c:pt>
                <c:pt idx="481">
                  <c:v>0.76751592356687903</c:v>
                </c:pt>
                <c:pt idx="482">
                  <c:v>0.76910828025477707</c:v>
                </c:pt>
                <c:pt idx="483">
                  <c:v>0.77070063694267521</c:v>
                </c:pt>
                <c:pt idx="484">
                  <c:v>0.77229299363057324</c:v>
                </c:pt>
                <c:pt idx="485">
                  <c:v>0.77388535031847139</c:v>
                </c:pt>
                <c:pt idx="486">
                  <c:v>0.77547770700636942</c:v>
                </c:pt>
                <c:pt idx="487">
                  <c:v>0.77707006369426757</c:v>
                </c:pt>
                <c:pt idx="488">
                  <c:v>0.7786624203821656</c:v>
                </c:pt>
                <c:pt idx="489">
                  <c:v>0.78025477707006374</c:v>
                </c:pt>
                <c:pt idx="490">
                  <c:v>0.78184713375796178</c:v>
                </c:pt>
                <c:pt idx="491">
                  <c:v>0.78343949044585992</c:v>
                </c:pt>
                <c:pt idx="492">
                  <c:v>0.78503184713375795</c:v>
                </c:pt>
                <c:pt idx="493">
                  <c:v>0.7866242038216561</c:v>
                </c:pt>
                <c:pt idx="494">
                  <c:v>0.78821656050955413</c:v>
                </c:pt>
                <c:pt idx="495">
                  <c:v>0.78980891719745228</c:v>
                </c:pt>
                <c:pt idx="496">
                  <c:v>0.79140127388535031</c:v>
                </c:pt>
                <c:pt idx="497">
                  <c:v>0.79299363057324845</c:v>
                </c:pt>
                <c:pt idx="498">
                  <c:v>0.79458598726114649</c:v>
                </c:pt>
                <c:pt idx="499">
                  <c:v>0.79617834394904463</c:v>
                </c:pt>
                <c:pt idx="500">
                  <c:v>0.79777070063694266</c:v>
                </c:pt>
                <c:pt idx="501">
                  <c:v>0.79936305732484081</c:v>
                </c:pt>
                <c:pt idx="502">
                  <c:v>0.80095541401273884</c:v>
                </c:pt>
                <c:pt idx="503">
                  <c:v>0.80254777070063699</c:v>
                </c:pt>
                <c:pt idx="504">
                  <c:v>0.80414012738853502</c:v>
                </c:pt>
                <c:pt idx="505">
                  <c:v>0.80573248407643316</c:v>
                </c:pt>
                <c:pt idx="506">
                  <c:v>0.8073248407643312</c:v>
                </c:pt>
                <c:pt idx="507">
                  <c:v>0.80891719745222934</c:v>
                </c:pt>
                <c:pt idx="508">
                  <c:v>0.81050955414012738</c:v>
                </c:pt>
                <c:pt idx="509">
                  <c:v>0.81210191082802552</c:v>
                </c:pt>
                <c:pt idx="510">
                  <c:v>0.81369426751592355</c:v>
                </c:pt>
                <c:pt idx="511">
                  <c:v>0.8152866242038217</c:v>
                </c:pt>
                <c:pt idx="512">
                  <c:v>0.81687898089171973</c:v>
                </c:pt>
                <c:pt idx="513">
                  <c:v>0.81847133757961787</c:v>
                </c:pt>
                <c:pt idx="514">
                  <c:v>0.82006369426751591</c:v>
                </c:pt>
                <c:pt idx="515">
                  <c:v>0.82165605095541405</c:v>
                </c:pt>
                <c:pt idx="516">
                  <c:v>0.82324840764331209</c:v>
                </c:pt>
                <c:pt idx="517">
                  <c:v>0.82484076433121023</c:v>
                </c:pt>
                <c:pt idx="518">
                  <c:v>0.82643312101910826</c:v>
                </c:pt>
                <c:pt idx="519">
                  <c:v>0.82802547770700641</c:v>
                </c:pt>
                <c:pt idx="520">
                  <c:v>0.82961783439490444</c:v>
                </c:pt>
                <c:pt idx="521">
                  <c:v>0.83121019108280259</c:v>
                </c:pt>
                <c:pt idx="522">
                  <c:v>0.83280254777070062</c:v>
                </c:pt>
                <c:pt idx="523">
                  <c:v>0.83439490445859876</c:v>
                </c:pt>
                <c:pt idx="524">
                  <c:v>0.8359872611464968</c:v>
                </c:pt>
                <c:pt idx="525">
                  <c:v>0.83757961783439494</c:v>
                </c:pt>
                <c:pt idx="526">
                  <c:v>0.83917197452229297</c:v>
                </c:pt>
                <c:pt idx="527">
                  <c:v>0.84076433121019112</c:v>
                </c:pt>
                <c:pt idx="528">
                  <c:v>0.84235668789808915</c:v>
                </c:pt>
                <c:pt idx="529">
                  <c:v>0.8439490445859873</c:v>
                </c:pt>
                <c:pt idx="530">
                  <c:v>0.84554140127388533</c:v>
                </c:pt>
                <c:pt idx="531">
                  <c:v>0.84713375796178347</c:v>
                </c:pt>
                <c:pt idx="532">
                  <c:v>0.84872611464968151</c:v>
                </c:pt>
                <c:pt idx="533">
                  <c:v>0.85031847133757965</c:v>
                </c:pt>
                <c:pt idx="534">
                  <c:v>0.85191082802547768</c:v>
                </c:pt>
                <c:pt idx="535">
                  <c:v>0.85350318471337583</c:v>
                </c:pt>
                <c:pt idx="536">
                  <c:v>0.85509554140127386</c:v>
                </c:pt>
                <c:pt idx="537">
                  <c:v>0.85668789808917201</c:v>
                </c:pt>
                <c:pt idx="538">
                  <c:v>0.85828025477707004</c:v>
                </c:pt>
                <c:pt idx="539">
                  <c:v>0.85987261146496818</c:v>
                </c:pt>
                <c:pt idx="540">
                  <c:v>0.86146496815286622</c:v>
                </c:pt>
                <c:pt idx="541">
                  <c:v>0.86305732484076436</c:v>
                </c:pt>
                <c:pt idx="542">
                  <c:v>0.86464968152866239</c:v>
                </c:pt>
                <c:pt idx="543">
                  <c:v>0.86624203821656054</c:v>
                </c:pt>
                <c:pt idx="544">
                  <c:v>0.86783439490445857</c:v>
                </c:pt>
                <c:pt idx="545">
                  <c:v>0.86942675159235672</c:v>
                </c:pt>
                <c:pt idx="546">
                  <c:v>0.87101910828025475</c:v>
                </c:pt>
                <c:pt idx="547">
                  <c:v>0.87261146496815289</c:v>
                </c:pt>
                <c:pt idx="548">
                  <c:v>0.87420382165605093</c:v>
                </c:pt>
                <c:pt idx="549">
                  <c:v>0.87579617834394907</c:v>
                </c:pt>
                <c:pt idx="550">
                  <c:v>0.87738853503184711</c:v>
                </c:pt>
                <c:pt idx="551">
                  <c:v>0.87898089171974525</c:v>
                </c:pt>
                <c:pt idx="552">
                  <c:v>0.88057324840764328</c:v>
                </c:pt>
                <c:pt idx="553">
                  <c:v>0.88216560509554143</c:v>
                </c:pt>
                <c:pt idx="554">
                  <c:v>0.88375796178343946</c:v>
                </c:pt>
                <c:pt idx="555">
                  <c:v>0.88535031847133761</c:v>
                </c:pt>
                <c:pt idx="556">
                  <c:v>0.88694267515923564</c:v>
                </c:pt>
                <c:pt idx="557">
                  <c:v>0.88853503184713378</c:v>
                </c:pt>
                <c:pt idx="558">
                  <c:v>0.89012738853503182</c:v>
                </c:pt>
                <c:pt idx="559">
                  <c:v>0.89171974522292996</c:v>
                </c:pt>
                <c:pt idx="560">
                  <c:v>0.89331210191082799</c:v>
                </c:pt>
                <c:pt idx="561">
                  <c:v>0.89490445859872614</c:v>
                </c:pt>
                <c:pt idx="562">
                  <c:v>0.89649681528662417</c:v>
                </c:pt>
                <c:pt idx="563">
                  <c:v>0.89808917197452232</c:v>
                </c:pt>
                <c:pt idx="564">
                  <c:v>0.89968152866242035</c:v>
                </c:pt>
                <c:pt idx="565">
                  <c:v>0.90127388535031849</c:v>
                </c:pt>
                <c:pt idx="566">
                  <c:v>0.90286624203821653</c:v>
                </c:pt>
                <c:pt idx="567">
                  <c:v>0.90445859872611467</c:v>
                </c:pt>
                <c:pt idx="568">
                  <c:v>0.9060509554140127</c:v>
                </c:pt>
                <c:pt idx="569">
                  <c:v>0.90764331210191085</c:v>
                </c:pt>
                <c:pt idx="570">
                  <c:v>0.90923566878980888</c:v>
                </c:pt>
                <c:pt idx="571">
                  <c:v>0.91082802547770703</c:v>
                </c:pt>
                <c:pt idx="572">
                  <c:v>0.91242038216560506</c:v>
                </c:pt>
                <c:pt idx="573">
                  <c:v>0.9140127388535032</c:v>
                </c:pt>
                <c:pt idx="574">
                  <c:v>0.91560509554140124</c:v>
                </c:pt>
                <c:pt idx="575">
                  <c:v>0.91719745222929938</c:v>
                </c:pt>
                <c:pt idx="576">
                  <c:v>0.91878980891719741</c:v>
                </c:pt>
                <c:pt idx="577">
                  <c:v>0.92038216560509556</c:v>
                </c:pt>
                <c:pt idx="578">
                  <c:v>0.92197452229299359</c:v>
                </c:pt>
                <c:pt idx="579">
                  <c:v>0.92356687898089174</c:v>
                </c:pt>
                <c:pt idx="580">
                  <c:v>0.92515923566878977</c:v>
                </c:pt>
                <c:pt idx="581">
                  <c:v>0.92675159235668791</c:v>
                </c:pt>
                <c:pt idx="582">
                  <c:v>0.92834394904458595</c:v>
                </c:pt>
                <c:pt idx="583">
                  <c:v>0.92993630573248409</c:v>
                </c:pt>
                <c:pt idx="584">
                  <c:v>0.93152866242038213</c:v>
                </c:pt>
                <c:pt idx="585">
                  <c:v>0.93312101910828027</c:v>
                </c:pt>
                <c:pt idx="586">
                  <c:v>0.9347133757961783</c:v>
                </c:pt>
                <c:pt idx="587">
                  <c:v>0.93630573248407645</c:v>
                </c:pt>
                <c:pt idx="588">
                  <c:v>0.93789808917197448</c:v>
                </c:pt>
                <c:pt idx="589">
                  <c:v>0.93949044585987262</c:v>
                </c:pt>
                <c:pt idx="590">
                  <c:v>0.94108280254777066</c:v>
                </c:pt>
                <c:pt idx="591">
                  <c:v>0.9426751592356688</c:v>
                </c:pt>
                <c:pt idx="592">
                  <c:v>0.94426751592356684</c:v>
                </c:pt>
                <c:pt idx="593">
                  <c:v>0.94585987261146498</c:v>
                </c:pt>
                <c:pt idx="594">
                  <c:v>0.94745222929936301</c:v>
                </c:pt>
                <c:pt idx="595">
                  <c:v>0.94904458598726116</c:v>
                </c:pt>
                <c:pt idx="596">
                  <c:v>0.95063694267515919</c:v>
                </c:pt>
                <c:pt idx="597">
                  <c:v>0.95222929936305734</c:v>
                </c:pt>
                <c:pt idx="598">
                  <c:v>0.95382165605095537</c:v>
                </c:pt>
                <c:pt idx="599">
                  <c:v>0.95541401273885351</c:v>
                </c:pt>
                <c:pt idx="600">
                  <c:v>0.95700636942675155</c:v>
                </c:pt>
                <c:pt idx="601">
                  <c:v>0.95859872611464969</c:v>
                </c:pt>
                <c:pt idx="602">
                  <c:v>0.96019108280254772</c:v>
                </c:pt>
                <c:pt idx="603">
                  <c:v>0.96178343949044587</c:v>
                </c:pt>
                <c:pt idx="604">
                  <c:v>0.9633757961783439</c:v>
                </c:pt>
                <c:pt idx="605">
                  <c:v>0.96496815286624205</c:v>
                </c:pt>
                <c:pt idx="606">
                  <c:v>0.96656050955414008</c:v>
                </c:pt>
                <c:pt idx="607">
                  <c:v>0.96815286624203822</c:v>
                </c:pt>
                <c:pt idx="608">
                  <c:v>0.96974522292993626</c:v>
                </c:pt>
                <c:pt idx="609">
                  <c:v>0.9713375796178344</c:v>
                </c:pt>
                <c:pt idx="610">
                  <c:v>0.97292993630573243</c:v>
                </c:pt>
                <c:pt idx="611">
                  <c:v>0.97452229299363058</c:v>
                </c:pt>
                <c:pt idx="612">
                  <c:v>0.97611464968152861</c:v>
                </c:pt>
                <c:pt idx="613">
                  <c:v>0.97770700636942676</c:v>
                </c:pt>
                <c:pt idx="614">
                  <c:v>0.97929936305732479</c:v>
                </c:pt>
                <c:pt idx="615">
                  <c:v>0.98089171974522293</c:v>
                </c:pt>
                <c:pt idx="616">
                  <c:v>0.98248407643312097</c:v>
                </c:pt>
                <c:pt idx="617">
                  <c:v>0.98407643312101911</c:v>
                </c:pt>
                <c:pt idx="618">
                  <c:v>0.98566878980891715</c:v>
                </c:pt>
                <c:pt idx="619">
                  <c:v>0.98726114649681529</c:v>
                </c:pt>
                <c:pt idx="620">
                  <c:v>0.98885350318471332</c:v>
                </c:pt>
                <c:pt idx="621">
                  <c:v>0.99044585987261147</c:v>
                </c:pt>
                <c:pt idx="622">
                  <c:v>0.9920382165605095</c:v>
                </c:pt>
                <c:pt idx="623">
                  <c:v>0.99363057324840764</c:v>
                </c:pt>
                <c:pt idx="624">
                  <c:v>0.99522292993630568</c:v>
                </c:pt>
                <c:pt idx="625">
                  <c:v>0.99681528662420382</c:v>
                </c:pt>
                <c:pt idx="626">
                  <c:v>0.99840764331210186</c:v>
                </c:pt>
                <c:pt idx="627">
                  <c:v>1</c:v>
                </c:pt>
              </c:numCache>
            </c:numRef>
          </c:xVal>
          <c:yVal>
            <c:numRef>
              <c:f>Validation!$N$2:$N$629</c:f>
              <c:numCache>
                <c:formatCode>General</c:formatCode>
                <c:ptCount val="628"/>
                <c:pt idx="0">
                  <c:v>2.3609022556390977</c:v>
                </c:pt>
                <c:pt idx="1">
                  <c:v>2.3609022556390977</c:v>
                </c:pt>
                <c:pt idx="2">
                  <c:v>3.9348370927318292</c:v>
                </c:pt>
                <c:pt idx="3">
                  <c:v>2.9511278195488719</c:v>
                </c:pt>
                <c:pt idx="4">
                  <c:v>2.3609022556390977</c:v>
                </c:pt>
                <c:pt idx="5">
                  <c:v>2.3609022556390977</c:v>
                </c:pt>
                <c:pt idx="6">
                  <c:v>2.3609022556390977</c:v>
                </c:pt>
                <c:pt idx="7">
                  <c:v>2.6560150375939848</c:v>
                </c:pt>
                <c:pt idx="8">
                  <c:v>2.3609022556390977</c:v>
                </c:pt>
                <c:pt idx="9">
                  <c:v>2.3609022556390977</c:v>
                </c:pt>
                <c:pt idx="10">
                  <c:v>2.146274777853725</c:v>
                </c:pt>
                <c:pt idx="11">
                  <c:v>2.3609022556390977</c:v>
                </c:pt>
                <c:pt idx="12">
                  <c:v>2.1792943898207056</c:v>
                </c:pt>
                <c:pt idx="13">
                  <c:v>2.0236305048335121</c:v>
                </c:pt>
                <c:pt idx="14">
                  <c:v>2.0461152882205513</c:v>
                </c:pt>
                <c:pt idx="15">
                  <c:v>2.0657894736842106</c:v>
                </c:pt>
                <c:pt idx="16">
                  <c:v>2.0831490490933215</c:v>
                </c:pt>
                <c:pt idx="17">
                  <c:v>2.2297410192147034</c:v>
                </c:pt>
                <c:pt idx="18">
                  <c:v>2.112386228729719</c:v>
                </c:pt>
                <c:pt idx="19">
                  <c:v>2.124812030075188</c:v>
                </c:pt>
                <c:pt idx="20">
                  <c:v>2.1360544217687076</c:v>
                </c:pt>
                <c:pt idx="21">
                  <c:v>2.146274777853725</c:v>
                </c:pt>
                <c:pt idx="22">
                  <c:v>2.1556064073226544</c:v>
                </c:pt>
                <c:pt idx="23">
                  <c:v>2.1641604010025062</c:v>
                </c:pt>
                <c:pt idx="24">
                  <c:v>2.2664661654135339</c:v>
                </c:pt>
                <c:pt idx="25">
                  <c:v>2.1792943898207056</c:v>
                </c:pt>
                <c:pt idx="26">
                  <c:v>2.1860206070732389</c:v>
                </c:pt>
                <c:pt idx="27">
                  <c:v>2.1922663802363052</c:v>
                </c:pt>
                <c:pt idx="28">
                  <c:v>2.1980814104226085</c:v>
                </c:pt>
                <c:pt idx="29">
                  <c:v>2.2035087719298243</c:v>
                </c:pt>
                <c:pt idx="30">
                  <c:v>2.1324278438030562</c:v>
                </c:pt>
                <c:pt idx="31">
                  <c:v>2.1395676691729322</c:v>
                </c:pt>
                <c:pt idx="32">
                  <c:v>2.1462747778537254</c:v>
                </c:pt>
                <c:pt idx="33">
                  <c:v>2.1525873507297657</c:v>
                </c:pt>
                <c:pt idx="34">
                  <c:v>2.0910848549946293</c:v>
                </c:pt>
                <c:pt idx="35">
                  <c:v>2.098579782790309</c:v>
                </c:pt>
                <c:pt idx="36">
                  <c:v>2.041861410282463</c:v>
                </c:pt>
                <c:pt idx="37">
                  <c:v>2.0502572220023745</c:v>
                </c:pt>
                <c:pt idx="38">
                  <c:v>1.9976865240023136</c:v>
                </c:pt>
                <c:pt idx="39">
                  <c:v>1.9477443609022556</c:v>
                </c:pt>
                <c:pt idx="40">
                  <c:v>1.9578213827251052</c:v>
                </c:pt>
                <c:pt idx="41">
                  <c:v>1.9674185463659148</c:v>
                </c:pt>
                <c:pt idx="42">
                  <c:v>1.9765693303025005</c:v>
                </c:pt>
                <c:pt idx="43">
                  <c:v>1.9316473000683527</c:v>
                </c:pt>
                <c:pt idx="44">
                  <c:v>1.9936507936507935</c:v>
                </c:pt>
                <c:pt idx="45">
                  <c:v>1.9503105590062113</c:v>
                </c:pt>
                <c:pt idx="46">
                  <c:v>1.9590465525515917</c:v>
                </c:pt>
                <c:pt idx="47">
                  <c:v>1.9182330827067668</c:v>
                </c:pt>
                <c:pt idx="48">
                  <c:v>1.9272671474604879</c:v>
                </c:pt>
                <c:pt idx="49">
                  <c:v>1.8887218045112784</c:v>
                </c:pt>
                <c:pt idx="50">
                  <c:v>1.8979802447294707</c:v>
                </c:pt>
                <c:pt idx="51">
                  <c:v>1.9068825910931173</c:v>
                </c:pt>
                <c:pt idx="52">
                  <c:v>1.9154489998581361</c:v>
                </c:pt>
                <c:pt idx="53">
                  <c:v>1.9236981342244501</c:v>
                </c:pt>
                <c:pt idx="54">
                  <c:v>1.9316473000683527</c:v>
                </c:pt>
                <c:pt idx="55">
                  <c:v>2.0236305048335121</c:v>
                </c:pt>
                <c:pt idx="56">
                  <c:v>1.9881282152750299</c:v>
                </c:pt>
                <c:pt idx="57">
                  <c:v>1.953850142597874</c:v>
                </c:pt>
                <c:pt idx="58">
                  <c:v>1.9207340384860456</c:v>
                </c:pt>
                <c:pt idx="59">
                  <c:v>1.9280701754385965</c:v>
                </c:pt>
                <c:pt idx="60">
                  <c:v>1.8964624676445212</c:v>
                </c:pt>
                <c:pt idx="61">
                  <c:v>1.9039534319670144</c:v>
                </c:pt>
                <c:pt idx="62">
                  <c:v>1.8737319489199189</c:v>
                </c:pt>
                <c:pt idx="63">
                  <c:v>1.8813439849624058</c:v>
                </c:pt>
                <c:pt idx="64">
                  <c:v>1.8524002313475998</c:v>
                </c:pt>
                <c:pt idx="65">
                  <c:v>1.8601048074732285</c:v>
                </c:pt>
                <c:pt idx="66">
                  <c:v>1.8675793962518237</c:v>
                </c:pt>
                <c:pt idx="67">
                  <c:v>1.8748341441839893</c:v>
                </c:pt>
                <c:pt idx="68">
                  <c:v>1.8476626348479896</c:v>
                </c:pt>
                <c:pt idx="69">
                  <c:v>1.8212674543501612</c:v>
                </c:pt>
                <c:pt idx="70">
                  <c:v>1.8288679445091602</c:v>
                </c:pt>
                <c:pt idx="71">
                  <c:v>1.8362573099415205</c:v>
                </c:pt>
                <c:pt idx="72">
                  <c:v>1.8434442270058709</c:v>
                </c:pt>
                <c:pt idx="73">
                  <c:v>1.850436903068482</c:v>
                </c:pt>
                <c:pt idx="74">
                  <c:v>1.8257644110275688</c:v>
                </c:pt>
                <c:pt idx="75">
                  <c:v>1.8328056984566681</c:v>
                </c:pt>
                <c:pt idx="76">
                  <c:v>1.8090030270481399</c:v>
                </c:pt>
                <c:pt idx="77">
                  <c:v>1.7858106805475227</c:v>
                </c:pt>
                <c:pt idx="78">
                  <c:v>1.7632054820595793</c:v>
                </c:pt>
                <c:pt idx="79">
                  <c:v>1.7706766917293233</c:v>
                </c:pt>
                <c:pt idx="80">
                  <c:v>1.7779634270862339</c:v>
                </c:pt>
                <c:pt idx="81">
                  <c:v>1.756280946268109</c:v>
                </c:pt>
                <c:pt idx="82">
                  <c:v>1.7351209348672889</c:v>
                </c:pt>
                <c:pt idx="83">
                  <c:v>1.7144647332617258</c:v>
                </c:pt>
                <c:pt idx="84">
                  <c:v>1.6942945599292349</c:v>
                </c:pt>
                <c:pt idx="85">
                  <c:v>1.674593460395174</c:v>
                </c:pt>
                <c:pt idx="86">
                  <c:v>1.6824820672370582</c:v>
                </c:pt>
                <c:pt idx="87">
                  <c:v>1.6901913875598085</c:v>
                </c:pt>
                <c:pt idx="88">
                  <c:v>1.6712004730928445</c:v>
                </c:pt>
                <c:pt idx="89">
                  <c:v>1.6526315789473682</c:v>
                </c:pt>
                <c:pt idx="90">
                  <c:v>1.686358754027927</c:v>
                </c:pt>
                <c:pt idx="91">
                  <c:v>1.6680287675711019</c:v>
                </c:pt>
                <c:pt idx="92">
                  <c:v>1.7008650658905329</c:v>
                </c:pt>
                <c:pt idx="93">
                  <c:v>1.6827707566789314</c:v>
                </c:pt>
                <c:pt idx="94">
                  <c:v>1.6650573802928372</c:v>
                </c:pt>
                <c:pt idx="95">
                  <c:v>1.6968984962406015</c:v>
                </c:pt>
                <c:pt idx="96">
                  <c:v>1.6794046973102859</c:v>
                </c:pt>
                <c:pt idx="97">
                  <c:v>1.6863587540279268</c:v>
                </c:pt>
                <c:pt idx="98">
                  <c:v>1.6693248272195642</c:v>
                </c:pt>
                <c:pt idx="99">
                  <c:v>1.6762406015037594</c:v>
                </c:pt>
                <c:pt idx="100">
                  <c:v>1.6596441599047123</c:v>
                </c:pt>
                <c:pt idx="101">
                  <c:v>1.6433731387291759</c:v>
                </c:pt>
                <c:pt idx="102">
                  <c:v>1.6274180597123877</c:v>
                </c:pt>
                <c:pt idx="103">
                  <c:v>1.6344707923655291</c:v>
                </c:pt>
                <c:pt idx="104">
                  <c:v>1.6189044038668099</c:v>
                </c:pt>
                <c:pt idx="105">
                  <c:v>1.6481770463895589</c:v>
                </c:pt>
                <c:pt idx="106">
                  <c:v>1.6327735225915256</c:v>
                </c:pt>
                <c:pt idx="107">
                  <c:v>1.6176552492341967</c:v>
                </c:pt>
                <c:pt idx="108">
                  <c:v>1.6028143753880113</c:v>
                </c:pt>
                <c:pt idx="109">
                  <c:v>1.5882433356117567</c:v>
                </c:pt>
                <c:pt idx="110">
                  <c:v>1.5739348370927317</c:v>
                </c:pt>
                <c:pt idx="111">
                  <c:v>1.5598818474758325</c:v>
                </c:pt>
                <c:pt idx="112">
                  <c:v>1.5669705236542684</c:v>
                </c:pt>
                <c:pt idx="113">
                  <c:v>1.5532251681836171</c:v>
                </c:pt>
                <c:pt idx="114">
                  <c:v>1.5602484472049689</c:v>
                </c:pt>
                <c:pt idx="115">
                  <c:v>1.5467980295566504</c:v>
                </c:pt>
                <c:pt idx="116">
                  <c:v>1.5335775335775337</c:v>
                </c:pt>
                <c:pt idx="117">
                  <c:v>1.5205811138014529</c:v>
                </c:pt>
                <c:pt idx="118">
                  <c:v>1.5276426360017692</c:v>
                </c:pt>
                <c:pt idx="119">
                  <c:v>1.5149122807017543</c:v>
                </c:pt>
                <c:pt idx="120">
                  <c:v>1.5219039333871869</c:v>
                </c:pt>
                <c:pt idx="121">
                  <c:v>1.509429310982374</c:v>
                </c:pt>
                <c:pt idx="122">
                  <c:v>1.5163518552478759</c:v>
                </c:pt>
                <c:pt idx="123">
                  <c:v>1.5231627455736114</c:v>
                </c:pt>
                <c:pt idx="124">
                  <c:v>1.5109774436090226</c:v>
                </c:pt>
                <c:pt idx="125">
                  <c:v>1.4989855591359351</c:v>
                </c:pt>
                <c:pt idx="126">
                  <c:v>1.5057723047776923</c:v>
                </c:pt>
                <c:pt idx="127">
                  <c:v>1.4940084586466165</c:v>
                </c:pt>
                <c:pt idx="128">
                  <c:v>1.4824269977268751</c:v>
                </c:pt>
                <c:pt idx="129">
                  <c:v>1.4710237131289763</c:v>
                </c:pt>
                <c:pt idx="130">
                  <c:v>1.4597945244791368</c:v>
                </c:pt>
                <c:pt idx="131">
                  <c:v>1.4487354750512647</c:v>
                </c:pt>
                <c:pt idx="132">
                  <c:v>1.4378427271185483</c:v>
                </c:pt>
                <c:pt idx="133">
                  <c:v>1.462349904612277</c:v>
                </c:pt>
                <c:pt idx="134">
                  <c:v>1.4515176830966305</c:v>
                </c:pt>
                <c:pt idx="135">
                  <c:v>1.458204334365325</c:v>
                </c:pt>
                <c:pt idx="136">
                  <c:v>1.4647933702870313</c:v>
                </c:pt>
                <c:pt idx="137">
                  <c:v>1.4712869129345103</c:v>
                </c:pt>
                <c:pt idx="138">
                  <c:v>1.4776870233136798</c:v>
                </c:pt>
                <c:pt idx="139">
                  <c:v>1.4671321160042965</c:v>
                </c:pt>
                <c:pt idx="140">
                  <c:v>1.4567269236922094</c:v>
                </c:pt>
                <c:pt idx="141">
                  <c:v>1.4630943556073281</c:v>
                </c:pt>
                <c:pt idx="142">
                  <c:v>1.4693727325306272</c:v>
                </c:pt>
                <c:pt idx="143">
                  <c:v>1.475563909774436</c:v>
                </c:pt>
                <c:pt idx="144">
                  <c:v>1.4653876069484053</c:v>
                </c:pt>
                <c:pt idx="145">
                  <c:v>1.4715212689257391</c:v>
                </c:pt>
                <c:pt idx="146">
                  <c:v>1.4775714797197075</c:v>
                </c:pt>
                <c:pt idx="147">
                  <c:v>1.4675878886405203</c:v>
                </c:pt>
                <c:pt idx="148">
                  <c:v>1.4735832870767522</c:v>
                </c:pt>
                <c:pt idx="149">
                  <c:v>1.4794987468671679</c:v>
                </c:pt>
                <c:pt idx="150">
                  <c:v>1.4697007419210277</c:v>
                </c:pt>
                <c:pt idx="151">
                  <c:v>1.4755639097744362</c:v>
                </c:pt>
                <c:pt idx="152">
                  <c:v>1.4813504349108064</c:v>
                </c:pt>
                <c:pt idx="153">
                  <c:v>1.4717312762425545</c:v>
                </c:pt>
                <c:pt idx="154">
                  <c:v>1.4622362357506671</c:v>
                </c:pt>
                <c:pt idx="155">
                  <c:v>1.4679969153653365</c:v>
                </c:pt>
                <c:pt idx="156">
                  <c:v>1.4736842105263157</c:v>
                </c:pt>
                <c:pt idx="157">
                  <c:v>1.4643570952698202</c:v>
                </c:pt>
                <c:pt idx="158">
                  <c:v>1.469995744077174</c:v>
                </c:pt>
                <c:pt idx="159">
                  <c:v>1.4608082706766916</c:v>
                </c:pt>
                <c:pt idx="160">
                  <c:v>1.4517349273805631</c:v>
                </c:pt>
                <c:pt idx="161">
                  <c:v>1.457347071382159</c:v>
                </c:pt>
                <c:pt idx="162">
                  <c:v>1.4773744176391899</c:v>
                </c:pt>
                <c:pt idx="163">
                  <c:v>1.468366037043829</c:v>
                </c:pt>
                <c:pt idx="164">
                  <c:v>1.4594668489405334</c:v>
                </c:pt>
                <c:pt idx="165">
                  <c:v>1.4506748799710121</c:v>
                </c:pt>
                <c:pt idx="166">
                  <c:v>1.4419882040430418</c:v>
                </c:pt>
                <c:pt idx="167">
                  <c:v>1.4474579305406374</c:v>
                </c:pt>
                <c:pt idx="168">
                  <c:v>1.4528629265471371</c:v>
                </c:pt>
                <c:pt idx="169">
                  <c:v>1.4443166740380362</c:v>
                </c:pt>
                <c:pt idx="170">
                  <c:v>1.4358703776986326</c:v>
                </c:pt>
                <c:pt idx="171">
                  <c:v>1.4275222941073615</c:v>
                </c:pt>
                <c:pt idx="172">
                  <c:v>1.4192707201529835</c:v>
                </c:pt>
                <c:pt idx="173">
                  <c:v>1.4111139918762423</c:v>
                </c:pt>
                <c:pt idx="174">
                  <c:v>1.4165413533834585</c:v>
                </c:pt>
                <c:pt idx="175">
                  <c:v>1.408492822966507</c:v>
                </c:pt>
                <c:pt idx="176">
                  <c:v>1.4005352363960748</c:v>
                </c:pt>
                <c:pt idx="177">
                  <c:v>1.3926670609107037</c:v>
                </c:pt>
                <c:pt idx="178">
                  <c:v>1.398076196076784</c:v>
                </c:pt>
                <c:pt idx="179">
                  <c:v>1.3903091060985797</c:v>
                </c:pt>
                <c:pt idx="180">
                  <c:v>1.3826278403190297</c:v>
                </c:pt>
                <c:pt idx="181">
                  <c:v>1.38800297446914</c:v>
                </c:pt>
                <c:pt idx="182">
                  <c:v>1.3933193639837298</c:v>
                </c:pt>
                <c:pt idx="183">
                  <c:v>1.3985779666557698</c:v>
                </c:pt>
                <c:pt idx="184">
                  <c:v>1.4293029871977241</c:v>
                </c:pt>
                <c:pt idx="185">
                  <c:v>1.4216185625353708</c:v>
                </c:pt>
                <c:pt idx="186">
                  <c:v>1.4140163242330426</c:v>
                </c:pt>
                <c:pt idx="187">
                  <c:v>1.4190529515277555</c:v>
                </c:pt>
                <c:pt idx="188">
                  <c:v>1.4115447348530055</c:v>
                </c:pt>
                <c:pt idx="189">
                  <c:v>1.4041155520379898</c:v>
                </c:pt>
                <c:pt idx="190">
                  <c:v>1.3967641617131834</c:v>
                </c:pt>
                <c:pt idx="191">
                  <c:v>1.4017857142857142</c:v>
                </c:pt>
                <c:pt idx="192">
                  <c:v>1.4067552300440218</c:v>
                </c:pt>
                <c:pt idx="193">
                  <c:v>1.3995039144252384</c:v>
                </c:pt>
                <c:pt idx="194">
                  <c:v>1.4044341623288992</c:v>
                </c:pt>
                <c:pt idx="195">
                  <c:v>1.4093141015804818</c:v>
                </c:pt>
                <c:pt idx="196">
                  <c:v>1.4021602228922561</c:v>
                </c:pt>
                <c:pt idx="197">
                  <c:v>1.4070023543707755</c:v>
                </c:pt>
                <c:pt idx="198">
                  <c:v>1.4117958212113197</c:v>
                </c:pt>
                <c:pt idx="199">
                  <c:v>1.4047368421052633</c:v>
                </c:pt>
                <c:pt idx="200">
                  <c:v>1.3977481015972768</c:v>
                </c:pt>
                <c:pt idx="201">
                  <c:v>1.3908285565398646</c:v>
                </c:pt>
                <c:pt idx="202">
                  <c:v>1.3956072447127672</c:v>
                </c:pt>
                <c:pt idx="203">
                  <c:v>1.3887660327288811</c:v>
                </c:pt>
                <c:pt idx="204">
                  <c:v>1.3935081606455162</c:v>
                </c:pt>
                <c:pt idx="205">
                  <c:v>1.4096649390466458</c:v>
                </c:pt>
                <c:pt idx="206">
                  <c:v>1.4028549634956957</c:v>
                </c:pt>
                <c:pt idx="207">
                  <c:v>1.407460960092539</c:v>
                </c:pt>
                <c:pt idx="208">
                  <c:v>1.4007266971255889</c:v>
                </c:pt>
                <c:pt idx="209">
                  <c:v>1.405298961689939</c:v>
                </c:pt>
                <c:pt idx="210">
                  <c:v>1.4098278872536791</c:v>
                </c:pt>
                <c:pt idx="211">
                  <c:v>1.4143140871045539</c:v>
                </c:pt>
                <c:pt idx="212">
                  <c:v>1.4076741148646263</c:v>
                </c:pt>
                <c:pt idx="213">
                  <c:v>1.4010961984400254</c:v>
                </c:pt>
                <c:pt idx="214">
                  <c:v>1.3945794719356532</c:v>
                </c:pt>
                <c:pt idx="215">
                  <c:v>1.3990531885268729</c:v>
                </c:pt>
                <c:pt idx="216">
                  <c:v>1.4034856727071134</c:v>
                </c:pt>
                <c:pt idx="217">
                  <c:v>1.397047665034145</c:v>
                </c:pt>
                <c:pt idx="218">
                  <c:v>1.4014488275483228</c:v>
                </c:pt>
                <c:pt idx="219">
                  <c:v>1.3950786056049214</c:v>
                </c:pt>
                <c:pt idx="220">
                  <c:v>1.3887660327288811</c:v>
                </c:pt>
                <c:pt idx="221">
                  <c:v>1.3931450247239721</c:v>
                </c:pt>
                <c:pt idx="222">
                  <c:v>1.3868977376175866</c:v>
                </c:pt>
                <c:pt idx="223">
                  <c:v>1.3807062298603652</c:v>
                </c:pt>
                <c:pt idx="224">
                  <c:v>1.385062656641604</c:v>
                </c:pt>
                <c:pt idx="225">
                  <c:v>1.3893805309734513</c:v>
                </c:pt>
                <c:pt idx="226">
                  <c:v>1.3936603623596435</c:v>
                </c:pt>
                <c:pt idx="227">
                  <c:v>1.3875478169106978</c:v>
                </c:pt>
                <c:pt idx="228">
                  <c:v>1.391798272975014</c:v>
                </c:pt>
                <c:pt idx="229">
                  <c:v>1.3857469761359922</c:v>
                </c:pt>
                <c:pt idx="230">
                  <c:v>1.4104091397324481</c:v>
                </c:pt>
                <c:pt idx="231">
                  <c:v>1.404329789992222</c:v>
                </c:pt>
                <c:pt idx="232">
                  <c:v>1.3983026235115688</c:v>
                </c:pt>
                <c:pt idx="233">
                  <c:v>1.3923269712743398</c:v>
                </c:pt>
                <c:pt idx="234">
                  <c:v>1.3864021756518956</c:v>
                </c:pt>
                <c:pt idx="235">
                  <c:v>1.3805275901618452</c:v>
                </c:pt>
                <c:pt idx="236">
                  <c:v>1.3846641921258842</c:v>
                </c:pt>
                <c:pt idx="237">
                  <c:v>1.3887660327288811</c:v>
                </c:pt>
                <c:pt idx="238">
                  <c:v>1.3829552961902665</c:v>
                </c:pt>
                <c:pt idx="239">
                  <c:v>1.3870300751879698</c:v>
                </c:pt>
                <c:pt idx="240">
                  <c:v>1.3910710385923313</c:v>
                </c:pt>
                <c:pt idx="241">
                  <c:v>1.3853228111601317</c:v>
                </c:pt>
                <c:pt idx="242">
                  <c:v>1.3990531885268727</c:v>
                </c:pt>
                <c:pt idx="243">
                  <c:v>1.3933193639837298</c:v>
                </c:pt>
                <c:pt idx="244">
                  <c:v>1.4069050176461564</c:v>
                </c:pt>
                <c:pt idx="245">
                  <c:v>1.4011858915581639</c:v>
                </c:pt>
                <c:pt idx="246">
                  <c:v>1.3955130741834343</c:v>
                </c:pt>
                <c:pt idx="247">
                  <c:v>1.3898860053359205</c:v>
                </c:pt>
                <c:pt idx="248">
                  <c:v>1.3843041338285473</c:v>
                </c:pt>
                <c:pt idx="249">
                  <c:v>1.3882105263157896</c:v>
                </c:pt>
                <c:pt idx="250">
                  <c:v>1.3826798070874398</c:v>
                </c:pt>
                <c:pt idx="251">
                  <c:v>1.4052989616899392</c:v>
                </c:pt>
                <c:pt idx="252">
                  <c:v>1.3997444203393861</c:v>
                </c:pt>
                <c:pt idx="253">
                  <c:v>1.3942336155349002</c:v>
                </c:pt>
                <c:pt idx="254">
                  <c:v>1.3887660327288809</c:v>
                </c:pt>
                <c:pt idx="255">
                  <c:v>1.3833411654135337</c:v>
                </c:pt>
                <c:pt idx="256">
                  <c:v>1.3779585149644538</c:v>
                </c:pt>
                <c:pt idx="257">
                  <c:v>1.3726175904878475</c:v>
                </c:pt>
                <c:pt idx="258">
                  <c:v>1.3673179086712921</c:v>
                </c:pt>
                <c:pt idx="259">
                  <c:v>1.3893001735107</c:v>
                </c:pt>
                <c:pt idx="260">
                  <c:v>1.3839771843401607</c:v>
                </c:pt>
                <c:pt idx="261">
                  <c:v>1.3786948286747402</c:v>
                </c:pt>
                <c:pt idx="262">
                  <c:v>1.3734526430143801</c:v>
                </c:pt>
                <c:pt idx="263">
                  <c:v>1.386135794030531</c:v>
                </c:pt>
                <c:pt idx="264">
                  <c:v>1.3809050929209816</c:v>
                </c:pt>
                <c:pt idx="265">
                  <c:v>1.3757137203912035</c:v>
                </c:pt>
                <c:pt idx="266">
                  <c:v>1.3705612345470417</c:v>
                </c:pt>
                <c:pt idx="267">
                  <c:v>1.3654472000897766</c:v>
                </c:pt>
                <c:pt idx="268">
                  <c:v>1.3691477765044582</c:v>
                </c:pt>
                <c:pt idx="269">
                  <c:v>1.3728209412419938</c:v>
                </c:pt>
                <c:pt idx="270">
                  <c:v>1.385178814194157</c:v>
                </c:pt>
                <c:pt idx="271">
                  <c:v>1.3800862450243254</c:v>
                </c:pt>
                <c:pt idx="272">
                  <c:v>1.38367897766394</c:v>
                </c:pt>
                <c:pt idx="273">
                  <c:v>1.3786290543877942</c:v>
                </c:pt>
                <c:pt idx="274">
                  <c:v>1.3736158578263842</c:v>
                </c:pt>
                <c:pt idx="275">
                  <c:v>1.3771929824561404</c:v>
                </c:pt>
                <c:pt idx="276">
                  <c:v>1.3807442794712412</c:v>
                </c:pt>
                <c:pt idx="277">
                  <c:v>1.3842700275869531</c:v>
                </c:pt>
                <c:pt idx="278">
                  <c:v>1.3793084862694371</c:v>
                </c:pt>
                <c:pt idx="279">
                  <c:v>1.3828141783029002</c:v>
                </c:pt>
                <c:pt idx="280">
                  <c:v>1.3778931314050251</c:v>
                </c:pt>
                <c:pt idx="281">
                  <c:v>1.3813789793633018</c:v>
                </c:pt>
                <c:pt idx="282">
                  <c:v>1.3764977815563644</c:v>
                </c:pt>
                <c:pt idx="283">
                  <c:v>1.3799639944932753</c:v>
                </c:pt>
                <c:pt idx="284">
                  <c:v>1.3834058831288747</c:v>
                </c:pt>
                <c:pt idx="285">
                  <c:v>1.3950786056049214</c:v>
                </c:pt>
                <c:pt idx="286">
                  <c:v>1.3902177045400959</c:v>
                </c:pt>
                <c:pt idx="287">
                  <c:v>1.385390559732665</c:v>
                </c:pt>
                <c:pt idx="288">
                  <c:v>1.3805968207716524</c:v>
                </c:pt>
                <c:pt idx="289">
                  <c:v>1.3839771843401607</c:v>
                </c:pt>
                <c:pt idx="290">
                  <c:v>1.3792212489987856</c:v>
                </c:pt>
                <c:pt idx="291">
                  <c:v>1.3744978885570089</c:v>
                </c:pt>
                <c:pt idx="292">
                  <c:v>1.3698067694834355</c:v>
                </c:pt>
                <c:pt idx="293">
                  <c:v>1.3731778425655976</c:v>
                </c:pt>
                <c:pt idx="294">
                  <c:v>1.3845291194086913</c:v>
                </c:pt>
                <c:pt idx="295">
                  <c:v>1.3798516561674457</c:v>
                </c:pt>
                <c:pt idx="296">
                  <c:v>1.3752056909951647</c:v>
                </c:pt>
                <c:pt idx="297">
                  <c:v>1.3785133975879296</c:v>
                </c:pt>
                <c:pt idx="298">
                  <c:v>1.3739029848869666</c:v>
                </c:pt>
                <c:pt idx="299">
                  <c:v>1.3771929824561404</c:v>
                </c:pt>
                <c:pt idx="300">
                  <c:v>1.3726175904878475</c:v>
                </c:pt>
                <c:pt idx="301">
                  <c:v>1.375890056266494</c:v>
                </c:pt>
                <c:pt idx="302">
                  <c:v>1.3791409216109582</c:v>
                </c:pt>
                <c:pt idx="303">
                  <c:v>1.3746042738425011</c:v>
                </c:pt>
                <c:pt idx="304">
                  <c:v>1.370097374584001</c:v>
                </c:pt>
                <c:pt idx="305">
                  <c:v>1.3733352990318934</c:v>
                </c:pt>
                <c:pt idx="306">
                  <c:v>1.3688618941490536</c:v>
                </c:pt>
                <c:pt idx="307">
                  <c:v>1.3720828044136315</c:v>
                </c:pt>
                <c:pt idx="308">
                  <c:v>1.3829233277368178</c:v>
                </c:pt>
                <c:pt idx="309">
                  <c:v>1.3784622847441184</c:v>
                </c:pt>
                <c:pt idx="310">
                  <c:v>1.3740299301307932</c:v>
                </c:pt>
                <c:pt idx="311">
                  <c:v>1.3696259880470407</c:v>
                </c:pt>
                <c:pt idx="312">
                  <c:v>1.3652501861682962</c:v>
                </c:pt>
                <c:pt idx="313">
                  <c:v>1.368421052631579</c:v>
                </c:pt>
                <c:pt idx="314">
                  <c:v>1.3640768588137009</c:v>
                </c:pt>
                <c:pt idx="315">
                  <c:v>1.3597601598934044</c:v>
                </c:pt>
                <c:pt idx="316">
                  <c:v>1.3554706956666114</c:v>
                </c:pt>
                <c:pt idx="317">
                  <c:v>1.3512082092022508</c:v>
                </c:pt>
                <c:pt idx="318">
                  <c:v>1.3469724467909585</c:v>
                </c:pt>
                <c:pt idx="319">
                  <c:v>1.3427631578947368</c:v>
                </c:pt>
                <c:pt idx="320">
                  <c:v>1.3385800950975568</c:v>
                </c:pt>
                <c:pt idx="321">
                  <c:v>1.3417550086396113</c:v>
                </c:pt>
                <c:pt idx="322">
                  <c:v>1.3376009683651853</c:v>
                </c:pt>
                <c:pt idx="323">
                  <c:v>1.3334725703146755</c:v>
                </c:pt>
                <c:pt idx="324">
                  <c:v>1.3293695777906303</c:v>
                </c:pt>
                <c:pt idx="325">
                  <c:v>1.332533788458877</c:v>
                </c:pt>
                <c:pt idx="326">
                  <c:v>1.328458761582856</c:v>
                </c:pt>
                <c:pt idx="327">
                  <c:v>1.3244085824316889</c:v>
                </c:pt>
                <c:pt idx="328">
                  <c:v>1.3203830244303767</c:v>
                </c:pt>
                <c:pt idx="329">
                  <c:v>1.3163818637502849</c:v>
                </c:pt>
                <c:pt idx="330">
                  <c:v>1.3124048792676557</c:v>
                </c:pt>
                <c:pt idx="331">
                  <c:v>1.3155630038952806</c:v>
                </c:pt>
                <c:pt idx="332">
                  <c:v>1.3187021608074241</c:v>
                </c:pt>
                <c:pt idx="333">
                  <c:v>1.3147539507451265</c:v>
                </c:pt>
                <c:pt idx="334">
                  <c:v>1.3108293120861858</c:v>
                </c:pt>
                <c:pt idx="335">
                  <c:v>1.3069280343716434</c:v>
                </c:pt>
                <c:pt idx="336">
                  <c:v>1.3030499096405703</c:v>
                </c:pt>
                <c:pt idx="337">
                  <c:v>1.3061796503092051</c:v>
                </c:pt>
                <c:pt idx="338">
                  <c:v>1.3023266129926587</c:v>
                </c:pt>
                <c:pt idx="339">
                  <c:v>1.3054400707651481</c:v>
                </c:pt>
                <c:pt idx="340">
                  <c:v>1.3016118007629043</c:v>
                </c:pt>
                <c:pt idx="341">
                  <c:v>1.3047091412742382</c:v>
                </c:pt>
                <c:pt idx="342">
                  <c:v>1.3077884214910453</c:v>
                </c:pt>
                <c:pt idx="343">
                  <c:v>1.3039867109634551</c:v>
                </c:pt>
                <c:pt idx="344">
                  <c:v>1.3070502342813555</c:v>
                </c:pt>
                <c:pt idx="345">
                  <c:v>1.3032726324481725</c:v>
                </c:pt>
                <c:pt idx="346">
                  <c:v>1.2995168035362181</c:v>
                </c:pt>
                <c:pt idx="347">
                  <c:v>1.3093509636159364</c:v>
                </c:pt>
                <c:pt idx="348">
                  <c:v>1.3055992416571514</c:v>
                </c:pt>
                <c:pt idx="349">
                  <c:v>1.3018689581095595</c:v>
                </c:pt>
                <c:pt idx="350">
                  <c:v>1.3048861469914101</c:v>
                </c:pt>
                <c:pt idx="351">
                  <c:v>1.3011790840738209</c:v>
                </c:pt>
                <c:pt idx="352">
                  <c:v>1.3041811327184818</c:v>
                </c:pt>
                <c:pt idx="353">
                  <c:v>1.3004970052249267</c:v>
                </c:pt>
                <c:pt idx="354">
                  <c:v>1.2968336333792225</c:v>
                </c:pt>
                <c:pt idx="355">
                  <c:v>1.2998225901833234</c:v>
                </c:pt>
                <c:pt idx="356">
                  <c:v>1.2961816305469556</c:v>
                </c:pt>
                <c:pt idx="357">
                  <c:v>1.2925610114672155</c:v>
                </c:pt>
                <c:pt idx="358">
                  <c:v>1.2955368923702011</c:v>
                </c:pt>
                <c:pt idx="359">
                  <c:v>1.2919381787802839</c:v>
                </c:pt>
                <c:pt idx="360">
                  <c:v>1.2883594026617791</c:v>
                </c:pt>
                <c:pt idx="361">
                  <c:v>1.2848003987870229</c:v>
                </c:pt>
                <c:pt idx="362">
                  <c:v>1.2812610037490422</c:v>
                </c:pt>
                <c:pt idx="363">
                  <c:v>1.2777410559365447</c:v>
                </c:pt>
                <c:pt idx="364">
                  <c:v>1.2742403955093213</c:v>
                </c:pt>
                <c:pt idx="365">
                  <c:v>1.2707588643740499</c:v>
                </c:pt>
                <c:pt idx="366">
                  <c:v>1.2737292823339001</c:v>
                </c:pt>
                <c:pt idx="367">
                  <c:v>1.2702680614579929</c:v>
                </c:pt>
                <c:pt idx="368">
                  <c:v>1.266825600586833</c:v>
                </c:pt>
                <c:pt idx="369">
                  <c:v>1.2634017476122741</c:v>
                </c:pt>
                <c:pt idx="370">
                  <c:v>1.2727235879456054</c:v>
                </c:pt>
                <c:pt idx="371">
                  <c:v>1.2693022879780096</c:v>
                </c:pt>
                <c:pt idx="372">
                  <c:v>1.2722288294462698</c:v>
                </c:pt>
                <c:pt idx="373">
                  <c:v>1.268827148084114</c:v>
                </c:pt>
                <c:pt idx="374">
                  <c:v>1.2654436090225565</c:v>
                </c:pt>
                <c:pt idx="375">
                  <c:v>1.274636058230683</c:v>
                </c:pt>
                <c:pt idx="376">
                  <c:v>1.2712550607287449</c:v>
                </c:pt>
                <c:pt idx="377">
                  <c:v>1.2678919521024785</c:v>
                </c:pt>
                <c:pt idx="378">
                  <c:v>1.2832344714027812</c:v>
                </c:pt>
                <c:pt idx="379">
                  <c:v>1.2798575385833004</c:v>
                </c:pt>
                <c:pt idx="380">
                  <c:v>1.2764983324452863</c:v>
                </c:pt>
                <c:pt idx="381">
                  <c:v>1.2731567137739637</c:v>
                </c:pt>
                <c:pt idx="382">
                  <c:v>1.2698325448084964</c:v>
                </c:pt>
                <c:pt idx="383">
                  <c:v>1.2665256892230576</c:v>
                </c:pt>
                <c:pt idx="384">
                  <c:v>1.2693682257592032</c:v>
                </c:pt>
                <c:pt idx="385">
                  <c:v>1.2660797070396197</c:v>
                </c:pt>
                <c:pt idx="386">
                  <c:v>1.2628081832488196</c:v>
                </c:pt>
                <c:pt idx="387">
                  <c:v>1.2595535229827144</c:v>
                </c:pt>
                <c:pt idx="388">
                  <c:v>1.2563155961884145</c:v>
                </c:pt>
                <c:pt idx="389">
                  <c:v>1.2530942741469056</c:v>
                </c:pt>
                <c:pt idx="390">
                  <c:v>1.2498894294559928</c:v>
                </c:pt>
                <c:pt idx="391">
                  <c:v>1.2467009360135031</c:v>
                </c:pt>
                <c:pt idx="392">
                  <c:v>1.2435286690007463</c:v>
                </c:pt>
                <c:pt idx="393">
                  <c:v>1.2403725048662266</c:v>
                </c:pt>
                <c:pt idx="394">
                  <c:v>1.2491862567811935</c:v>
                </c:pt>
                <c:pt idx="395">
                  <c:v>1.246031746031746</c:v>
                </c:pt>
                <c:pt idx="396">
                  <c:v>1.2428931270241095</c:v>
                </c:pt>
                <c:pt idx="397">
                  <c:v>1.2397702799712851</c:v>
                </c:pt>
                <c:pt idx="398">
                  <c:v>1.2366630862871466</c:v>
                </c:pt>
                <c:pt idx="399">
                  <c:v>1.2335714285714285</c:v>
                </c:pt>
                <c:pt idx="400">
                  <c:v>1.2304951905949413</c:v>
                </c:pt>
                <c:pt idx="401">
                  <c:v>1.2274342572850037</c:v>
                </c:pt>
                <c:pt idx="402">
                  <c:v>1.2243885147110953</c:v>
                </c:pt>
                <c:pt idx="403">
                  <c:v>1.2272016675351747</c:v>
                </c:pt>
                <c:pt idx="404">
                  <c:v>1.2300009282465423</c:v>
                </c:pt>
                <c:pt idx="405">
                  <c:v>1.2269713693099744</c:v>
                </c:pt>
                <c:pt idx="406">
                  <c:v>1.2239566976409082</c:v>
                </c:pt>
                <c:pt idx="407">
                  <c:v>1.2209568037741412</c:v>
                </c:pt>
                <c:pt idx="408">
                  <c:v>1.2179715793150359</c:v>
                </c:pt>
                <c:pt idx="409">
                  <c:v>1.2150009169264624</c:v>
                </c:pt>
                <c:pt idx="410">
                  <c:v>1.2177889980425516</c:v>
                </c:pt>
                <c:pt idx="411">
                  <c:v>1.2320242353456456</c:v>
                </c:pt>
                <c:pt idx="412">
                  <c:v>1.2290411258169638</c:v>
                </c:pt>
                <c:pt idx="413">
                  <c:v>1.2260724274454251</c:v>
                </c:pt>
                <c:pt idx="414">
                  <c:v>1.2231180360539904</c:v>
                </c:pt>
                <c:pt idx="415">
                  <c:v>1.2258530942741468</c:v>
                </c:pt>
                <c:pt idx="416">
                  <c:v>1.2229133986044247</c:v>
                </c:pt>
                <c:pt idx="417">
                  <c:v>1.2199877684642226</c:v>
                </c:pt>
                <c:pt idx="418">
                  <c:v>1.2170761031456923</c:v>
                </c:pt>
                <c:pt idx="419">
                  <c:v>1.2141783029001074</c:v>
                </c:pt>
                <c:pt idx="420">
                  <c:v>1.211294268926473</c:v>
                </c:pt>
                <c:pt idx="421">
                  <c:v>1.2140184584684459</c:v>
                </c:pt>
                <c:pt idx="422">
                  <c:v>1.2111484384720665</c:v>
                </c:pt>
                <c:pt idx="423">
                  <c:v>1.2082919563058592</c:v>
                </c:pt>
                <c:pt idx="424">
                  <c:v>1.2110039805395842</c:v>
                </c:pt>
                <c:pt idx="425">
                  <c:v>1.2081612481908999</c:v>
                </c:pt>
                <c:pt idx="426">
                  <c:v>1.2053318307478298</c:v>
                </c:pt>
                <c:pt idx="427">
                  <c:v>1.2080317616471086</c:v>
                </c:pt>
                <c:pt idx="428">
                  <c:v>1.2052158367947843</c:v>
                </c:pt>
                <c:pt idx="429">
                  <c:v>1.2024130092673544</c:v>
                </c:pt>
                <c:pt idx="430">
                  <c:v>1.1996231879001449</c:v>
                </c:pt>
                <c:pt idx="431">
                  <c:v>1.1968462823725983</c:v>
                </c:pt>
                <c:pt idx="432">
                  <c:v>1.1995346333501189</c:v>
                </c:pt>
                <c:pt idx="433">
                  <c:v>1.2022105956134577</c:v>
                </c:pt>
                <c:pt idx="434">
                  <c:v>1.1994468930948059</c:v>
                </c:pt>
                <c:pt idx="435">
                  <c:v>1.1966958681106437</c:v>
                </c:pt>
                <c:pt idx="436">
                  <c:v>1.1939574336298413</c:v>
                </c:pt>
                <c:pt idx="437">
                  <c:v>1.1912315034160745</c:v>
                </c:pt>
                <c:pt idx="438">
                  <c:v>1.1938959014849195</c:v>
                </c:pt>
                <c:pt idx="439">
                  <c:v>1.1965481886534519</c:v>
                </c:pt>
                <c:pt idx="440">
                  <c:v>1.1938349274546911</c:v>
                </c:pt>
                <c:pt idx="441">
                  <c:v>1.1911339434559249</c:v>
                </c:pt>
                <c:pt idx="442">
                  <c:v>1.1937745039800405</c:v>
                </c:pt>
                <c:pt idx="443">
                  <c:v>1.1964031700873805</c:v>
                </c:pt>
                <c:pt idx="444">
                  <c:v>1.1937146236377461</c:v>
                </c:pt>
                <c:pt idx="445">
                  <c:v>1.1910381334502174</c:v>
                </c:pt>
                <c:pt idx="446">
                  <c:v>1.188373618610284</c:v>
                </c:pt>
                <c:pt idx="447">
                  <c:v>1.1857209989258861</c:v>
                </c:pt>
                <c:pt idx="448">
                  <c:v>1.1830801949193697</c:v>
                </c:pt>
                <c:pt idx="449">
                  <c:v>1.1804511278195489</c:v>
                </c:pt>
                <c:pt idx="450">
                  <c:v>1.183068536085224</c:v>
                </c:pt>
                <c:pt idx="451">
                  <c:v>1.1856743628983963</c:v>
                </c:pt>
                <c:pt idx="452">
                  <c:v>1.1934803897160118</c:v>
                </c:pt>
                <c:pt idx="453">
                  <c:v>1.1908515782849192</c:v>
                </c:pt>
                <c:pt idx="454">
                  <c:v>1.1934231182351482</c:v>
                </c:pt>
                <c:pt idx="455">
                  <c:v>1.1908059622741065</c:v>
                </c:pt>
                <c:pt idx="456">
                  <c:v>1.1882002599496555</c:v>
                </c:pt>
                <c:pt idx="457">
                  <c:v>1.1856059362379749</c:v>
                </c:pt>
                <c:pt idx="458">
                  <c:v>1.1881664946680428</c:v>
                </c:pt>
                <c:pt idx="459">
                  <c:v>1.1855835240274599</c:v>
                </c:pt>
                <c:pt idx="460">
                  <c:v>1.1932542853880908</c:v>
                </c:pt>
                <c:pt idx="461">
                  <c:v>1.1906714839045667</c:v>
                </c:pt>
                <c:pt idx="462">
                  <c:v>1.1880998392309068</c:v>
                </c:pt>
                <c:pt idx="463">
                  <c:v>1.1906274306455795</c:v>
                </c:pt>
                <c:pt idx="464">
                  <c:v>1.188066941547417</c:v>
                </c:pt>
                <c:pt idx="465">
                  <c:v>1.1905837555261545</c:v>
                </c:pt>
                <c:pt idx="466">
                  <c:v>1.1880343256428008</c:v>
                </c:pt>
                <c:pt idx="467">
                  <c:v>1.1854957907589487</c:v>
                </c:pt>
                <c:pt idx="468">
                  <c:v>1.1880019879122112</c:v>
                </c:pt>
                <c:pt idx="469">
                  <c:v>1.1854743241081427</c:v>
                </c:pt>
                <c:pt idx="470">
                  <c:v>1.1879699248120301</c:v>
                </c:pt>
                <c:pt idx="471">
                  <c:v>1.1904549509366638</c:v>
                </c:pt>
                <c:pt idx="472">
                  <c:v>1.1879381328585734</c:v>
                </c:pt>
                <c:pt idx="473">
                  <c:v>1.1904127407125409</c:v>
                </c:pt>
                <c:pt idx="474">
                  <c:v>1.1879066086268302</c:v>
                </c:pt>
                <c:pt idx="475">
                  <c:v>1.1854110065078662</c:v>
                </c:pt>
                <c:pt idx="476">
                  <c:v>1.182925868129443</c:v>
                </c:pt>
                <c:pt idx="477">
                  <c:v>1.1804511278195489</c:v>
                </c:pt>
                <c:pt idx="478">
                  <c:v>1.1779867204545811</c:v>
                </c:pt>
                <c:pt idx="479">
                  <c:v>1.1755325814536339</c:v>
                </c:pt>
                <c:pt idx="480">
                  <c:v>1.1730886467728572</c:v>
                </c:pt>
                <c:pt idx="481">
                  <c:v>1.1706548528998846</c:v>
                </c:pt>
                <c:pt idx="482">
                  <c:v>1.168231136848332</c:v>
                </c:pt>
                <c:pt idx="483">
                  <c:v>1.1706953333747592</c:v>
                </c:pt>
                <c:pt idx="484">
                  <c:v>1.1682815285636772</c:v>
                </c:pt>
                <c:pt idx="485">
                  <c:v>1.1707354806770012</c:v>
                </c:pt>
                <c:pt idx="486">
                  <c:v>1.16833150638403</c:v>
                </c:pt>
                <c:pt idx="487">
                  <c:v>1.1659373844447185</c:v>
                </c:pt>
                <c:pt idx="488">
                  <c:v>1.1683810753878563</c:v>
                </c:pt>
                <c:pt idx="489">
                  <c:v>1.1659966242135953</c:v>
                </c:pt>
                <c:pt idx="490">
                  <c:v>1.1684302405708773</c:v>
                </c:pt>
                <c:pt idx="491">
                  <c:v>1.1660553823583348</c:v>
                </c:pt>
                <c:pt idx="492">
                  <c:v>1.1684790068477482</c:v>
                </c:pt>
                <c:pt idx="493">
                  <c:v>1.1661136647286232</c:v>
                </c:pt>
                <c:pt idx="494">
                  <c:v>1.1637578795473533</c:v>
                </c:pt>
                <c:pt idx="495">
                  <c:v>1.1614115934998788</c:v>
                </c:pt>
                <c:pt idx="496">
                  <c:v>1.1590747492473639</c:v>
                </c:pt>
                <c:pt idx="497">
                  <c:v>1.1614880574931303</c:v>
                </c:pt>
                <c:pt idx="498">
                  <c:v>1.1591604261153887</c:v>
                </c:pt>
                <c:pt idx="499">
                  <c:v>1.1568421052631579</c:v>
                </c:pt>
                <c:pt idx="500">
                  <c:v>1.1545330391847883</c:v>
                </c:pt>
                <c:pt idx="501">
                  <c:v>1.1522331725728665</c:v>
                </c:pt>
                <c:pt idx="502">
                  <c:v>1.149942450559799</c:v>
                </c:pt>
                <c:pt idx="503">
                  <c:v>1.1476608187134503</c:v>
                </c:pt>
                <c:pt idx="504">
                  <c:v>1.1453882230328296</c:v>
                </c:pt>
                <c:pt idx="505">
                  <c:v>1.1431246099438319</c:v>
                </c:pt>
                <c:pt idx="506">
                  <c:v>1.1408699262950275</c:v>
                </c:pt>
                <c:pt idx="507">
                  <c:v>1.1386241193535018</c:v>
                </c:pt>
                <c:pt idx="508">
                  <c:v>1.141025451644829</c:v>
                </c:pt>
                <c:pt idx="509">
                  <c:v>1.1387881468376824</c:v>
                </c:pt>
                <c:pt idx="510">
                  <c:v>1.1365595986051233</c:v>
                </c:pt>
                <c:pt idx="511">
                  <c:v>1.1389508928571428</c:v>
                </c:pt>
                <c:pt idx="512">
                  <c:v>1.1367307156780841</c:v>
                </c:pt>
                <c:pt idx="513">
                  <c:v>1.1345191773207337</c:v>
                </c:pt>
                <c:pt idx="514">
                  <c:v>1.1323162274618586</c:v>
                </c:pt>
                <c:pt idx="515">
                  <c:v>1.1301218161683277</c:v>
                </c:pt>
                <c:pt idx="516">
                  <c:v>1.1325024359738805</c:v>
                </c:pt>
                <c:pt idx="517">
                  <c:v>1.1348738641971723</c:v>
                </c:pt>
                <c:pt idx="518">
                  <c:v>1.1326872093528619</c:v>
                </c:pt>
                <c:pt idx="519">
                  <c:v>1.1350491613649509</c:v>
                </c:pt>
                <c:pt idx="520">
                  <c:v>1.1328705641262466</c:v>
                </c:pt>
                <c:pt idx="521">
                  <c:v>1.1307003140033993</c:v>
                </c:pt>
                <c:pt idx="522">
                  <c:v>1.1285383631162036</c:v>
                </c:pt>
                <c:pt idx="523">
                  <c:v>1.130890202605751</c:v>
                </c:pt>
                <c:pt idx="524">
                  <c:v>1.1287361260293591</c:v>
                </c:pt>
                <c:pt idx="525">
                  <c:v>1.131078647188313</c:v>
                </c:pt>
                <c:pt idx="526">
                  <c:v>1.1289323878957356</c:v>
                </c:pt>
                <c:pt idx="527">
                  <c:v>1.1267942583732058</c:v>
                </c:pt>
                <c:pt idx="528">
                  <c:v>1.1246642125161677</c:v>
                </c:pt>
                <c:pt idx="529">
                  <c:v>1.1225422045680238</c:v>
                </c:pt>
                <c:pt idx="530">
                  <c:v>1.1204281891168599</c:v>
                </c:pt>
                <c:pt idx="531">
                  <c:v>1.1183221210922043</c:v>
                </c:pt>
                <c:pt idx="532">
                  <c:v>1.1162239557618248</c:v>
                </c:pt>
                <c:pt idx="533">
                  <c:v>1.1141336487285629</c:v>
                </c:pt>
                <c:pt idx="534">
                  <c:v>1.1120511559272013</c:v>
                </c:pt>
                <c:pt idx="535">
                  <c:v>1.1143811020087533</c:v>
                </c:pt>
                <c:pt idx="536">
                  <c:v>1.1123059044258692</c:v>
                </c:pt>
                <c:pt idx="537">
                  <c:v>1.1102384213321408</c:v>
                </c:pt>
                <c:pt idx="538">
                  <c:v>1.11693891500551</c:v>
                </c:pt>
                <c:pt idx="539">
                  <c:v>1.1148705096073517</c:v>
                </c:pt>
                <c:pt idx="540">
                  <c:v>1.1128097508095562</c:v>
                </c:pt>
                <c:pt idx="541">
                  <c:v>1.1107565962877675</c:v>
                </c:pt>
                <c:pt idx="542">
                  <c:v>1.1087110040294106</c:v>
                </c:pt>
                <c:pt idx="543">
                  <c:v>1.1066729323308271</c:v>
                </c:pt>
                <c:pt idx="544">
                  <c:v>1.1046423397944403</c:v>
                </c:pt>
                <c:pt idx="545">
                  <c:v>1.1026191853259522</c:v>
                </c:pt>
                <c:pt idx="546">
                  <c:v>1.100603428131572</c:v>
                </c:pt>
                <c:pt idx="547">
                  <c:v>1.1029032435102353</c:v>
                </c:pt>
                <c:pt idx="548">
                  <c:v>1.1008943122834407</c:v>
                </c:pt>
                <c:pt idx="549">
                  <c:v>1.0988926862611075</c:v>
                </c:pt>
                <c:pt idx="550">
                  <c:v>1.0968983256689819</c:v>
                </c:pt>
                <c:pt idx="551">
                  <c:v>1.094911191021031</c:v>
                </c:pt>
                <c:pt idx="552">
                  <c:v>1.0929312431168337</c:v>
                </c:pt>
                <c:pt idx="553">
                  <c:v>1.0909584430390056</c:v>
                </c:pt>
                <c:pt idx="554">
                  <c:v>1.0889927521506468</c:v>
                </c:pt>
                <c:pt idx="555">
                  <c:v>1.0912803591713096</c:v>
                </c:pt>
                <c:pt idx="556">
                  <c:v>1.0935597521631728</c:v>
                </c:pt>
                <c:pt idx="557">
                  <c:v>1.0915999676610881</c:v>
                </c:pt>
                <c:pt idx="558">
                  <c:v>1.0896471949103528</c:v>
                </c:pt>
                <c:pt idx="559">
                  <c:v>1.0877013963480129</c:v>
                </c:pt>
                <c:pt idx="560">
                  <c:v>1.0899709165963036</c:v>
                </c:pt>
                <c:pt idx="561">
                  <c:v>1.0922323602600807</c:v>
                </c:pt>
                <c:pt idx="562">
                  <c:v>1.0902923383058001</c:v>
                </c:pt>
                <c:pt idx="563">
                  <c:v>1.0883591958619954</c:v>
                </c:pt>
                <c:pt idx="564">
                  <c:v>1.0864328964002927</c:v>
                </c:pt>
                <c:pt idx="565">
                  <c:v>1.0845134036504689</c:v>
                </c:pt>
                <c:pt idx="566">
                  <c:v>1.0826006815981752</c:v>
                </c:pt>
                <c:pt idx="567">
                  <c:v>1.0806946944826856</c:v>
                </c:pt>
                <c:pt idx="568">
                  <c:v>1.0787954067946668</c:v>
                </c:pt>
                <c:pt idx="569">
                  <c:v>1.0810447170557973</c:v>
                </c:pt>
                <c:pt idx="570">
                  <c:v>1.0832861488221428</c:v>
                </c:pt>
                <c:pt idx="571">
                  <c:v>1.0813922919186076</c:v>
                </c:pt>
                <c:pt idx="572">
                  <c:v>1.0795050453358528</c:v>
                </c:pt>
                <c:pt idx="573">
                  <c:v>1.077624374525163</c:v>
                </c:pt>
                <c:pt idx="574">
                  <c:v>1.0757502451781629</c:v>
                </c:pt>
                <c:pt idx="575">
                  <c:v>1.0738826232247285</c:v>
                </c:pt>
                <c:pt idx="576">
                  <c:v>1.0720214748309247</c:v>
                </c:pt>
                <c:pt idx="577">
                  <c:v>1.0701667663969612</c:v>
                </c:pt>
                <c:pt idx="578">
                  <c:v>1.0683184645551702</c:v>
                </c:pt>
                <c:pt idx="579">
                  <c:v>1.0664765361680062</c:v>
                </c:pt>
                <c:pt idx="580">
                  <c:v>1.0687044633960117</c:v>
                </c:pt>
                <c:pt idx="581">
                  <c:v>1.0668682014314137</c:v>
                </c:pt>
                <c:pt idx="582">
                  <c:v>1.0650382388217543</c:v>
                </c:pt>
                <c:pt idx="583">
                  <c:v>1.0672571840560305</c:v>
                </c:pt>
                <c:pt idx="584">
                  <c:v>1.0654328128012338</c:v>
                </c:pt>
                <c:pt idx="585">
                  <c:v>1.0636146680694911</c:v>
                </c:pt>
                <c:pt idx="586">
                  <c:v>1.0658246980312793</c:v>
                </c:pt>
                <c:pt idx="587">
                  <c:v>1.064012070993811</c:v>
                </c:pt>
                <c:pt idx="588">
                  <c:v>1.0622055988868606</c:v>
                </c:pt>
                <c:pt idx="589">
                  <c:v>1.060405250414171</c:v>
                </c:pt>
                <c:pt idx="590">
                  <c:v>1.0586109944913045</c:v>
                </c:pt>
                <c:pt idx="591">
                  <c:v>1.0568228002438529</c:v>
                </c:pt>
                <c:pt idx="592">
                  <c:v>1.0550406370056677</c:v>
                </c:pt>
                <c:pt idx="593">
                  <c:v>1.053264474317106</c:v>
                </c:pt>
                <c:pt idx="594">
                  <c:v>1.0514942819232957</c:v>
                </c:pt>
                <c:pt idx="595">
                  <c:v>1.0497300297724177</c:v>
                </c:pt>
                <c:pt idx="596">
                  <c:v>1.0479716880140049</c:v>
                </c:pt>
                <c:pt idx="597">
                  <c:v>1.046219226997259</c:v>
                </c:pt>
                <c:pt idx="598">
                  <c:v>1.0444726172693839</c:v>
                </c:pt>
                <c:pt idx="599">
                  <c:v>1.0427318295739347</c:v>
                </c:pt>
                <c:pt idx="600">
                  <c:v>1.0409968348491863</c:v>
                </c:pt>
                <c:pt idx="601">
                  <c:v>1.0392676042265132</c:v>
                </c:pt>
                <c:pt idx="602">
                  <c:v>1.0375441090287909</c:v>
                </c:pt>
                <c:pt idx="603">
                  <c:v>1.0358263207688094</c:v>
                </c:pt>
                <c:pt idx="604">
                  <c:v>1.034114211147704</c:v>
                </c:pt>
                <c:pt idx="605">
                  <c:v>1.032407752053401</c:v>
                </c:pt>
                <c:pt idx="606">
                  <c:v>1.0307069155590789</c:v>
                </c:pt>
                <c:pt idx="607">
                  <c:v>1.0328947368421053</c:v>
                </c:pt>
                <c:pt idx="608">
                  <c:v>1.0311986863711</c:v>
                </c:pt>
                <c:pt idx="609">
                  <c:v>1.0295081967213116</c:v>
                </c:pt>
                <c:pt idx="610">
                  <c:v>1.0278232405891981</c:v>
                </c:pt>
                <c:pt idx="611">
                  <c:v>1.0261437908496733</c:v>
                </c:pt>
                <c:pt idx="612">
                  <c:v>1.0244698205546492</c:v>
                </c:pt>
                <c:pt idx="613">
                  <c:v>1.0228013029315961</c:v>
                </c:pt>
                <c:pt idx="614">
                  <c:v>1.0211382113821137</c:v>
                </c:pt>
                <c:pt idx="615">
                  <c:v>1.0194805194805194</c:v>
                </c:pt>
                <c:pt idx="616">
                  <c:v>1.0178282009724473</c:v>
                </c:pt>
                <c:pt idx="617">
                  <c:v>1.0161812297734629</c:v>
                </c:pt>
                <c:pt idx="618">
                  <c:v>1.0145395799676897</c:v>
                </c:pt>
                <c:pt idx="619">
                  <c:v>1.0129032258064516</c:v>
                </c:pt>
                <c:pt idx="620">
                  <c:v>1.0112721417069241</c:v>
                </c:pt>
                <c:pt idx="621">
                  <c:v>1.009646302250804</c:v>
                </c:pt>
                <c:pt idx="622">
                  <c:v>1.0080256821829854</c:v>
                </c:pt>
                <c:pt idx="623">
                  <c:v>1.0064102564102564</c:v>
                </c:pt>
                <c:pt idx="624">
                  <c:v>1.0047999999999999</c:v>
                </c:pt>
                <c:pt idx="625">
                  <c:v>1.0031948881789137</c:v>
                </c:pt>
                <c:pt idx="626">
                  <c:v>1.0015948963317383</c:v>
                </c:pt>
                <c:pt idx="6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D-4C83-AE61-3D51EE0F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81232"/>
        <c:axId val="820984472"/>
      </c:scatterChart>
      <c:valAx>
        <c:axId val="820981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4472"/>
        <c:crosses val="autoZero"/>
        <c:crossBetween val="midCat"/>
      </c:valAx>
      <c:valAx>
        <c:axId val="8209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C1838-5453-4964-94F7-67C06B13CDA7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C005E-6E88-46D6-9734-424A9EE45918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CFB37-112B-769E-F8FA-486AF12CCB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9EF36-7B58-150B-9A04-B16162A2AC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4DCB-D517-423C-B96C-D640CBD40C0A}">
  <dimension ref="A1:M1886"/>
  <sheetViews>
    <sheetView zoomScaleNormal="100" workbookViewId="0">
      <selection activeCell="B2" sqref="B2:B1886"/>
    </sheetView>
  </sheetViews>
  <sheetFormatPr baseColWidth="10" defaultColWidth="8.83203125" defaultRowHeight="15" x14ac:dyDescent="0.2"/>
  <cols>
    <col min="1" max="1" width="11.5" bestFit="1" customWidth="1"/>
    <col min="3" max="3" width="15.5" customWidth="1"/>
    <col min="7" max="7" width="10.1640625" bestFit="1" customWidth="1"/>
  </cols>
  <sheetData>
    <row r="1" spans="1:13" x14ac:dyDescent="0.2">
      <c r="A1" t="s">
        <v>18</v>
      </c>
      <c r="B1" t="s">
        <v>1</v>
      </c>
      <c r="C1" t="s">
        <v>19</v>
      </c>
      <c r="D1" t="s">
        <v>2</v>
      </c>
      <c r="E1" t="s">
        <v>0</v>
      </c>
      <c r="F1" t="s">
        <v>2</v>
      </c>
      <c r="G1" t="s">
        <v>0</v>
      </c>
      <c r="I1" t="s">
        <v>16</v>
      </c>
      <c r="J1" t="s">
        <v>17</v>
      </c>
      <c r="L1" t="s">
        <v>2</v>
      </c>
      <c r="M1" t="s">
        <v>0</v>
      </c>
    </row>
    <row r="2" spans="1:13" x14ac:dyDescent="0.2">
      <c r="A2" t="s">
        <v>2</v>
      </c>
      <c r="B2">
        <v>0.20626656069999999</v>
      </c>
      <c r="C2">
        <v>0</v>
      </c>
      <c r="D2">
        <f t="shared" ref="D2:E17" si="0">IF($A2=D$1,$C2,"")</f>
        <v>0</v>
      </c>
      <c r="E2" t="str">
        <f>IF($A2=E$1,$C2,"")</f>
        <v/>
      </c>
      <c r="F2">
        <f>IF($A2=F$1,$B2,"")</f>
        <v>0.20626656069999999</v>
      </c>
      <c r="G2" t="str">
        <f>IF($A2=G$1,$B2,"")</f>
        <v/>
      </c>
      <c r="I2">
        <v>1</v>
      </c>
      <c r="J2">
        <v>0</v>
      </c>
      <c r="L2">
        <f>COUNTIF(A:A,L1)</f>
        <v>1257</v>
      </c>
      <c r="M2">
        <f>COUNTIF(A:A,M1)</f>
        <v>628</v>
      </c>
    </row>
    <row r="3" spans="1:13" x14ac:dyDescent="0.2">
      <c r="A3" t="s">
        <v>0</v>
      </c>
      <c r="B3">
        <v>0.17124049259999999</v>
      </c>
      <c r="C3">
        <v>0</v>
      </c>
      <c r="D3" t="str">
        <f t="shared" si="0"/>
        <v/>
      </c>
      <c r="E3">
        <f t="shared" si="0"/>
        <v>0</v>
      </c>
      <c r="F3" t="str">
        <f t="shared" ref="F3:G66" si="1">IF($A3=F$1,$B3,"")</f>
        <v/>
      </c>
      <c r="G3">
        <f t="shared" si="1"/>
        <v>0.17124049259999999</v>
      </c>
    </row>
    <row r="4" spans="1:13" x14ac:dyDescent="0.2">
      <c r="A4" t="s">
        <v>2</v>
      </c>
      <c r="B4">
        <v>0.60734809909999998</v>
      </c>
      <c r="C4">
        <v>0</v>
      </c>
      <c r="D4">
        <f>IF($A4=D$1,$C4,"")</f>
        <v>0</v>
      </c>
      <c r="E4" t="str">
        <f t="shared" si="0"/>
        <v/>
      </c>
      <c r="F4">
        <f t="shared" si="1"/>
        <v>0.60734809909999998</v>
      </c>
      <c r="G4" t="str">
        <f t="shared" si="1"/>
        <v/>
      </c>
    </row>
    <row r="5" spans="1:13" x14ac:dyDescent="0.2">
      <c r="A5" t="s">
        <v>2</v>
      </c>
      <c r="B5">
        <v>0.75152179900000005</v>
      </c>
      <c r="C5">
        <v>1</v>
      </c>
      <c r="D5">
        <f t="shared" ref="D5:E68" si="2">IF($A5=D$1,$C5,"")</f>
        <v>1</v>
      </c>
      <c r="E5" t="str">
        <f t="shared" si="0"/>
        <v/>
      </c>
      <c r="F5">
        <f t="shared" si="1"/>
        <v>0.75152179900000005</v>
      </c>
      <c r="G5" t="str">
        <f t="shared" si="1"/>
        <v/>
      </c>
    </row>
    <row r="6" spans="1:13" x14ac:dyDescent="0.2">
      <c r="A6" t="s">
        <v>0</v>
      </c>
      <c r="B6">
        <v>0.1143510688</v>
      </c>
      <c r="C6">
        <v>0</v>
      </c>
      <c r="D6" t="str">
        <f t="shared" si="2"/>
        <v/>
      </c>
      <c r="E6">
        <f t="shared" si="0"/>
        <v>0</v>
      </c>
      <c r="F6" t="str">
        <f t="shared" si="1"/>
        <v/>
      </c>
      <c r="G6">
        <f t="shared" si="1"/>
        <v>0.1143510688</v>
      </c>
    </row>
    <row r="7" spans="1:13" x14ac:dyDescent="0.2">
      <c r="A7" t="s">
        <v>0</v>
      </c>
      <c r="B7">
        <v>0.59356082300000002</v>
      </c>
      <c r="C7">
        <v>0</v>
      </c>
      <c r="D7" t="str">
        <f t="shared" si="2"/>
        <v/>
      </c>
      <c r="E7">
        <f t="shared" si="0"/>
        <v>0</v>
      </c>
      <c r="F7" t="str">
        <f t="shared" si="1"/>
        <v/>
      </c>
      <c r="G7">
        <f t="shared" si="1"/>
        <v>0.59356082300000002</v>
      </c>
    </row>
    <row r="8" spans="1:13" x14ac:dyDescent="0.2">
      <c r="A8" t="s">
        <v>2</v>
      </c>
      <c r="B8">
        <v>0.26340089329999999</v>
      </c>
      <c r="C8">
        <v>0</v>
      </c>
      <c r="D8">
        <f t="shared" si="2"/>
        <v>0</v>
      </c>
      <c r="E8" t="str">
        <f t="shared" si="0"/>
        <v/>
      </c>
      <c r="F8">
        <f t="shared" si="1"/>
        <v>0.26340089329999999</v>
      </c>
      <c r="G8" t="str">
        <f t="shared" si="1"/>
        <v/>
      </c>
    </row>
    <row r="9" spans="1:13" x14ac:dyDescent="0.2">
      <c r="A9" t="s">
        <v>0</v>
      </c>
      <c r="B9">
        <v>0.17792830909999999</v>
      </c>
      <c r="C9">
        <v>0</v>
      </c>
      <c r="D9" t="str">
        <f t="shared" si="2"/>
        <v/>
      </c>
      <c r="E9">
        <f t="shared" si="0"/>
        <v>0</v>
      </c>
      <c r="F9" t="str">
        <f t="shared" si="1"/>
        <v/>
      </c>
      <c r="G9">
        <f t="shared" si="1"/>
        <v>0.17792830909999999</v>
      </c>
    </row>
    <row r="10" spans="1:13" x14ac:dyDescent="0.2">
      <c r="A10" t="s">
        <v>2</v>
      </c>
      <c r="B10">
        <v>0.62288853129999999</v>
      </c>
      <c r="C10">
        <v>0</v>
      </c>
      <c r="D10">
        <f t="shared" si="2"/>
        <v>0</v>
      </c>
      <c r="E10" t="str">
        <f t="shared" si="0"/>
        <v/>
      </c>
      <c r="F10">
        <f t="shared" si="1"/>
        <v>0.62288853129999999</v>
      </c>
      <c r="G10" t="str">
        <f t="shared" si="1"/>
        <v/>
      </c>
    </row>
    <row r="11" spans="1:13" x14ac:dyDescent="0.2">
      <c r="A11" t="s">
        <v>0</v>
      </c>
      <c r="B11">
        <v>0.44384207370000001</v>
      </c>
      <c r="C11">
        <v>0</v>
      </c>
      <c r="D11" t="str">
        <f t="shared" si="2"/>
        <v/>
      </c>
      <c r="E11">
        <f t="shared" si="0"/>
        <v>0</v>
      </c>
      <c r="F11" t="str">
        <f t="shared" si="1"/>
        <v/>
      </c>
      <c r="G11">
        <f t="shared" si="1"/>
        <v>0.44384207370000001</v>
      </c>
    </row>
    <row r="12" spans="1:13" x14ac:dyDescent="0.2">
      <c r="A12" t="s">
        <v>2</v>
      </c>
      <c r="B12">
        <v>0.44846860420000001</v>
      </c>
      <c r="C12">
        <v>0</v>
      </c>
      <c r="D12">
        <f t="shared" si="2"/>
        <v>0</v>
      </c>
      <c r="E12" t="str">
        <f t="shared" si="0"/>
        <v/>
      </c>
      <c r="F12">
        <f t="shared" si="1"/>
        <v>0.44846860420000001</v>
      </c>
      <c r="G12" t="str">
        <f t="shared" si="1"/>
        <v/>
      </c>
    </row>
    <row r="13" spans="1:13" x14ac:dyDescent="0.2">
      <c r="A13" t="s">
        <v>2</v>
      </c>
      <c r="B13">
        <v>0.84791580639999997</v>
      </c>
      <c r="C13">
        <v>1</v>
      </c>
      <c r="D13">
        <f t="shared" si="2"/>
        <v>1</v>
      </c>
      <c r="E13" t="str">
        <f t="shared" si="0"/>
        <v/>
      </c>
      <c r="F13">
        <f t="shared" si="1"/>
        <v>0.84791580639999997</v>
      </c>
      <c r="G13" t="str">
        <f t="shared" si="1"/>
        <v/>
      </c>
    </row>
    <row r="14" spans="1:13" x14ac:dyDescent="0.2">
      <c r="A14" t="s">
        <v>2</v>
      </c>
      <c r="B14">
        <v>0.29091376000000002</v>
      </c>
      <c r="C14">
        <v>0</v>
      </c>
      <c r="D14">
        <f t="shared" si="2"/>
        <v>0</v>
      </c>
      <c r="E14" t="str">
        <f t="shared" si="0"/>
        <v/>
      </c>
      <c r="F14">
        <f t="shared" si="1"/>
        <v>0.29091376000000002</v>
      </c>
      <c r="G14" t="str">
        <f t="shared" si="1"/>
        <v/>
      </c>
    </row>
    <row r="15" spans="1:13" x14ac:dyDescent="0.2">
      <c r="A15" t="s">
        <v>2</v>
      </c>
      <c r="B15">
        <v>0.51216064979999998</v>
      </c>
      <c r="C15">
        <v>0</v>
      </c>
      <c r="D15">
        <f t="shared" si="2"/>
        <v>0</v>
      </c>
      <c r="E15" t="str">
        <f t="shared" si="0"/>
        <v/>
      </c>
      <c r="F15">
        <f t="shared" si="1"/>
        <v>0.51216064979999998</v>
      </c>
      <c r="G15" t="str">
        <f t="shared" si="1"/>
        <v/>
      </c>
    </row>
    <row r="16" spans="1:13" x14ac:dyDescent="0.2">
      <c r="A16" t="s">
        <v>0</v>
      </c>
      <c r="B16">
        <v>0.38158511249999999</v>
      </c>
      <c r="C16">
        <v>1</v>
      </c>
      <c r="D16" t="str">
        <f t="shared" si="2"/>
        <v/>
      </c>
      <c r="E16">
        <f t="shared" si="0"/>
        <v>1</v>
      </c>
      <c r="F16" t="str">
        <f t="shared" si="1"/>
        <v/>
      </c>
      <c r="G16">
        <f t="shared" si="1"/>
        <v>0.38158511249999999</v>
      </c>
    </row>
    <row r="17" spans="1:7" x14ac:dyDescent="0.2">
      <c r="A17" t="s">
        <v>2</v>
      </c>
      <c r="B17">
        <v>0.22162594569999999</v>
      </c>
      <c r="C17">
        <v>1</v>
      </c>
      <c r="D17">
        <f t="shared" si="2"/>
        <v>1</v>
      </c>
      <c r="E17" t="str">
        <f t="shared" si="0"/>
        <v/>
      </c>
      <c r="F17">
        <f t="shared" si="1"/>
        <v>0.22162594569999999</v>
      </c>
      <c r="G17" t="str">
        <f t="shared" si="1"/>
        <v/>
      </c>
    </row>
    <row r="18" spans="1:7" x14ac:dyDescent="0.2">
      <c r="A18" t="s">
        <v>2</v>
      </c>
      <c r="B18">
        <v>0.1406520819</v>
      </c>
      <c r="C18">
        <v>1</v>
      </c>
      <c r="D18">
        <f t="shared" si="2"/>
        <v>1</v>
      </c>
      <c r="E18" t="str">
        <f t="shared" si="2"/>
        <v/>
      </c>
      <c r="F18">
        <f t="shared" si="1"/>
        <v>0.1406520819</v>
      </c>
      <c r="G18" t="str">
        <f t="shared" si="1"/>
        <v/>
      </c>
    </row>
    <row r="19" spans="1:7" x14ac:dyDescent="0.2">
      <c r="A19" t="s">
        <v>0</v>
      </c>
      <c r="B19">
        <v>0.31346335419999999</v>
      </c>
      <c r="C19">
        <v>0</v>
      </c>
      <c r="D19" t="str">
        <f t="shared" si="2"/>
        <v/>
      </c>
      <c r="E19">
        <f t="shared" si="2"/>
        <v>0</v>
      </c>
      <c r="F19" t="str">
        <f t="shared" si="1"/>
        <v/>
      </c>
      <c r="G19">
        <f t="shared" si="1"/>
        <v>0.31346335419999999</v>
      </c>
    </row>
    <row r="20" spans="1:7" x14ac:dyDescent="0.2">
      <c r="A20" t="s">
        <v>2</v>
      </c>
      <c r="B20">
        <v>0.58819833509999997</v>
      </c>
      <c r="C20">
        <v>1</v>
      </c>
      <c r="D20">
        <f t="shared" si="2"/>
        <v>1</v>
      </c>
      <c r="E20" t="str">
        <f t="shared" si="2"/>
        <v/>
      </c>
      <c r="F20">
        <f t="shared" si="1"/>
        <v>0.58819833509999997</v>
      </c>
      <c r="G20" t="str">
        <f t="shared" si="1"/>
        <v/>
      </c>
    </row>
    <row r="21" spans="1:7" x14ac:dyDescent="0.2">
      <c r="A21" t="s">
        <v>2</v>
      </c>
      <c r="B21">
        <v>0.27253556639999998</v>
      </c>
      <c r="C21">
        <v>1</v>
      </c>
      <c r="D21">
        <f t="shared" si="2"/>
        <v>1</v>
      </c>
      <c r="E21" t="str">
        <f t="shared" si="2"/>
        <v/>
      </c>
      <c r="F21">
        <f t="shared" si="1"/>
        <v>0.27253556639999998</v>
      </c>
      <c r="G21" t="str">
        <f t="shared" si="1"/>
        <v/>
      </c>
    </row>
    <row r="22" spans="1:7" x14ac:dyDescent="0.2">
      <c r="A22" t="s">
        <v>0</v>
      </c>
      <c r="B22">
        <v>0.32509615580000001</v>
      </c>
      <c r="C22">
        <v>1</v>
      </c>
      <c r="D22" t="str">
        <f t="shared" si="2"/>
        <v/>
      </c>
      <c r="E22">
        <f t="shared" si="2"/>
        <v>1</v>
      </c>
      <c r="F22" t="str">
        <f t="shared" si="1"/>
        <v/>
      </c>
      <c r="G22">
        <f t="shared" si="1"/>
        <v>0.32509615580000001</v>
      </c>
    </row>
    <row r="23" spans="1:7" x14ac:dyDescent="0.2">
      <c r="A23" t="s">
        <v>0</v>
      </c>
      <c r="B23">
        <v>0.41886100389999997</v>
      </c>
      <c r="C23">
        <v>1</v>
      </c>
      <c r="D23" t="str">
        <f t="shared" si="2"/>
        <v/>
      </c>
      <c r="E23">
        <f t="shared" si="2"/>
        <v>1</v>
      </c>
      <c r="F23" t="str">
        <f t="shared" si="1"/>
        <v/>
      </c>
      <c r="G23">
        <f t="shared" si="1"/>
        <v>0.41886100389999997</v>
      </c>
    </row>
    <row r="24" spans="1:7" x14ac:dyDescent="0.2">
      <c r="A24" t="s">
        <v>0</v>
      </c>
      <c r="B24">
        <v>9.1457831599999997E-2</v>
      </c>
      <c r="C24">
        <v>0</v>
      </c>
      <c r="D24" t="str">
        <f t="shared" si="2"/>
        <v/>
      </c>
      <c r="E24">
        <f t="shared" si="2"/>
        <v>0</v>
      </c>
      <c r="F24" t="str">
        <f t="shared" si="1"/>
        <v/>
      </c>
      <c r="G24">
        <f t="shared" si="1"/>
        <v>9.1457831599999997E-2</v>
      </c>
    </row>
    <row r="25" spans="1:7" x14ac:dyDescent="0.2">
      <c r="A25" t="s">
        <v>2</v>
      </c>
      <c r="B25">
        <v>0.2560023803</v>
      </c>
      <c r="C25">
        <v>1</v>
      </c>
      <c r="D25">
        <f t="shared" si="2"/>
        <v>1</v>
      </c>
      <c r="E25" t="str">
        <f t="shared" si="2"/>
        <v/>
      </c>
      <c r="F25">
        <f t="shared" si="1"/>
        <v>0.2560023803</v>
      </c>
      <c r="G25" t="str">
        <f t="shared" si="1"/>
        <v/>
      </c>
    </row>
    <row r="26" spans="1:7" x14ac:dyDescent="0.2">
      <c r="A26" t="s">
        <v>2</v>
      </c>
      <c r="B26">
        <v>9.9490548700000001E-2</v>
      </c>
      <c r="C26">
        <v>0</v>
      </c>
      <c r="D26">
        <f t="shared" si="2"/>
        <v>0</v>
      </c>
      <c r="E26" t="str">
        <f t="shared" si="2"/>
        <v/>
      </c>
      <c r="F26">
        <f t="shared" si="1"/>
        <v>9.9490548700000001E-2</v>
      </c>
      <c r="G26" t="str">
        <f t="shared" si="1"/>
        <v/>
      </c>
    </row>
    <row r="27" spans="1:7" x14ac:dyDescent="0.2">
      <c r="A27" t="s">
        <v>2</v>
      </c>
      <c r="B27">
        <v>0.30981481319999998</v>
      </c>
      <c r="C27">
        <v>0</v>
      </c>
      <c r="D27">
        <f t="shared" si="2"/>
        <v>0</v>
      </c>
      <c r="E27" t="str">
        <f t="shared" si="2"/>
        <v/>
      </c>
      <c r="F27">
        <f t="shared" si="1"/>
        <v>0.30981481319999998</v>
      </c>
      <c r="G27" t="str">
        <f t="shared" si="1"/>
        <v/>
      </c>
    </row>
    <row r="28" spans="1:7" x14ac:dyDescent="0.2">
      <c r="A28" t="s">
        <v>2</v>
      </c>
      <c r="B28">
        <v>0.48916292080000001</v>
      </c>
      <c r="C28">
        <v>0</v>
      </c>
      <c r="D28">
        <f t="shared" si="2"/>
        <v>0</v>
      </c>
      <c r="E28" t="str">
        <f t="shared" si="2"/>
        <v/>
      </c>
      <c r="F28">
        <f t="shared" si="1"/>
        <v>0.48916292080000001</v>
      </c>
      <c r="G28" t="str">
        <f t="shared" si="1"/>
        <v/>
      </c>
    </row>
    <row r="29" spans="1:7" x14ac:dyDescent="0.2">
      <c r="A29" t="s">
        <v>2</v>
      </c>
      <c r="B29">
        <v>0.66392858460000004</v>
      </c>
      <c r="C29">
        <v>1</v>
      </c>
      <c r="D29">
        <f t="shared" si="2"/>
        <v>1</v>
      </c>
      <c r="E29" t="str">
        <f t="shared" si="2"/>
        <v/>
      </c>
      <c r="F29">
        <f t="shared" si="1"/>
        <v>0.66392858460000004</v>
      </c>
      <c r="G29" t="str">
        <f t="shared" si="1"/>
        <v/>
      </c>
    </row>
    <row r="30" spans="1:7" x14ac:dyDescent="0.2">
      <c r="A30" t="s">
        <v>2</v>
      </c>
      <c r="B30">
        <v>0.555248034</v>
      </c>
      <c r="C30">
        <v>1</v>
      </c>
      <c r="D30">
        <f t="shared" si="2"/>
        <v>1</v>
      </c>
      <c r="E30" t="str">
        <f t="shared" si="2"/>
        <v/>
      </c>
      <c r="F30">
        <f t="shared" si="1"/>
        <v>0.555248034</v>
      </c>
      <c r="G30" t="str">
        <f t="shared" si="1"/>
        <v/>
      </c>
    </row>
    <row r="31" spans="1:7" x14ac:dyDescent="0.2">
      <c r="A31" t="s">
        <v>0</v>
      </c>
      <c r="B31">
        <v>0.44559702289999997</v>
      </c>
      <c r="C31">
        <v>1</v>
      </c>
      <c r="D31" t="str">
        <f t="shared" si="2"/>
        <v/>
      </c>
      <c r="E31">
        <f t="shared" si="2"/>
        <v>1</v>
      </c>
      <c r="F31" t="str">
        <f t="shared" si="1"/>
        <v/>
      </c>
      <c r="G31">
        <f t="shared" si="1"/>
        <v>0.44559702289999997</v>
      </c>
    </row>
    <row r="32" spans="1:7" x14ac:dyDescent="0.2">
      <c r="A32" t="s">
        <v>2</v>
      </c>
      <c r="B32">
        <v>0.14623561390000001</v>
      </c>
      <c r="C32">
        <v>1</v>
      </c>
      <c r="D32">
        <f t="shared" si="2"/>
        <v>1</v>
      </c>
      <c r="E32" t="str">
        <f t="shared" si="2"/>
        <v/>
      </c>
      <c r="F32">
        <f t="shared" si="1"/>
        <v>0.14623561390000001</v>
      </c>
      <c r="G32" t="str">
        <f t="shared" si="1"/>
        <v/>
      </c>
    </row>
    <row r="33" spans="1:7" x14ac:dyDescent="0.2">
      <c r="A33" t="s">
        <v>0</v>
      </c>
      <c r="B33">
        <v>0.70446763779999999</v>
      </c>
      <c r="C33">
        <v>0</v>
      </c>
      <c r="D33" t="str">
        <f t="shared" si="2"/>
        <v/>
      </c>
      <c r="E33">
        <f t="shared" si="2"/>
        <v>0</v>
      </c>
      <c r="F33" t="str">
        <f t="shared" si="1"/>
        <v/>
      </c>
      <c r="G33">
        <f t="shared" si="1"/>
        <v>0.70446763779999999</v>
      </c>
    </row>
    <row r="34" spans="1:7" x14ac:dyDescent="0.2">
      <c r="A34" t="s">
        <v>2</v>
      </c>
      <c r="B34">
        <v>0.3585585329</v>
      </c>
      <c r="C34">
        <v>0</v>
      </c>
      <c r="D34">
        <f t="shared" si="2"/>
        <v>0</v>
      </c>
      <c r="E34" t="str">
        <f t="shared" si="2"/>
        <v/>
      </c>
      <c r="F34">
        <f t="shared" si="1"/>
        <v>0.3585585329</v>
      </c>
      <c r="G34" t="str">
        <f t="shared" si="1"/>
        <v/>
      </c>
    </row>
    <row r="35" spans="1:7" x14ac:dyDescent="0.2">
      <c r="A35" t="s">
        <v>2</v>
      </c>
      <c r="B35">
        <v>0.77922439259999998</v>
      </c>
      <c r="C35">
        <v>1</v>
      </c>
      <c r="D35">
        <f t="shared" si="2"/>
        <v>1</v>
      </c>
      <c r="E35" t="str">
        <f t="shared" si="2"/>
        <v/>
      </c>
      <c r="F35">
        <f t="shared" si="1"/>
        <v>0.77922439259999998</v>
      </c>
      <c r="G35" t="str">
        <f t="shared" si="1"/>
        <v/>
      </c>
    </row>
    <row r="36" spans="1:7" x14ac:dyDescent="0.2">
      <c r="A36" t="s">
        <v>2</v>
      </c>
      <c r="B36">
        <v>0.274536267</v>
      </c>
      <c r="C36">
        <v>1</v>
      </c>
      <c r="D36">
        <f t="shared" si="2"/>
        <v>1</v>
      </c>
      <c r="E36" t="str">
        <f t="shared" si="2"/>
        <v/>
      </c>
      <c r="F36">
        <f t="shared" si="1"/>
        <v>0.274536267</v>
      </c>
      <c r="G36" t="str">
        <f t="shared" si="1"/>
        <v/>
      </c>
    </row>
    <row r="37" spans="1:7" x14ac:dyDescent="0.2">
      <c r="A37" t="s">
        <v>2</v>
      </c>
      <c r="B37">
        <v>0.37072451049999999</v>
      </c>
      <c r="C37">
        <v>0</v>
      </c>
      <c r="D37">
        <f t="shared" si="2"/>
        <v>0</v>
      </c>
      <c r="E37" t="str">
        <f t="shared" si="2"/>
        <v/>
      </c>
      <c r="F37">
        <f t="shared" si="1"/>
        <v>0.37072451049999999</v>
      </c>
      <c r="G37" t="str">
        <f t="shared" si="1"/>
        <v/>
      </c>
    </row>
    <row r="38" spans="1:7" x14ac:dyDescent="0.2">
      <c r="A38" t="s">
        <v>2</v>
      </c>
      <c r="B38">
        <v>0.16775358430000001</v>
      </c>
      <c r="C38">
        <v>0</v>
      </c>
      <c r="D38">
        <f t="shared" si="2"/>
        <v>0</v>
      </c>
      <c r="E38" t="str">
        <f t="shared" si="2"/>
        <v/>
      </c>
      <c r="F38">
        <f t="shared" si="1"/>
        <v>0.16775358430000001</v>
      </c>
      <c r="G38" t="str">
        <f t="shared" si="1"/>
        <v/>
      </c>
    </row>
    <row r="39" spans="1:7" x14ac:dyDescent="0.2">
      <c r="A39" t="s">
        <v>0</v>
      </c>
      <c r="B39">
        <v>0.35645887570000001</v>
      </c>
      <c r="C39">
        <v>1</v>
      </c>
      <c r="D39" t="str">
        <f t="shared" si="2"/>
        <v/>
      </c>
      <c r="E39">
        <f t="shared" si="2"/>
        <v>1</v>
      </c>
      <c r="F39" t="str">
        <f t="shared" si="1"/>
        <v/>
      </c>
      <c r="G39">
        <f t="shared" si="1"/>
        <v>0.35645887570000001</v>
      </c>
    </row>
    <row r="40" spans="1:7" x14ac:dyDescent="0.2">
      <c r="A40" t="s">
        <v>2</v>
      </c>
      <c r="B40">
        <v>0.3756955797</v>
      </c>
      <c r="C40">
        <v>1</v>
      </c>
      <c r="D40">
        <f t="shared" si="2"/>
        <v>1</v>
      </c>
      <c r="E40" t="str">
        <f t="shared" si="2"/>
        <v/>
      </c>
      <c r="F40">
        <f t="shared" si="1"/>
        <v>0.3756955797</v>
      </c>
      <c r="G40" t="str">
        <f t="shared" si="1"/>
        <v/>
      </c>
    </row>
    <row r="41" spans="1:7" x14ac:dyDescent="0.2">
      <c r="A41" t="s">
        <v>2</v>
      </c>
      <c r="B41">
        <v>0.71664144429999999</v>
      </c>
      <c r="C41">
        <v>0</v>
      </c>
      <c r="D41">
        <f t="shared" si="2"/>
        <v>0</v>
      </c>
      <c r="E41" t="str">
        <f t="shared" si="2"/>
        <v/>
      </c>
      <c r="F41">
        <f t="shared" si="1"/>
        <v>0.71664144429999999</v>
      </c>
      <c r="G41" t="str">
        <f t="shared" si="1"/>
        <v/>
      </c>
    </row>
    <row r="42" spans="1:7" x14ac:dyDescent="0.2">
      <c r="A42" t="s">
        <v>0</v>
      </c>
      <c r="B42">
        <v>0.33327691209999999</v>
      </c>
      <c r="C42">
        <v>0</v>
      </c>
      <c r="D42" t="str">
        <f t="shared" si="2"/>
        <v/>
      </c>
      <c r="E42">
        <f t="shared" si="2"/>
        <v>0</v>
      </c>
      <c r="F42" t="str">
        <f t="shared" si="1"/>
        <v/>
      </c>
      <c r="G42">
        <f t="shared" si="1"/>
        <v>0.33327691209999999</v>
      </c>
    </row>
    <row r="43" spans="1:7" x14ac:dyDescent="0.2">
      <c r="A43" t="s">
        <v>0</v>
      </c>
      <c r="B43">
        <v>0.4930834784</v>
      </c>
      <c r="C43">
        <v>1</v>
      </c>
      <c r="D43" t="str">
        <f t="shared" si="2"/>
        <v/>
      </c>
      <c r="E43">
        <f t="shared" si="2"/>
        <v>1</v>
      </c>
      <c r="F43" t="str">
        <f t="shared" si="1"/>
        <v/>
      </c>
      <c r="G43">
        <f t="shared" si="1"/>
        <v>0.4930834784</v>
      </c>
    </row>
    <row r="44" spans="1:7" x14ac:dyDescent="0.2">
      <c r="A44" t="s">
        <v>2</v>
      </c>
      <c r="B44">
        <v>0.4766266073</v>
      </c>
      <c r="C44">
        <v>1</v>
      </c>
      <c r="D44">
        <f t="shared" si="2"/>
        <v>1</v>
      </c>
      <c r="E44" t="str">
        <f t="shared" si="2"/>
        <v/>
      </c>
      <c r="F44">
        <f t="shared" si="1"/>
        <v>0.4766266073</v>
      </c>
      <c r="G44" t="str">
        <f t="shared" si="1"/>
        <v/>
      </c>
    </row>
    <row r="45" spans="1:7" x14ac:dyDescent="0.2">
      <c r="A45" t="s">
        <v>0</v>
      </c>
      <c r="B45">
        <v>0.55403900760000002</v>
      </c>
      <c r="C45">
        <v>0</v>
      </c>
      <c r="D45" t="str">
        <f t="shared" si="2"/>
        <v/>
      </c>
      <c r="E45">
        <f t="shared" si="2"/>
        <v>0</v>
      </c>
      <c r="F45" t="str">
        <f t="shared" si="1"/>
        <v/>
      </c>
      <c r="G45">
        <f t="shared" si="1"/>
        <v>0.55403900760000002</v>
      </c>
    </row>
    <row r="46" spans="1:7" x14ac:dyDescent="0.2">
      <c r="A46" t="s">
        <v>2</v>
      </c>
      <c r="B46">
        <v>0.78964496880000001</v>
      </c>
      <c r="C46">
        <v>1</v>
      </c>
      <c r="D46">
        <f t="shared" si="2"/>
        <v>1</v>
      </c>
      <c r="E46" t="str">
        <f t="shared" si="2"/>
        <v/>
      </c>
      <c r="F46">
        <f t="shared" si="1"/>
        <v>0.78964496880000001</v>
      </c>
      <c r="G46" t="str">
        <f t="shared" si="1"/>
        <v/>
      </c>
    </row>
    <row r="47" spans="1:7" x14ac:dyDescent="0.2">
      <c r="A47" t="s">
        <v>2</v>
      </c>
      <c r="B47">
        <v>0.13167657190000001</v>
      </c>
      <c r="C47">
        <v>0</v>
      </c>
      <c r="D47">
        <f t="shared" si="2"/>
        <v>0</v>
      </c>
      <c r="E47" t="str">
        <f t="shared" si="2"/>
        <v/>
      </c>
      <c r="F47">
        <f t="shared" si="1"/>
        <v>0.13167657190000001</v>
      </c>
      <c r="G47" t="str">
        <f t="shared" si="1"/>
        <v/>
      </c>
    </row>
    <row r="48" spans="1:7" x14ac:dyDescent="0.2">
      <c r="A48" t="s">
        <v>0</v>
      </c>
      <c r="B48">
        <v>0.1107392405</v>
      </c>
      <c r="C48">
        <v>0</v>
      </c>
      <c r="D48" t="str">
        <f t="shared" si="2"/>
        <v/>
      </c>
      <c r="E48">
        <f t="shared" si="2"/>
        <v>0</v>
      </c>
      <c r="F48" t="str">
        <f t="shared" si="1"/>
        <v/>
      </c>
      <c r="G48">
        <f t="shared" si="1"/>
        <v>0.1107392405</v>
      </c>
    </row>
    <row r="49" spans="1:7" x14ac:dyDescent="0.2">
      <c r="A49" t="s">
        <v>2</v>
      </c>
      <c r="B49">
        <v>0.42700941609999998</v>
      </c>
      <c r="C49">
        <v>1</v>
      </c>
      <c r="D49">
        <f t="shared" si="2"/>
        <v>1</v>
      </c>
      <c r="E49" t="str">
        <f t="shared" si="2"/>
        <v/>
      </c>
      <c r="F49">
        <f t="shared" si="1"/>
        <v>0.42700941609999998</v>
      </c>
      <c r="G49" t="str">
        <f t="shared" si="1"/>
        <v/>
      </c>
    </row>
    <row r="50" spans="1:7" x14ac:dyDescent="0.2">
      <c r="A50" t="s">
        <v>0</v>
      </c>
      <c r="B50">
        <v>0.85417497929999997</v>
      </c>
      <c r="C50">
        <v>0</v>
      </c>
      <c r="D50" t="str">
        <f t="shared" si="2"/>
        <v/>
      </c>
      <c r="E50">
        <f t="shared" si="2"/>
        <v>0</v>
      </c>
      <c r="F50" t="str">
        <f t="shared" si="1"/>
        <v/>
      </c>
      <c r="G50">
        <f t="shared" si="1"/>
        <v>0.85417497929999997</v>
      </c>
    </row>
    <row r="51" spans="1:7" x14ac:dyDescent="0.2">
      <c r="A51" t="s">
        <v>2</v>
      </c>
      <c r="B51">
        <v>0.6323282911</v>
      </c>
      <c r="C51">
        <v>0</v>
      </c>
      <c r="D51">
        <f t="shared" si="2"/>
        <v>0</v>
      </c>
      <c r="E51" t="str">
        <f t="shared" si="2"/>
        <v/>
      </c>
      <c r="F51">
        <f t="shared" si="1"/>
        <v>0.6323282911</v>
      </c>
      <c r="G51" t="str">
        <f t="shared" si="1"/>
        <v/>
      </c>
    </row>
    <row r="52" spans="1:7" x14ac:dyDescent="0.2">
      <c r="A52" t="s">
        <v>2</v>
      </c>
      <c r="B52">
        <v>0.85727229439999997</v>
      </c>
      <c r="C52">
        <v>1</v>
      </c>
      <c r="D52">
        <f t="shared" si="2"/>
        <v>1</v>
      </c>
      <c r="E52" t="str">
        <f t="shared" si="2"/>
        <v/>
      </c>
      <c r="F52">
        <f t="shared" si="1"/>
        <v>0.85727229439999997</v>
      </c>
      <c r="G52" t="str">
        <f t="shared" si="1"/>
        <v/>
      </c>
    </row>
    <row r="53" spans="1:7" x14ac:dyDescent="0.2">
      <c r="A53" t="s">
        <v>0</v>
      </c>
      <c r="B53">
        <v>0.37779663749999998</v>
      </c>
      <c r="C53">
        <v>0</v>
      </c>
      <c r="D53" t="str">
        <f t="shared" si="2"/>
        <v/>
      </c>
      <c r="E53">
        <f t="shared" si="2"/>
        <v>0</v>
      </c>
      <c r="F53" t="str">
        <f t="shared" si="1"/>
        <v/>
      </c>
      <c r="G53">
        <f t="shared" si="1"/>
        <v>0.37779663749999998</v>
      </c>
    </row>
    <row r="54" spans="1:7" x14ac:dyDescent="0.2">
      <c r="A54" t="s">
        <v>0</v>
      </c>
      <c r="B54">
        <v>0.67415537189999997</v>
      </c>
      <c r="C54">
        <v>1</v>
      </c>
      <c r="D54" t="str">
        <f t="shared" si="2"/>
        <v/>
      </c>
      <c r="E54">
        <f t="shared" si="2"/>
        <v>1</v>
      </c>
      <c r="F54" t="str">
        <f t="shared" si="1"/>
        <v/>
      </c>
      <c r="G54">
        <f t="shared" si="1"/>
        <v>0.67415537189999997</v>
      </c>
    </row>
    <row r="55" spans="1:7" x14ac:dyDescent="0.2">
      <c r="A55" t="s">
        <v>0</v>
      </c>
      <c r="B55">
        <v>0.79214336119999995</v>
      </c>
      <c r="C55">
        <v>0</v>
      </c>
      <c r="D55" t="str">
        <f t="shared" si="2"/>
        <v/>
      </c>
      <c r="E55">
        <f t="shared" si="2"/>
        <v>0</v>
      </c>
      <c r="F55" t="str">
        <f t="shared" si="1"/>
        <v/>
      </c>
      <c r="G55">
        <f t="shared" si="1"/>
        <v>0.79214336119999995</v>
      </c>
    </row>
    <row r="56" spans="1:7" x14ac:dyDescent="0.2">
      <c r="A56" t="s">
        <v>0</v>
      </c>
      <c r="B56">
        <v>0.74708332479999995</v>
      </c>
      <c r="C56">
        <v>1</v>
      </c>
      <c r="D56" t="str">
        <f t="shared" si="2"/>
        <v/>
      </c>
      <c r="E56">
        <f t="shared" si="2"/>
        <v>1</v>
      </c>
      <c r="F56" t="str">
        <f t="shared" si="1"/>
        <v/>
      </c>
      <c r="G56">
        <f t="shared" si="1"/>
        <v>0.74708332479999995</v>
      </c>
    </row>
    <row r="57" spans="1:7" x14ac:dyDescent="0.2">
      <c r="A57" t="s">
        <v>2</v>
      </c>
      <c r="B57">
        <v>0.77420878790000003</v>
      </c>
      <c r="C57">
        <v>1</v>
      </c>
      <c r="D57">
        <f t="shared" si="2"/>
        <v>1</v>
      </c>
      <c r="E57" t="str">
        <f t="shared" si="2"/>
        <v/>
      </c>
      <c r="F57">
        <f t="shared" si="1"/>
        <v>0.77420878790000003</v>
      </c>
      <c r="G57" t="str">
        <f t="shared" si="1"/>
        <v/>
      </c>
    </row>
    <row r="58" spans="1:7" x14ac:dyDescent="0.2">
      <c r="A58" t="s">
        <v>2</v>
      </c>
      <c r="B58">
        <v>0.21000868149999999</v>
      </c>
      <c r="C58">
        <v>0</v>
      </c>
      <c r="D58">
        <f t="shared" si="2"/>
        <v>0</v>
      </c>
      <c r="E58" t="str">
        <f t="shared" si="2"/>
        <v/>
      </c>
      <c r="F58">
        <f t="shared" si="1"/>
        <v>0.21000868149999999</v>
      </c>
      <c r="G58" t="str">
        <f t="shared" si="1"/>
        <v/>
      </c>
    </row>
    <row r="59" spans="1:7" x14ac:dyDescent="0.2">
      <c r="A59" t="s">
        <v>2</v>
      </c>
      <c r="B59">
        <v>0.33842059219999998</v>
      </c>
      <c r="C59">
        <v>1</v>
      </c>
      <c r="D59">
        <f t="shared" si="2"/>
        <v>1</v>
      </c>
      <c r="E59" t="str">
        <f t="shared" si="2"/>
        <v/>
      </c>
      <c r="F59">
        <f t="shared" si="1"/>
        <v>0.33842059219999998</v>
      </c>
      <c r="G59" t="str">
        <f t="shared" si="1"/>
        <v/>
      </c>
    </row>
    <row r="60" spans="1:7" x14ac:dyDescent="0.2">
      <c r="A60" t="s">
        <v>2</v>
      </c>
      <c r="B60">
        <v>0.50594577159999998</v>
      </c>
      <c r="C60">
        <v>1</v>
      </c>
      <c r="D60">
        <f t="shared" si="2"/>
        <v>1</v>
      </c>
      <c r="E60" t="str">
        <f t="shared" si="2"/>
        <v/>
      </c>
      <c r="F60">
        <f t="shared" si="1"/>
        <v>0.50594577159999998</v>
      </c>
      <c r="G60" t="str">
        <f t="shared" si="1"/>
        <v/>
      </c>
    </row>
    <row r="61" spans="1:7" x14ac:dyDescent="0.2">
      <c r="A61" t="s">
        <v>2</v>
      </c>
      <c r="B61">
        <v>0.49062352409999999</v>
      </c>
      <c r="C61">
        <v>1</v>
      </c>
      <c r="D61">
        <f t="shared" si="2"/>
        <v>1</v>
      </c>
      <c r="E61" t="str">
        <f t="shared" si="2"/>
        <v/>
      </c>
      <c r="F61">
        <f t="shared" si="1"/>
        <v>0.49062352409999999</v>
      </c>
      <c r="G61" t="str">
        <f t="shared" si="1"/>
        <v/>
      </c>
    </row>
    <row r="62" spans="1:7" x14ac:dyDescent="0.2">
      <c r="A62" t="s">
        <v>2</v>
      </c>
      <c r="B62">
        <v>0.11902390760000001</v>
      </c>
      <c r="C62">
        <v>0</v>
      </c>
      <c r="D62">
        <f t="shared" si="2"/>
        <v>0</v>
      </c>
      <c r="E62" t="str">
        <f t="shared" si="2"/>
        <v/>
      </c>
      <c r="F62">
        <f t="shared" si="1"/>
        <v>0.11902390760000001</v>
      </c>
      <c r="G62" t="str">
        <f t="shared" si="1"/>
        <v/>
      </c>
    </row>
    <row r="63" spans="1:7" x14ac:dyDescent="0.2">
      <c r="A63" t="s">
        <v>2</v>
      </c>
      <c r="B63">
        <v>0.68335339500000003</v>
      </c>
      <c r="C63">
        <v>1</v>
      </c>
      <c r="D63">
        <f t="shared" si="2"/>
        <v>1</v>
      </c>
      <c r="E63" t="str">
        <f t="shared" si="2"/>
        <v/>
      </c>
      <c r="F63">
        <f t="shared" si="1"/>
        <v>0.68335339500000003</v>
      </c>
      <c r="G63" t="str">
        <f t="shared" si="1"/>
        <v/>
      </c>
    </row>
    <row r="64" spans="1:7" x14ac:dyDescent="0.2">
      <c r="A64" t="s">
        <v>2</v>
      </c>
      <c r="B64">
        <v>0.74923380250000005</v>
      </c>
      <c r="C64">
        <v>1</v>
      </c>
      <c r="D64">
        <f t="shared" si="2"/>
        <v>1</v>
      </c>
      <c r="E64" t="str">
        <f t="shared" si="2"/>
        <v/>
      </c>
      <c r="F64">
        <f t="shared" si="1"/>
        <v>0.74923380250000005</v>
      </c>
      <c r="G64" t="str">
        <f t="shared" si="1"/>
        <v/>
      </c>
    </row>
    <row r="65" spans="1:7" x14ac:dyDescent="0.2">
      <c r="A65" t="s">
        <v>0</v>
      </c>
      <c r="B65">
        <v>0.58356146870000003</v>
      </c>
      <c r="C65">
        <v>1</v>
      </c>
      <c r="D65" t="str">
        <f t="shared" si="2"/>
        <v/>
      </c>
      <c r="E65">
        <f t="shared" si="2"/>
        <v>1</v>
      </c>
      <c r="F65" t="str">
        <f t="shared" si="1"/>
        <v/>
      </c>
      <c r="G65">
        <f t="shared" si="1"/>
        <v>0.58356146870000003</v>
      </c>
    </row>
    <row r="66" spans="1:7" x14ac:dyDescent="0.2">
      <c r="A66" t="s">
        <v>2</v>
      </c>
      <c r="B66">
        <v>0.20749646299999999</v>
      </c>
      <c r="C66">
        <v>0</v>
      </c>
      <c r="D66">
        <f t="shared" si="2"/>
        <v>0</v>
      </c>
      <c r="E66" t="str">
        <f t="shared" si="2"/>
        <v/>
      </c>
      <c r="F66">
        <f t="shared" si="1"/>
        <v>0.20749646299999999</v>
      </c>
      <c r="G66" t="str">
        <f t="shared" si="1"/>
        <v/>
      </c>
    </row>
    <row r="67" spans="1:7" x14ac:dyDescent="0.2">
      <c r="A67" t="s">
        <v>2</v>
      </c>
      <c r="B67">
        <v>0.18507019089999999</v>
      </c>
      <c r="C67">
        <v>1</v>
      </c>
      <c r="D67">
        <f t="shared" si="2"/>
        <v>1</v>
      </c>
      <c r="E67" t="str">
        <f t="shared" si="2"/>
        <v/>
      </c>
      <c r="F67">
        <f t="shared" ref="F67:G130" si="3">IF($A67=F$1,$B67,"")</f>
        <v>0.18507019089999999</v>
      </c>
      <c r="G67" t="str">
        <f t="shared" si="3"/>
        <v/>
      </c>
    </row>
    <row r="68" spans="1:7" x14ac:dyDescent="0.2">
      <c r="A68" t="s">
        <v>2</v>
      </c>
      <c r="B68">
        <v>0.32509615580000001</v>
      </c>
      <c r="C68">
        <v>1</v>
      </c>
      <c r="D68">
        <f t="shared" si="2"/>
        <v>1</v>
      </c>
      <c r="E68" t="str">
        <f t="shared" si="2"/>
        <v/>
      </c>
      <c r="F68">
        <f t="shared" si="3"/>
        <v>0.32509615580000001</v>
      </c>
      <c r="G68" t="str">
        <f t="shared" si="3"/>
        <v/>
      </c>
    </row>
    <row r="69" spans="1:7" x14ac:dyDescent="0.2">
      <c r="A69" t="s">
        <v>2</v>
      </c>
      <c r="B69">
        <v>0.1220833529</v>
      </c>
      <c r="C69">
        <v>0</v>
      </c>
      <c r="D69">
        <f t="shared" ref="D69:E132" si="4">IF($A69=D$1,$C69,"")</f>
        <v>0</v>
      </c>
      <c r="E69" t="str">
        <f t="shared" si="4"/>
        <v/>
      </c>
      <c r="F69">
        <f t="shared" si="3"/>
        <v>0.1220833529</v>
      </c>
      <c r="G69" t="str">
        <f t="shared" si="3"/>
        <v/>
      </c>
    </row>
    <row r="70" spans="1:7" x14ac:dyDescent="0.2">
      <c r="A70" t="s">
        <v>0</v>
      </c>
      <c r="B70">
        <v>0.25387650049999999</v>
      </c>
      <c r="C70">
        <v>0</v>
      </c>
      <c r="D70" t="str">
        <f t="shared" si="4"/>
        <v/>
      </c>
      <c r="E70">
        <f t="shared" si="4"/>
        <v>0</v>
      </c>
      <c r="F70" t="str">
        <f t="shared" si="3"/>
        <v/>
      </c>
      <c r="G70">
        <f t="shared" si="3"/>
        <v>0.25387650049999999</v>
      </c>
    </row>
    <row r="71" spans="1:7" x14ac:dyDescent="0.2">
      <c r="A71" t="s">
        <v>2</v>
      </c>
      <c r="B71">
        <v>0.1735767876</v>
      </c>
      <c r="C71">
        <v>0</v>
      </c>
      <c r="D71">
        <f t="shared" si="4"/>
        <v>0</v>
      </c>
      <c r="E71" t="str">
        <f t="shared" si="4"/>
        <v/>
      </c>
      <c r="F71">
        <f t="shared" si="3"/>
        <v>0.1735767876</v>
      </c>
      <c r="G71" t="str">
        <f t="shared" si="3"/>
        <v/>
      </c>
    </row>
    <row r="72" spans="1:7" x14ac:dyDescent="0.2">
      <c r="A72" t="s">
        <v>2</v>
      </c>
      <c r="B72">
        <v>0.33470641769999998</v>
      </c>
      <c r="C72">
        <v>1</v>
      </c>
      <c r="D72">
        <f t="shared" si="4"/>
        <v>1</v>
      </c>
      <c r="E72" t="str">
        <f t="shared" si="4"/>
        <v/>
      </c>
      <c r="F72">
        <f t="shared" si="3"/>
        <v>0.33470641769999998</v>
      </c>
      <c r="G72" t="str">
        <f t="shared" si="3"/>
        <v/>
      </c>
    </row>
    <row r="73" spans="1:7" x14ac:dyDescent="0.2">
      <c r="A73" t="s">
        <v>2</v>
      </c>
      <c r="B73">
        <v>0.46213758030000002</v>
      </c>
      <c r="C73">
        <v>0</v>
      </c>
      <c r="D73">
        <f t="shared" si="4"/>
        <v>0</v>
      </c>
      <c r="E73" t="str">
        <f t="shared" si="4"/>
        <v/>
      </c>
      <c r="F73">
        <f t="shared" si="3"/>
        <v>0.46213758030000002</v>
      </c>
      <c r="G73" t="str">
        <f t="shared" si="3"/>
        <v/>
      </c>
    </row>
    <row r="74" spans="1:7" x14ac:dyDescent="0.2">
      <c r="A74" t="s">
        <v>2</v>
      </c>
      <c r="B74">
        <v>0.47040780040000002</v>
      </c>
      <c r="C74">
        <v>0</v>
      </c>
      <c r="D74">
        <f t="shared" si="4"/>
        <v>0</v>
      </c>
      <c r="E74" t="str">
        <f t="shared" si="4"/>
        <v/>
      </c>
      <c r="F74">
        <f t="shared" si="3"/>
        <v>0.47040780040000002</v>
      </c>
      <c r="G74" t="str">
        <f t="shared" si="3"/>
        <v/>
      </c>
    </row>
    <row r="75" spans="1:7" x14ac:dyDescent="0.2">
      <c r="A75" t="s">
        <v>2</v>
      </c>
      <c r="B75">
        <v>0.19787421099999999</v>
      </c>
      <c r="C75">
        <v>0</v>
      </c>
      <c r="D75">
        <f t="shared" si="4"/>
        <v>0</v>
      </c>
      <c r="E75" t="str">
        <f t="shared" si="4"/>
        <v/>
      </c>
      <c r="F75">
        <f t="shared" si="3"/>
        <v>0.19787421099999999</v>
      </c>
      <c r="G75" t="str">
        <f t="shared" si="3"/>
        <v/>
      </c>
    </row>
    <row r="76" spans="1:7" x14ac:dyDescent="0.2">
      <c r="A76" t="s">
        <v>2</v>
      </c>
      <c r="B76">
        <v>0.30879861619999999</v>
      </c>
      <c r="C76">
        <v>1</v>
      </c>
      <c r="D76">
        <f t="shared" si="4"/>
        <v>1</v>
      </c>
      <c r="E76" t="str">
        <f t="shared" si="4"/>
        <v/>
      </c>
      <c r="F76">
        <f t="shared" si="3"/>
        <v>0.30879861619999999</v>
      </c>
      <c r="G76" t="str">
        <f t="shared" si="3"/>
        <v/>
      </c>
    </row>
    <row r="77" spans="1:7" x14ac:dyDescent="0.2">
      <c r="A77" t="s">
        <v>2</v>
      </c>
      <c r="B77">
        <v>0.78769446310000002</v>
      </c>
      <c r="C77">
        <v>0</v>
      </c>
      <c r="D77">
        <f t="shared" si="4"/>
        <v>0</v>
      </c>
      <c r="E77" t="str">
        <f t="shared" si="4"/>
        <v/>
      </c>
      <c r="F77">
        <f t="shared" si="3"/>
        <v>0.78769446310000002</v>
      </c>
      <c r="G77" t="str">
        <f t="shared" si="3"/>
        <v/>
      </c>
    </row>
    <row r="78" spans="1:7" x14ac:dyDescent="0.2">
      <c r="A78" t="s">
        <v>0</v>
      </c>
      <c r="B78">
        <v>0.77987798519999996</v>
      </c>
      <c r="C78">
        <v>1</v>
      </c>
      <c r="D78" t="str">
        <f t="shared" si="4"/>
        <v/>
      </c>
      <c r="E78">
        <f t="shared" si="4"/>
        <v>1</v>
      </c>
      <c r="F78" t="str">
        <f t="shared" si="3"/>
        <v/>
      </c>
      <c r="G78">
        <f t="shared" si="3"/>
        <v>0.77987798519999996</v>
      </c>
    </row>
    <row r="79" spans="1:7" x14ac:dyDescent="0.2">
      <c r="A79" t="s">
        <v>0</v>
      </c>
      <c r="B79">
        <v>0.32721386400000002</v>
      </c>
      <c r="C79">
        <v>0</v>
      </c>
      <c r="D79" t="str">
        <f t="shared" si="4"/>
        <v/>
      </c>
      <c r="E79">
        <f t="shared" si="4"/>
        <v>0</v>
      </c>
      <c r="F79" t="str">
        <f t="shared" si="3"/>
        <v/>
      </c>
      <c r="G79">
        <f t="shared" si="3"/>
        <v>0.32721386400000002</v>
      </c>
    </row>
    <row r="80" spans="1:7" x14ac:dyDescent="0.2">
      <c r="A80" t="s">
        <v>0</v>
      </c>
      <c r="B80">
        <v>0.35645887570000001</v>
      </c>
      <c r="C80">
        <v>1</v>
      </c>
      <c r="D80" t="str">
        <f t="shared" si="4"/>
        <v/>
      </c>
      <c r="E80">
        <f t="shared" si="4"/>
        <v>1</v>
      </c>
      <c r="F80" t="str">
        <f t="shared" si="3"/>
        <v/>
      </c>
      <c r="G80">
        <f t="shared" si="3"/>
        <v>0.35645887570000001</v>
      </c>
    </row>
    <row r="81" spans="1:7" x14ac:dyDescent="0.2">
      <c r="A81" t="s">
        <v>2</v>
      </c>
      <c r="B81">
        <v>0.41886100389999997</v>
      </c>
      <c r="C81">
        <v>1</v>
      </c>
      <c r="D81">
        <f t="shared" si="4"/>
        <v>1</v>
      </c>
      <c r="E81" t="str">
        <f t="shared" si="4"/>
        <v/>
      </c>
      <c r="F81">
        <f t="shared" si="3"/>
        <v>0.41886100389999997</v>
      </c>
      <c r="G81" t="str">
        <f t="shared" si="3"/>
        <v/>
      </c>
    </row>
    <row r="82" spans="1:7" x14ac:dyDescent="0.2">
      <c r="A82" t="s">
        <v>2</v>
      </c>
      <c r="B82">
        <v>0.87721272620000001</v>
      </c>
      <c r="C82">
        <v>1</v>
      </c>
      <c r="D82">
        <f t="shared" si="4"/>
        <v>1</v>
      </c>
      <c r="E82" t="str">
        <f t="shared" si="4"/>
        <v/>
      </c>
      <c r="F82">
        <f t="shared" si="3"/>
        <v>0.87721272620000001</v>
      </c>
      <c r="G82" t="str">
        <f t="shared" si="3"/>
        <v/>
      </c>
    </row>
    <row r="83" spans="1:7" x14ac:dyDescent="0.2">
      <c r="A83" t="s">
        <v>2</v>
      </c>
      <c r="B83">
        <v>0.60452225240000002</v>
      </c>
      <c r="C83">
        <v>1</v>
      </c>
      <c r="D83">
        <f t="shared" si="4"/>
        <v>1</v>
      </c>
      <c r="E83" t="str">
        <f t="shared" si="4"/>
        <v/>
      </c>
      <c r="F83">
        <f t="shared" si="3"/>
        <v>0.60452225240000002</v>
      </c>
      <c r="G83" t="str">
        <f t="shared" si="3"/>
        <v/>
      </c>
    </row>
    <row r="84" spans="1:7" x14ac:dyDescent="0.2">
      <c r="A84" t="s">
        <v>0</v>
      </c>
      <c r="B84">
        <v>0.37219148629999999</v>
      </c>
      <c r="C84">
        <v>1</v>
      </c>
      <c r="D84" t="str">
        <f t="shared" si="4"/>
        <v/>
      </c>
      <c r="E84">
        <f t="shared" si="4"/>
        <v>1</v>
      </c>
      <c r="F84" t="str">
        <f t="shared" si="3"/>
        <v/>
      </c>
      <c r="G84">
        <f t="shared" si="3"/>
        <v>0.37219148629999999</v>
      </c>
    </row>
    <row r="85" spans="1:7" x14ac:dyDescent="0.2">
      <c r="A85" t="s">
        <v>0</v>
      </c>
      <c r="B85">
        <v>0.49362873470000002</v>
      </c>
      <c r="C85">
        <v>0</v>
      </c>
      <c r="D85" t="str">
        <f t="shared" si="4"/>
        <v/>
      </c>
      <c r="E85">
        <f t="shared" si="4"/>
        <v>0</v>
      </c>
      <c r="F85" t="str">
        <f t="shared" si="3"/>
        <v/>
      </c>
      <c r="G85">
        <f t="shared" si="3"/>
        <v>0.49362873470000002</v>
      </c>
    </row>
    <row r="86" spans="1:7" x14ac:dyDescent="0.2">
      <c r="A86" t="s">
        <v>2</v>
      </c>
      <c r="B86">
        <v>0.87380380079999997</v>
      </c>
      <c r="C86">
        <v>1</v>
      </c>
      <c r="D86">
        <f t="shared" si="4"/>
        <v>1</v>
      </c>
      <c r="E86" t="str">
        <f t="shared" si="4"/>
        <v/>
      </c>
      <c r="F86">
        <f t="shared" si="3"/>
        <v>0.87380380079999997</v>
      </c>
      <c r="G86" t="str">
        <f t="shared" si="3"/>
        <v/>
      </c>
    </row>
    <row r="87" spans="1:7" x14ac:dyDescent="0.2">
      <c r="A87" t="s">
        <v>2</v>
      </c>
      <c r="B87">
        <v>0.1410555835</v>
      </c>
      <c r="C87">
        <v>0</v>
      </c>
      <c r="D87">
        <f t="shared" si="4"/>
        <v>0</v>
      </c>
      <c r="E87" t="str">
        <f t="shared" si="4"/>
        <v/>
      </c>
      <c r="F87">
        <f t="shared" si="3"/>
        <v>0.1410555835</v>
      </c>
      <c r="G87" t="str">
        <f t="shared" si="3"/>
        <v/>
      </c>
    </row>
    <row r="88" spans="1:7" x14ac:dyDescent="0.2">
      <c r="A88" t="s">
        <v>2</v>
      </c>
      <c r="B88">
        <v>0.4930226915</v>
      </c>
      <c r="C88">
        <v>1</v>
      </c>
      <c r="D88">
        <f t="shared" si="4"/>
        <v>1</v>
      </c>
      <c r="E88" t="str">
        <f t="shared" si="4"/>
        <v/>
      </c>
      <c r="F88">
        <f t="shared" si="3"/>
        <v>0.4930226915</v>
      </c>
      <c r="G88" t="str">
        <f t="shared" si="3"/>
        <v/>
      </c>
    </row>
    <row r="89" spans="1:7" x14ac:dyDescent="0.2">
      <c r="A89" t="s">
        <v>2</v>
      </c>
      <c r="B89">
        <v>0.32526660349999997</v>
      </c>
      <c r="C89">
        <v>0</v>
      </c>
      <c r="D89">
        <f t="shared" si="4"/>
        <v>0</v>
      </c>
      <c r="E89" t="str">
        <f t="shared" si="4"/>
        <v/>
      </c>
      <c r="F89">
        <f t="shared" si="3"/>
        <v>0.32526660349999997</v>
      </c>
      <c r="G89" t="str">
        <f t="shared" si="3"/>
        <v/>
      </c>
    </row>
    <row r="90" spans="1:7" x14ac:dyDescent="0.2">
      <c r="A90" t="s">
        <v>2</v>
      </c>
      <c r="B90">
        <v>0.78942750520000005</v>
      </c>
      <c r="C90">
        <v>0</v>
      </c>
      <c r="D90">
        <f t="shared" si="4"/>
        <v>0</v>
      </c>
      <c r="E90" t="str">
        <f t="shared" si="4"/>
        <v/>
      </c>
      <c r="F90">
        <f t="shared" si="3"/>
        <v>0.78942750520000005</v>
      </c>
      <c r="G90" t="str">
        <f t="shared" si="3"/>
        <v/>
      </c>
    </row>
    <row r="91" spans="1:7" x14ac:dyDescent="0.2">
      <c r="A91" t="s">
        <v>2</v>
      </c>
      <c r="B91">
        <v>0.1491889642</v>
      </c>
      <c r="C91">
        <v>0</v>
      </c>
      <c r="D91">
        <f t="shared" si="4"/>
        <v>0</v>
      </c>
      <c r="E91" t="str">
        <f t="shared" si="4"/>
        <v/>
      </c>
      <c r="F91">
        <f t="shared" si="3"/>
        <v>0.1491889642</v>
      </c>
      <c r="G91" t="str">
        <f t="shared" si="3"/>
        <v/>
      </c>
    </row>
    <row r="92" spans="1:7" x14ac:dyDescent="0.2">
      <c r="A92" t="s">
        <v>2</v>
      </c>
      <c r="B92">
        <v>0.35811136049999998</v>
      </c>
      <c r="C92">
        <v>0</v>
      </c>
      <c r="D92">
        <f t="shared" si="4"/>
        <v>0</v>
      </c>
      <c r="E92" t="str">
        <f t="shared" si="4"/>
        <v/>
      </c>
      <c r="F92">
        <f t="shared" si="3"/>
        <v>0.35811136049999998</v>
      </c>
      <c r="G92" t="str">
        <f t="shared" si="3"/>
        <v/>
      </c>
    </row>
    <row r="93" spans="1:7" x14ac:dyDescent="0.2">
      <c r="A93" t="s">
        <v>0</v>
      </c>
      <c r="B93">
        <v>0.60720083140000003</v>
      </c>
      <c r="C93">
        <v>0</v>
      </c>
      <c r="D93" t="str">
        <f t="shared" si="4"/>
        <v/>
      </c>
      <c r="E93">
        <f t="shared" si="4"/>
        <v>0</v>
      </c>
      <c r="F93" t="str">
        <f t="shared" si="3"/>
        <v/>
      </c>
      <c r="G93">
        <f t="shared" si="3"/>
        <v>0.60720083140000003</v>
      </c>
    </row>
    <row r="94" spans="1:7" x14ac:dyDescent="0.2">
      <c r="A94" t="s">
        <v>2</v>
      </c>
      <c r="B94">
        <v>0.55237244009999997</v>
      </c>
      <c r="C94">
        <v>1</v>
      </c>
      <c r="D94">
        <f t="shared" si="4"/>
        <v>1</v>
      </c>
      <c r="E94" t="str">
        <f t="shared" si="4"/>
        <v/>
      </c>
      <c r="F94">
        <f t="shared" si="3"/>
        <v>0.55237244009999997</v>
      </c>
      <c r="G94" t="str">
        <f t="shared" si="3"/>
        <v/>
      </c>
    </row>
    <row r="95" spans="1:7" x14ac:dyDescent="0.2">
      <c r="A95" t="s">
        <v>0</v>
      </c>
      <c r="B95">
        <v>0.28131994380000003</v>
      </c>
      <c r="C95">
        <v>1</v>
      </c>
      <c r="D95" t="str">
        <f t="shared" si="4"/>
        <v/>
      </c>
      <c r="E95">
        <f t="shared" si="4"/>
        <v>1</v>
      </c>
      <c r="F95" t="str">
        <f t="shared" si="3"/>
        <v/>
      </c>
      <c r="G95">
        <f t="shared" si="3"/>
        <v>0.28131994380000003</v>
      </c>
    </row>
    <row r="96" spans="1:7" x14ac:dyDescent="0.2">
      <c r="A96" t="s">
        <v>2</v>
      </c>
      <c r="B96">
        <v>0.43873625360000001</v>
      </c>
      <c r="C96">
        <v>1</v>
      </c>
      <c r="D96">
        <f t="shared" si="4"/>
        <v>1</v>
      </c>
      <c r="E96" t="str">
        <f t="shared" si="4"/>
        <v/>
      </c>
      <c r="F96">
        <f t="shared" si="3"/>
        <v>0.43873625360000001</v>
      </c>
      <c r="G96" t="str">
        <f t="shared" si="3"/>
        <v/>
      </c>
    </row>
    <row r="97" spans="1:7" x14ac:dyDescent="0.2">
      <c r="A97" t="s">
        <v>0</v>
      </c>
      <c r="B97">
        <v>0.59312402480000004</v>
      </c>
      <c r="C97">
        <v>1</v>
      </c>
      <c r="D97" t="str">
        <f t="shared" si="4"/>
        <v/>
      </c>
      <c r="E97">
        <f t="shared" si="4"/>
        <v>1</v>
      </c>
      <c r="F97" t="str">
        <f t="shared" si="3"/>
        <v/>
      </c>
      <c r="G97">
        <f t="shared" si="3"/>
        <v>0.59312402480000004</v>
      </c>
    </row>
    <row r="98" spans="1:7" x14ac:dyDescent="0.2">
      <c r="A98" t="s">
        <v>2</v>
      </c>
      <c r="B98">
        <v>0.60889569799999999</v>
      </c>
      <c r="C98">
        <v>0</v>
      </c>
      <c r="D98">
        <f t="shared" si="4"/>
        <v>0</v>
      </c>
      <c r="E98" t="str">
        <f t="shared" si="4"/>
        <v/>
      </c>
      <c r="F98">
        <f t="shared" si="3"/>
        <v>0.60889569799999999</v>
      </c>
      <c r="G98" t="str">
        <f t="shared" si="3"/>
        <v/>
      </c>
    </row>
    <row r="99" spans="1:7" x14ac:dyDescent="0.2">
      <c r="A99" t="s">
        <v>0</v>
      </c>
      <c r="B99">
        <v>0.4125378838</v>
      </c>
      <c r="C99">
        <v>0</v>
      </c>
      <c r="D99" t="str">
        <f t="shared" si="4"/>
        <v/>
      </c>
      <c r="E99">
        <f t="shared" si="4"/>
        <v>0</v>
      </c>
      <c r="F99" t="str">
        <f t="shared" si="3"/>
        <v/>
      </c>
      <c r="G99">
        <f t="shared" si="3"/>
        <v>0.4125378838</v>
      </c>
    </row>
    <row r="100" spans="1:7" x14ac:dyDescent="0.2">
      <c r="A100" t="s">
        <v>2</v>
      </c>
      <c r="B100">
        <v>0.3828560426</v>
      </c>
      <c r="C100">
        <v>1</v>
      </c>
      <c r="D100">
        <f t="shared" si="4"/>
        <v>1</v>
      </c>
      <c r="E100" t="str">
        <f t="shared" si="4"/>
        <v/>
      </c>
      <c r="F100">
        <f t="shared" si="3"/>
        <v>0.3828560426</v>
      </c>
      <c r="G100" t="str">
        <f t="shared" si="3"/>
        <v/>
      </c>
    </row>
    <row r="101" spans="1:7" x14ac:dyDescent="0.2">
      <c r="A101" t="s">
        <v>2</v>
      </c>
      <c r="B101">
        <v>0.41493306520000001</v>
      </c>
      <c r="C101">
        <v>1</v>
      </c>
      <c r="D101">
        <f t="shared" si="4"/>
        <v>1</v>
      </c>
      <c r="E101" t="str">
        <f t="shared" si="4"/>
        <v/>
      </c>
      <c r="F101">
        <f t="shared" si="3"/>
        <v>0.41493306520000001</v>
      </c>
      <c r="G101" t="str">
        <f t="shared" si="3"/>
        <v/>
      </c>
    </row>
    <row r="102" spans="1:7" x14ac:dyDescent="0.2">
      <c r="A102" t="s">
        <v>0</v>
      </c>
      <c r="B102">
        <v>0.39046637090000003</v>
      </c>
      <c r="C102">
        <v>0</v>
      </c>
      <c r="D102" t="str">
        <f t="shared" si="4"/>
        <v/>
      </c>
      <c r="E102">
        <f t="shared" si="4"/>
        <v>0</v>
      </c>
      <c r="F102" t="str">
        <f t="shared" si="3"/>
        <v/>
      </c>
      <c r="G102">
        <f t="shared" si="3"/>
        <v>0.39046637090000003</v>
      </c>
    </row>
    <row r="103" spans="1:7" x14ac:dyDescent="0.2">
      <c r="A103" t="s">
        <v>2</v>
      </c>
      <c r="B103">
        <v>0.43615046699999999</v>
      </c>
      <c r="C103">
        <v>0</v>
      </c>
      <c r="D103">
        <f t="shared" si="4"/>
        <v>0</v>
      </c>
      <c r="E103" t="str">
        <f t="shared" si="4"/>
        <v/>
      </c>
      <c r="F103">
        <f t="shared" si="3"/>
        <v>0.43615046699999999</v>
      </c>
      <c r="G103" t="str">
        <f t="shared" si="3"/>
        <v/>
      </c>
    </row>
    <row r="104" spans="1:7" x14ac:dyDescent="0.2">
      <c r="A104" t="s">
        <v>2</v>
      </c>
      <c r="B104">
        <v>0.82826879220000005</v>
      </c>
      <c r="C104">
        <v>1</v>
      </c>
      <c r="D104">
        <f t="shared" si="4"/>
        <v>1</v>
      </c>
      <c r="E104" t="str">
        <f t="shared" si="4"/>
        <v/>
      </c>
      <c r="F104">
        <f t="shared" si="3"/>
        <v>0.82826879220000005</v>
      </c>
      <c r="G104" t="str">
        <f t="shared" si="3"/>
        <v/>
      </c>
    </row>
    <row r="105" spans="1:7" x14ac:dyDescent="0.2">
      <c r="A105" t="s">
        <v>0</v>
      </c>
      <c r="B105">
        <v>0.1242962737</v>
      </c>
      <c r="C105">
        <v>0</v>
      </c>
      <c r="D105" t="str">
        <f t="shared" si="4"/>
        <v/>
      </c>
      <c r="E105">
        <f t="shared" si="4"/>
        <v>0</v>
      </c>
      <c r="F105" t="str">
        <f t="shared" si="3"/>
        <v/>
      </c>
      <c r="G105">
        <f t="shared" si="3"/>
        <v>0.1242962737</v>
      </c>
    </row>
    <row r="106" spans="1:7" x14ac:dyDescent="0.2">
      <c r="A106" t="s">
        <v>2</v>
      </c>
      <c r="B106">
        <v>0.4144135799</v>
      </c>
      <c r="C106">
        <v>0</v>
      </c>
      <c r="D106">
        <f t="shared" si="4"/>
        <v>0</v>
      </c>
      <c r="E106" t="str">
        <f t="shared" si="4"/>
        <v/>
      </c>
      <c r="F106">
        <f t="shared" si="3"/>
        <v>0.4144135799</v>
      </c>
      <c r="G106" t="str">
        <f t="shared" si="3"/>
        <v/>
      </c>
    </row>
    <row r="107" spans="1:7" x14ac:dyDescent="0.2">
      <c r="A107" t="s">
        <v>0</v>
      </c>
      <c r="B107">
        <v>0.2496124542</v>
      </c>
      <c r="C107">
        <v>0</v>
      </c>
      <c r="D107" t="str">
        <f t="shared" si="4"/>
        <v/>
      </c>
      <c r="E107">
        <f t="shared" si="4"/>
        <v>0</v>
      </c>
      <c r="F107" t="str">
        <f t="shared" si="3"/>
        <v/>
      </c>
      <c r="G107">
        <f t="shared" si="3"/>
        <v>0.2496124542</v>
      </c>
    </row>
    <row r="108" spans="1:7" x14ac:dyDescent="0.2">
      <c r="A108" t="s">
        <v>2</v>
      </c>
      <c r="B108">
        <v>0.37669247839999997</v>
      </c>
      <c r="C108">
        <v>1</v>
      </c>
      <c r="D108">
        <f t="shared" si="4"/>
        <v>1</v>
      </c>
      <c r="E108" t="str">
        <f t="shared" si="4"/>
        <v/>
      </c>
      <c r="F108">
        <f t="shared" si="3"/>
        <v>0.37669247839999997</v>
      </c>
      <c r="G108" t="str">
        <f t="shared" si="3"/>
        <v/>
      </c>
    </row>
    <row r="109" spans="1:7" x14ac:dyDescent="0.2">
      <c r="A109" t="s">
        <v>2</v>
      </c>
      <c r="B109">
        <v>0.68746981409999997</v>
      </c>
      <c r="C109">
        <v>0</v>
      </c>
      <c r="D109">
        <f t="shared" si="4"/>
        <v>0</v>
      </c>
      <c r="E109" t="str">
        <f t="shared" si="4"/>
        <v/>
      </c>
      <c r="F109">
        <f t="shared" si="3"/>
        <v>0.68746981409999997</v>
      </c>
      <c r="G109" t="str">
        <f t="shared" si="3"/>
        <v/>
      </c>
    </row>
    <row r="110" spans="1:7" x14ac:dyDescent="0.2">
      <c r="A110" t="s">
        <v>0</v>
      </c>
      <c r="B110">
        <v>0.20088157479999999</v>
      </c>
      <c r="C110">
        <v>0</v>
      </c>
      <c r="D110" t="str">
        <f t="shared" si="4"/>
        <v/>
      </c>
      <c r="E110">
        <f t="shared" si="4"/>
        <v>0</v>
      </c>
      <c r="F110" t="str">
        <f t="shared" si="3"/>
        <v/>
      </c>
      <c r="G110">
        <f t="shared" si="3"/>
        <v>0.20088157479999999</v>
      </c>
    </row>
    <row r="111" spans="1:7" x14ac:dyDescent="0.2">
      <c r="A111" t="s">
        <v>0</v>
      </c>
      <c r="B111">
        <v>0.17623440139999999</v>
      </c>
      <c r="C111">
        <v>1</v>
      </c>
      <c r="D111" t="str">
        <f t="shared" si="4"/>
        <v/>
      </c>
      <c r="E111">
        <f t="shared" si="4"/>
        <v>1</v>
      </c>
      <c r="F111" t="str">
        <f t="shared" si="3"/>
        <v/>
      </c>
      <c r="G111">
        <f t="shared" si="3"/>
        <v>0.17623440139999999</v>
      </c>
    </row>
    <row r="112" spans="1:7" x14ac:dyDescent="0.2">
      <c r="A112" t="s">
        <v>0</v>
      </c>
      <c r="B112">
        <v>0.49062352409999999</v>
      </c>
      <c r="C112">
        <v>1</v>
      </c>
      <c r="D112" t="str">
        <f t="shared" si="4"/>
        <v/>
      </c>
      <c r="E112">
        <f t="shared" si="4"/>
        <v>1</v>
      </c>
      <c r="F112" t="str">
        <f t="shared" si="3"/>
        <v/>
      </c>
      <c r="G112">
        <f t="shared" si="3"/>
        <v>0.49062352409999999</v>
      </c>
    </row>
    <row r="113" spans="1:7" x14ac:dyDescent="0.2">
      <c r="A113" t="s">
        <v>2</v>
      </c>
      <c r="B113">
        <v>0.76844257270000005</v>
      </c>
      <c r="C113">
        <v>1</v>
      </c>
      <c r="D113">
        <f t="shared" si="4"/>
        <v>1</v>
      </c>
      <c r="E113" t="str">
        <f t="shared" si="4"/>
        <v/>
      </c>
      <c r="F113">
        <f t="shared" si="3"/>
        <v>0.76844257270000005</v>
      </c>
      <c r="G113" t="str">
        <f t="shared" si="3"/>
        <v/>
      </c>
    </row>
    <row r="114" spans="1:7" x14ac:dyDescent="0.2">
      <c r="A114" t="s">
        <v>0</v>
      </c>
      <c r="B114">
        <v>0.78157502489999997</v>
      </c>
      <c r="C114">
        <v>1</v>
      </c>
      <c r="D114" t="str">
        <f t="shared" si="4"/>
        <v/>
      </c>
      <c r="E114">
        <f t="shared" si="4"/>
        <v>1</v>
      </c>
      <c r="F114" t="str">
        <f t="shared" si="3"/>
        <v/>
      </c>
      <c r="G114">
        <f t="shared" si="3"/>
        <v>0.78157502489999997</v>
      </c>
    </row>
    <row r="115" spans="1:7" x14ac:dyDescent="0.2">
      <c r="A115" t="s">
        <v>0</v>
      </c>
      <c r="B115">
        <v>0.35579891299999999</v>
      </c>
      <c r="C115">
        <v>1</v>
      </c>
      <c r="D115" t="str">
        <f t="shared" si="4"/>
        <v/>
      </c>
      <c r="E115">
        <f t="shared" si="4"/>
        <v>1</v>
      </c>
      <c r="F115" t="str">
        <f t="shared" si="3"/>
        <v/>
      </c>
      <c r="G115">
        <f t="shared" si="3"/>
        <v>0.35579891299999999</v>
      </c>
    </row>
    <row r="116" spans="1:7" x14ac:dyDescent="0.2">
      <c r="A116" t="s">
        <v>2</v>
      </c>
      <c r="B116">
        <v>0.34982926320000002</v>
      </c>
      <c r="C116">
        <v>0</v>
      </c>
      <c r="D116">
        <f t="shared" si="4"/>
        <v>0</v>
      </c>
      <c r="E116" t="str">
        <f t="shared" si="4"/>
        <v/>
      </c>
      <c r="F116">
        <f t="shared" si="3"/>
        <v>0.34982926320000002</v>
      </c>
      <c r="G116" t="str">
        <f t="shared" si="3"/>
        <v/>
      </c>
    </row>
    <row r="117" spans="1:7" x14ac:dyDescent="0.2">
      <c r="A117" t="s">
        <v>2</v>
      </c>
      <c r="B117">
        <v>0.56800513100000005</v>
      </c>
      <c r="C117">
        <v>0</v>
      </c>
      <c r="D117">
        <f t="shared" si="4"/>
        <v>0</v>
      </c>
      <c r="E117" t="str">
        <f t="shared" si="4"/>
        <v/>
      </c>
      <c r="F117">
        <f t="shared" si="3"/>
        <v>0.56800513100000005</v>
      </c>
      <c r="G117" t="str">
        <f t="shared" si="3"/>
        <v/>
      </c>
    </row>
    <row r="118" spans="1:7" x14ac:dyDescent="0.2">
      <c r="A118" t="s">
        <v>0</v>
      </c>
      <c r="B118">
        <v>0.390997286</v>
      </c>
      <c r="C118">
        <v>1</v>
      </c>
      <c r="D118" t="str">
        <f t="shared" si="4"/>
        <v/>
      </c>
      <c r="E118">
        <f t="shared" si="4"/>
        <v>1</v>
      </c>
      <c r="F118" t="str">
        <f t="shared" si="3"/>
        <v/>
      </c>
      <c r="G118">
        <f t="shared" si="3"/>
        <v>0.390997286</v>
      </c>
    </row>
    <row r="119" spans="1:7" x14ac:dyDescent="0.2">
      <c r="A119" t="s">
        <v>2</v>
      </c>
      <c r="B119">
        <v>0.60963580510000004</v>
      </c>
      <c r="C119">
        <v>1</v>
      </c>
      <c r="D119">
        <f t="shared" si="4"/>
        <v>1</v>
      </c>
      <c r="E119" t="str">
        <f t="shared" si="4"/>
        <v/>
      </c>
      <c r="F119">
        <f t="shared" si="3"/>
        <v>0.60963580510000004</v>
      </c>
      <c r="G119" t="str">
        <f t="shared" si="3"/>
        <v/>
      </c>
    </row>
    <row r="120" spans="1:7" x14ac:dyDescent="0.2">
      <c r="A120" t="s">
        <v>2</v>
      </c>
      <c r="B120">
        <v>0.51987799710000004</v>
      </c>
      <c r="C120">
        <v>0</v>
      </c>
      <c r="D120">
        <f t="shared" si="4"/>
        <v>0</v>
      </c>
      <c r="E120" t="str">
        <f t="shared" si="4"/>
        <v/>
      </c>
      <c r="F120">
        <f t="shared" si="3"/>
        <v>0.51987799710000004</v>
      </c>
      <c r="G120" t="str">
        <f t="shared" si="3"/>
        <v/>
      </c>
    </row>
    <row r="121" spans="1:7" x14ac:dyDescent="0.2">
      <c r="A121" t="s">
        <v>2</v>
      </c>
      <c r="B121">
        <v>0.33872731750000001</v>
      </c>
      <c r="C121">
        <v>1</v>
      </c>
      <c r="D121">
        <f t="shared" si="4"/>
        <v>1</v>
      </c>
      <c r="E121" t="str">
        <f t="shared" si="4"/>
        <v/>
      </c>
      <c r="F121">
        <f t="shared" si="3"/>
        <v>0.33872731750000001</v>
      </c>
      <c r="G121" t="str">
        <f t="shared" si="3"/>
        <v/>
      </c>
    </row>
    <row r="122" spans="1:7" x14ac:dyDescent="0.2">
      <c r="A122" t="s">
        <v>0</v>
      </c>
      <c r="B122">
        <v>0.2775074937</v>
      </c>
      <c r="C122">
        <v>1</v>
      </c>
      <c r="D122" t="str">
        <f t="shared" si="4"/>
        <v/>
      </c>
      <c r="E122">
        <f t="shared" si="4"/>
        <v>1</v>
      </c>
      <c r="F122" t="str">
        <f t="shared" si="3"/>
        <v/>
      </c>
      <c r="G122">
        <f t="shared" si="3"/>
        <v>0.2775074937</v>
      </c>
    </row>
    <row r="123" spans="1:7" x14ac:dyDescent="0.2">
      <c r="A123" t="s">
        <v>2</v>
      </c>
      <c r="B123">
        <v>0.85727229439999997</v>
      </c>
      <c r="C123">
        <v>1</v>
      </c>
      <c r="D123">
        <f t="shared" si="4"/>
        <v>1</v>
      </c>
      <c r="E123" t="str">
        <f t="shared" si="4"/>
        <v/>
      </c>
      <c r="F123">
        <f t="shared" si="3"/>
        <v>0.85727229439999997</v>
      </c>
      <c r="G123" t="str">
        <f t="shared" si="3"/>
        <v/>
      </c>
    </row>
    <row r="124" spans="1:7" x14ac:dyDescent="0.2">
      <c r="A124" t="s">
        <v>2</v>
      </c>
      <c r="B124">
        <v>0.50100278659999997</v>
      </c>
      <c r="C124">
        <v>1</v>
      </c>
      <c r="D124">
        <f t="shared" si="4"/>
        <v>1</v>
      </c>
      <c r="E124" t="str">
        <f t="shared" si="4"/>
        <v/>
      </c>
      <c r="F124">
        <f t="shared" si="3"/>
        <v>0.50100278659999997</v>
      </c>
      <c r="G124" t="str">
        <f t="shared" si="3"/>
        <v/>
      </c>
    </row>
    <row r="125" spans="1:7" x14ac:dyDescent="0.2">
      <c r="A125" t="s">
        <v>2</v>
      </c>
      <c r="B125">
        <v>0.45145632460000001</v>
      </c>
      <c r="C125">
        <v>0</v>
      </c>
      <c r="D125">
        <f t="shared" si="4"/>
        <v>0</v>
      </c>
      <c r="E125" t="str">
        <f t="shared" si="4"/>
        <v/>
      </c>
      <c r="F125">
        <f t="shared" si="3"/>
        <v>0.45145632460000001</v>
      </c>
      <c r="G125" t="str">
        <f t="shared" si="3"/>
        <v/>
      </c>
    </row>
    <row r="126" spans="1:7" x14ac:dyDescent="0.2">
      <c r="A126" t="s">
        <v>2</v>
      </c>
      <c r="B126">
        <v>0.18454334319999999</v>
      </c>
      <c r="C126">
        <v>0</v>
      </c>
      <c r="D126">
        <f t="shared" si="4"/>
        <v>0</v>
      </c>
      <c r="E126" t="str">
        <f t="shared" si="4"/>
        <v/>
      </c>
      <c r="F126">
        <f t="shared" si="3"/>
        <v>0.18454334319999999</v>
      </c>
      <c r="G126" t="str">
        <f t="shared" si="3"/>
        <v/>
      </c>
    </row>
    <row r="127" spans="1:7" x14ac:dyDescent="0.2">
      <c r="A127" t="s">
        <v>2</v>
      </c>
      <c r="B127">
        <v>0.63322728260000005</v>
      </c>
      <c r="C127">
        <v>1</v>
      </c>
      <c r="D127">
        <f t="shared" si="4"/>
        <v>1</v>
      </c>
      <c r="E127" t="str">
        <f t="shared" si="4"/>
        <v/>
      </c>
      <c r="F127">
        <f t="shared" si="3"/>
        <v>0.63322728260000005</v>
      </c>
      <c r="G127" t="str">
        <f t="shared" si="3"/>
        <v/>
      </c>
    </row>
    <row r="128" spans="1:7" x14ac:dyDescent="0.2">
      <c r="A128" t="s">
        <v>0</v>
      </c>
      <c r="B128">
        <v>0.63100633100000003</v>
      </c>
      <c r="C128">
        <v>0</v>
      </c>
      <c r="D128" t="str">
        <f t="shared" si="4"/>
        <v/>
      </c>
      <c r="E128">
        <f t="shared" si="4"/>
        <v>0</v>
      </c>
      <c r="F128" t="str">
        <f t="shared" si="3"/>
        <v/>
      </c>
      <c r="G128">
        <f t="shared" si="3"/>
        <v>0.63100633100000003</v>
      </c>
    </row>
    <row r="129" spans="1:7" x14ac:dyDescent="0.2">
      <c r="A129" t="s">
        <v>2</v>
      </c>
      <c r="B129">
        <v>0.66410577859999997</v>
      </c>
      <c r="C129">
        <v>0</v>
      </c>
      <c r="D129">
        <f t="shared" si="4"/>
        <v>0</v>
      </c>
      <c r="E129" t="str">
        <f t="shared" si="4"/>
        <v/>
      </c>
      <c r="F129">
        <f t="shared" si="3"/>
        <v>0.66410577859999997</v>
      </c>
      <c r="G129" t="str">
        <f t="shared" si="3"/>
        <v/>
      </c>
    </row>
    <row r="130" spans="1:7" x14ac:dyDescent="0.2">
      <c r="A130" t="s">
        <v>2</v>
      </c>
      <c r="B130">
        <v>0.41544103640000002</v>
      </c>
      <c r="C130">
        <v>1</v>
      </c>
      <c r="D130">
        <f t="shared" si="4"/>
        <v>1</v>
      </c>
      <c r="E130" t="str">
        <f t="shared" si="4"/>
        <v/>
      </c>
      <c r="F130">
        <f t="shared" si="3"/>
        <v>0.41544103640000002</v>
      </c>
      <c r="G130" t="str">
        <f t="shared" si="3"/>
        <v/>
      </c>
    </row>
    <row r="131" spans="1:7" x14ac:dyDescent="0.2">
      <c r="A131" t="s">
        <v>2</v>
      </c>
      <c r="B131">
        <v>0.55891988270000004</v>
      </c>
      <c r="C131">
        <v>1</v>
      </c>
      <c r="D131">
        <f t="shared" si="4"/>
        <v>1</v>
      </c>
      <c r="E131" t="str">
        <f t="shared" si="4"/>
        <v/>
      </c>
      <c r="F131">
        <f t="shared" ref="F131:G194" si="5">IF($A131=F$1,$B131,"")</f>
        <v>0.55891988270000004</v>
      </c>
      <c r="G131" t="str">
        <f t="shared" si="5"/>
        <v/>
      </c>
    </row>
    <row r="132" spans="1:7" x14ac:dyDescent="0.2">
      <c r="A132" t="s">
        <v>2</v>
      </c>
      <c r="B132">
        <v>0.22986533319999999</v>
      </c>
      <c r="C132">
        <v>0</v>
      </c>
      <c r="D132">
        <f t="shared" si="4"/>
        <v>0</v>
      </c>
      <c r="E132" t="str">
        <f t="shared" si="4"/>
        <v/>
      </c>
      <c r="F132">
        <f t="shared" si="5"/>
        <v>0.22986533319999999</v>
      </c>
      <c r="G132" t="str">
        <f t="shared" si="5"/>
        <v/>
      </c>
    </row>
    <row r="133" spans="1:7" x14ac:dyDescent="0.2">
      <c r="A133" t="s">
        <v>2</v>
      </c>
      <c r="B133">
        <v>0.81512936849999995</v>
      </c>
      <c r="C133">
        <v>1</v>
      </c>
      <c r="D133">
        <f t="shared" ref="D133:E196" si="6">IF($A133=D$1,$C133,"")</f>
        <v>1</v>
      </c>
      <c r="E133" t="str">
        <f t="shared" si="6"/>
        <v/>
      </c>
      <c r="F133">
        <f t="shared" si="5"/>
        <v>0.81512936849999995</v>
      </c>
      <c r="G133" t="str">
        <f t="shared" si="5"/>
        <v/>
      </c>
    </row>
    <row r="134" spans="1:7" x14ac:dyDescent="0.2">
      <c r="A134" t="s">
        <v>2</v>
      </c>
      <c r="B134">
        <v>0.34465062839999999</v>
      </c>
      <c r="C134">
        <v>0</v>
      </c>
      <c r="D134">
        <f t="shared" si="6"/>
        <v>0</v>
      </c>
      <c r="E134" t="str">
        <f t="shared" si="6"/>
        <v/>
      </c>
      <c r="F134">
        <f t="shared" si="5"/>
        <v>0.34465062839999999</v>
      </c>
      <c r="G134" t="str">
        <f t="shared" si="5"/>
        <v/>
      </c>
    </row>
    <row r="135" spans="1:7" x14ac:dyDescent="0.2">
      <c r="A135" t="s">
        <v>2</v>
      </c>
      <c r="B135">
        <v>0.5001679738</v>
      </c>
      <c r="C135">
        <v>1</v>
      </c>
      <c r="D135">
        <f t="shared" si="6"/>
        <v>1</v>
      </c>
      <c r="E135" t="str">
        <f t="shared" si="6"/>
        <v/>
      </c>
      <c r="F135">
        <f t="shared" si="5"/>
        <v>0.5001679738</v>
      </c>
      <c r="G135" t="str">
        <f t="shared" si="5"/>
        <v/>
      </c>
    </row>
    <row r="136" spans="1:7" x14ac:dyDescent="0.2">
      <c r="A136" t="s">
        <v>2</v>
      </c>
      <c r="B136">
        <v>0.42598556589999997</v>
      </c>
      <c r="C136">
        <v>1</v>
      </c>
      <c r="D136">
        <f t="shared" si="6"/>
        <v>1</v>
      </c>
      <c r="E136" t="str">
        <f t="shared" si="6"/>
        <v/>
      </c>
      <c r="F136">
        <f t="shared" si="5"/>
        <v>0.42598556589999997</v>
      </c>
      <c r="G136" t="str">
        <f t="shared" si="5"/>
        <v/>
      </c>
    </row>
    <row r="137" spans="1:7" x14ac:dyDescent="0.2">
      <c r="A137" t="s">
        <v>2</v>
      </c>
      <c r="B137">
        <v>0.59905908129999996</v>
      </c>
      <c r="C137">
        <v>1</v>
      </c>
      <c r="D137">
        <f t="shared" si="6"/>
        <v>1</v>
      </c>
      <c r="E137" t="str">
        <f t="shared" si="6"/>
        <v/>
      </c>
      <c r="F137">
        <f t="shared" si="5"/>
        <v>0.59905908129999996</v>
      </c>
      <c r="G137" t="str">
        <f t="shared" si="5"/>
        <v/>
      </c>
    </row>
    <row r="138" spans="1:7" x14ac:dyDescent="0.2">
      <c r="A138" t="s">
        <v>2</v>
      </c>
      <c r="B138">
        <v>0.4497757047</v>
      </c>
      <c r="C138">
        <v>0</v>
      </c>
      <c r="D138">
        <f t="shared" si="6"/>
        <v>0</v>
      </c>
      <c r="E138" t="str">
        <f t="shared" si="6"/>
        <v/>
      </c>
      <c r="F138">
        <f t="shared" si="5"/>
        <v>0.4497757047</v>
      </c>
      <c r="G138" t="str">
        <f t="shared" si="5"/>
        <v/>
      </c>
    </row>
    <row r="139" spans="1:7" x14ac:dyDescent="0.2">
      <c r="A139" t="s">
        <v>2</v>
      </c>
      <c r="B139">
        <v>0.51516747819999997</v>
      </c>
      <c r="C139">
        <v>0</v>
      </c>
      <c r="D139">
        <f t="shared" si="6"/>
        <v>0</v>
      </c>
      <c r="E139" t="str">
        <f t="shared" si="6"/>
        <v/>
      </c>
      <c r="F139">
        <f t="shared" si="5"/>
        <v>0.51516747819999997</v>
      </c>
      <c r="G139" t="str">
        <f t="shared" si="5"/>
        <v/>
      </c>
    </row>
    <row r="140" spans="1:7" x14ac:dyDescent="0.2">
      <c r="A140" t="s">
        <v>2</v>
      </c>
      <c r="B140">
        <v>0.33844754649999997</v>
      </c>
      <c r="C140">
        <v>1</v>
      </c>
      <c r="D140">
        <f t="shared" si="6"/>
        <v>1</v>
      </c>
      <c r="E140" t="str">
        <f t="shared" si="6"/>
        <v/>
      </c>
      <c r="F140">
        <f t="shared" si="5"/>
        <v>0.33844754649999997</v>
      </c>
      <c r="G140" t="str">
        <f t="shared" si="5"/>
        <v/>
      </c>
    </row>
    <row r="141" spans="1:7" x14ac:dyDescent="0.2">
      <c r="A141" t="s">
        <v>2</v>
      </c>
      <c r="B141">
        <v>0.60871092979999997</v>
      </c>
      <c r="C141">
        <v>0</v>
      </c>
      <c r="D141">
        <f t="shared" si="6"/>
        <v>0</v>
      </c>
      <c r="E141" t="str">
        <f t="shared" si="6"/>
        <v/>
      </c>
      <c r="F141">
        <f t="shared" si="5"/>
        <v>0.60871092979999997</v>
      </c>
      <c r="G141" t="str">
        <f t="shared" si="5"/>
        <v/>
      </c>
    </row>
    <row r="142" spans="1:7" x14ac:dyDescent="0.2">
      <c r="A142" t="s">
        <v>2</v>
      </c>
      <c r="B142">
        <v>0.81508357629999995</v>
      </c>
      <c r="C142">
        <v>0</v>
      </c>
      <c r="D142">
        <f t="shared" si="6"/>
        <v>0</v>
      </c>
      <c r="E142" t="str">
        <f t="shared" si="6"/>
        <v/>
      </c>
      <c r="F142">
        <f t="shared" si="5"/>
        <v>0.81508357629999995</v>
      </c>
      <c r="G142" t="str">
        <f t="shared" si="5"/>
        <v/>
      </c>
    </row>
    <row r="143" spans="1:7" x14ac:dyDescent="0.2">
      <c r="A143" t="s">
        <v>2</v>
      </c>
      <c r="B143">
        <v>0.30435861409999998</v>
      </c>
      <c r="C143">
        <v>0</v>
      </c>
      <c r="D143">
        <f t="shared" si="6"/>
        <v>0</v>
      </c>
      <c r="E143" t="str">
        <f t="shared" si="6"/>
        <v/>
      </c>
      <c r="F143">
        <f t="shared" si="5"/>
        <v>0.30435861409999998</v>
      </c>
      <c r="G143" t="str">
        <f t="shared" si="5"/>
        <v/>
      </c>
    </row>
    <row r="144" spans="1:7" x14ac:dyDescent="0.2">
      <c r="A144" t="s">
        <v>2</v>
      </c>
      <c r="B144">
        <v>0.23330465950000001</v>
      </c>
      <c r="C144">
        <v>0</v>
      </c>
      <c r="D144">
        <f t="shared" si="6"/>
        <v>0</v>
      </c>
      <c r="E144" t="str">
        <f t="shared" si="6"/>
        <v/>
      </c>
      <c r="F144">
        <f t="shared" si="5"/>
        <v>0.23330465950000001</v>
      </c>
      <c r="G144" t="str">
        <f t="shared" si="5"/>
        <v/>
      </c>
    </row>
    <row r="145" spans="1:7" x14ac:dyDescent="0.2">
      <c r="A145" t="s">
        <v>2</v>
      </c>
      <c r="B145">
        <v>0.66575761069999995</v>
      </c>
      <c r="C145">
        <v>0</v>
      </c>
      <c r="D145">
        <f t="shared" si="6"/>
        <v>0</v>
      </c>
      <c r="E145" t="str">
        <f t="shared" si="6"/>
        <v/>
      </c>
      <c r="F145">
        <f t="shared" si="5"/>
        <v>0.66575761069999995</v>
      </c>
      <c r="G145" t="str">
        <f t="shared" si="5"/>
        <v/>
      </c>
    </row>
    <row r="146" spans="1:7" x14ac:dyDescent="0.2">
      <c r="A146" t="s">
        <v>2</v>
      </c>
      <c r="B146">
        <v>0.77159685229999997</v>
      </c>
      <c r="C146">
        <v>1</v>
      </c>
      <c r="D146">
        <f t="shared" si="6"/>
        <v>1</v>
      </c>
      <c r="E146" t="str">
        <f t="shared" si="6"/>
        <v/>
      </c>
      <c r="F146">
        <f t="shared" si="5"/>
        <v>0.77159685229999997</v>
      </c>
      <c r="G146" t="str">
        <f t="shared" si="5"/>
        <v/>
      </c>
    </row>
    <row r="147" spans="1:7" x14ac:dyDescent="0.2">
      <c r="A147" t="s">
        <v>0</v>
      </c>
      <c r="B147">
        <v>0.5647686502</v>
      </c>
      <c r="C147">
        <v>1</v>
      </c>
      <c r="D147" t="str">
        <f t="shared" si="6"/>
        <v/>
      </c>
      <c r="E147">
        <f t="shared" si="6"/>
        <v>1</v>
      </c>
      <c r="F147" t="str">
        <f t="shared" si="5"/>
        <v/>
      </c>
      <c r="G147">
        <f t="shared" si="5"/>
        <v>0.5647686502</v>
      </c>
    </row>
    <row r="148" spans="1:7" x14ac:dyDescent="0.2">
      <c r="A148" t="s">
        <v>2</v>
      </c>
      <c r="B148">
        <v>0.73755696879999999</v>
      </c>
      <c r="C148">
        <v>0</v>
      </c>
      <c r="D148">
        <f t="shared" si="6"/>
        <v>0</v>
      </c>
      <c r="E148" t="str">
        <f t="shared" si="6"/>
        <v/>
      </c>
      <c r="F148">
        <f t="shared" si="5"/>
        <v>0.73755696879999999</v>
      </c>
      <c r="G148" t="str">
        <f t="shared" si="5"/>
        <v/>
      </c>
    </row>
    <row r="149" spans="1:7" x14ac:dyDescent="0.2">
      <c r="A149" t="s">
        <v>0</v>
      </c>
      <c r="B149">
        <v>0.10590006170000001</v>
      </c>
      <c r="C149">
        <v>0</v>
      </c>
      <c r="D149" t="str">
        <f t="shared" si="6"/>
        <v/>
      </c>
      <c r="E149">
        <f t="shared" si="6"/>
        <v>0</v>
      </c>
      <c r="F149" t="str">
        <f t="shared" si="5"/>
        <v/>
      </c>
      <c r="G149">
        <f t="shared" si="5"/>
        <v>0.10590006170000001</v>
      </c>
    </row>
    <row r="150" spans="1:7" x14ac:dyDescent="0.2">
      <c r="A150" t="s">
        <v>2</v>
      </c>
      <c r="B150">
        <v>0.31482717999999998</v>
      </c>
      <c r="C150">
        <v>0</v>
      </c>
      <c r="D150">
        <f t="shared" si="6"/>
        <v>0</v>
      </c>
      <c r="E150" t="str">
        <f t="shared" si="6"/>
        <v/>
      </c>
      <c r="F150">
        <f t="shared" si="5"/>
        <v>0.31482717999999998</v>
      </c>
      <c r="G150" t="str">
        <f t="shared" si="5"/>
        <v/>
      </c>
    </row>
    <row r="151" spans="1:7" x14ac:dyDescent="0.2">
      <c r="A151" t="s">
        <v>2</v>
      </c>
      <c r="B151">
        <v>0.77528969729999997</v>
      </c>
      <c r="C151">
        <v>1</v>
      </c>
      <c r="D151">
        <f t="shared" si="6"/>
        <v>1</v>
      </c>
      <c r="E151" t="str">
        <f t="shared" si="6"/>
        <v/>
      </c>
      <c r="F151">
        <f t="shared" si="5"/>
        <v>0.77528969729999997</v>
      </c>
      <c r="G151" t="str">
        <f t="shared" si="5"/>
        <v/>
      </c>
    </row>
    <row r="152" spans="1:7" x14ac:dyDescent="0.2">
      <c r="A152" t="s">
        <v>2</v>
      </c>
      <c r="B152">
        <v>0.19660122199999999</v>
      </c>
      <c r="C152">
        <v>0</v>
      </c>
      <c r="D152">
        <f t="shared" si="6"/>
        <v>0</v>
      </c>
      <c r="E152" t="str">
        <f t="shared" si="6"/>
        <v/>
      </c>
      <c r="F152">
        <f t="shared" si="5"/>
        <v>0.19660122199999999</v>
      </c>
      <c r="G152" t="str">
        <f t="shared" si="5"/>
        <v/>
      </c>
    </row>
    <row r="153" spans="1:7" x14ac:dyDescent="0.2">
      <c r="A153" t="s">
        <v>0</v>
      </c>
      <c r="B153">
        <v>9.5887144300000005E-2</v>
      </c>
      <c r="C153">
        <v>0</v>
      </c>
      <c r="D153" t="str">
        <f t="shared" si="6"/>
        <v/>
      </c>
      <c r="E153">
        <f t="shared" si="6"/>
        <v>0</v>
      </c>
      <c r="F153" t="str">
        <f t="shared" si="5"/>
        <v/>
      </c>
      <c r="G153">
        <f t="shared" si="5"/>
        <v>9.5887144300000005E-2</v>
      </c>
    </row>
    <row r="154" spans="1:7" x14ac:dyDescent="0.2">
      <c r="A154" t="s">
        <v>2</v>
      </c>
      <c r="B154">
        <v>0.23558195330000001</v>
      </c>
      <c r="C154">
        <v>0</v>
      </c>
      <c r="D154">
        <f t="shared" si="6"/>
        <v>0</v>
      </c>
      <c r="E154" t="str">
        <f t="shared" si="6"/>
        <v/>
      </c>
      <c r="F154">
        <f t="shared" si="5"/>
        <v>0.23558195330000001</v>
      </c>
      <c r="G154" t="str">
        <f t="shared" si="5"/>
        <v/>
      </c>
    </row>
    <row r="155" spans="1:7" x14ac:dyDescent="0.2">
      <c r="A155" t="s">
        <v>0</v>
      </c>
      <c r="B155">
        <v>0.27068515879999999</v>
      </c>
      <c r="C155">
        <v>0</v>
      </c>
      <c r="D155" t="str">
        <f t="shared" si="6"/>
        <v/>
      </c>
      <c r="E155">
        <f t="shared" si="6"/>
        <v>0</v>
      </c>
      <c r="F155" t="str">
        <f t="shared" si="5"/>
        <v/>
      </c>
      <c r="G155">
        <f t="shared" si="5"/>
        <v>0.27068515879999999</v>
      </c>
    </row>
    <row r="156" spans="1:7" x14ac:dyDescent="0.2">
      <c r="A156" t="s">
        <v>0</v>
      </c>
      <c r="B156">
        <v>0.54046122259999996</v>
      </c>
      <c r="C156">
        <v>0</v>
      </c>
      <c r="D156" t="str">
        <f t="shared" si="6"/>
        <v/>
      </c>
      <c r="E156">
        <f t="shared" si="6"/>
        <v>0</v>
      </c>
      <c r="F156" t="str">
        <f t="shared" si="5"/>
        <v/>
      </c>
      <c r="G156">
        <f t="shared" si="5"/>
        <v>0.54046122259999996</v>
      </c>
    </row>
    <row r="157" spans="1:7" x14ac:dyDescent="0.2">
      <c r="A157" t="s">
        <v>2</v>
      </c>
      <c r="B157">
        <v>0.2385084724</v>
      </c>
      <c r="C157">
        <v>0</v>
      </c>
      <c r="D157">
        <f t="shared" si="6"/>
        <v>0</v>
      </c>
      <c r="E157" t="str">
        <f t="shared" si="6"/>
        <v/>
      </c>
      <c r="F157">
        <f t="shared" si="5"/>
        <v>0.2385084724</v>
      </c>
      <c r="G157" t="str">
        <f t="shared" si="5"/>
        <v/>
      </c>
    </row>
    <row r="158" spans="1:7" x14ac:dyDescent="0.2">
      <c r="A158" t="s">
        <v>0</v>
      </c>
      <c r="B158">
        <v>0.66956970029999996</v>
      </c>
      <c r="C158">
        <v>1</v>
      </c>
      <c r="D158" t="str">
        <f t="shared" si="6"/>
        <v/>
      </c>
      <c r="E158">
        <f t="shared" si="6"/>
        <v>1</v>
      </c>
      <c r="F158" t="str">
        <f t="shared" si="5"/>
        <v/>
      </c>
      <c r="G158">
        <f t="shared" si="5"/>
        <v>0.66956970029999996</v>
      </c>
    </row>
    <row r="159" spans="1:7" x14ac:dyDescent="0.2">
      <c r="A159" t="s">
        <v>0</v>
      </c>
      <c r="B159">
        <v>0.39792751329999998</v>
      </c>
      <c r="C159">
        <v>0</v>
      </c>
      <c r="D159" t="str">
        <f t="shared" si="6"/>
        <v/>
      </c>
      <c r="E159">
        <f t="shared" si="6"/>
        <v>0</v>
      </c>
      <c r="F159" t="str">
        <f t="shared" si="5"/>
        <v/>
      </c>
      <c r="G159">
        <f t="shared" si="5"/>
        <v>0.39792751329999998</v>
      </c>
    </row>
    <row r="160" spans="1:7" x14ac:dyDescent="0.2">
      <c r="A160" t="s">
        <v>0</v>
      </c>
      <c r="B160">
        <v>0.42328273869999999</v>
      </c>
      <c r="C160">
        <v>0</v>
      </c>
      <c r="D160" t="str">
        <f t="shared" si="6"/>
        <v/>
      </c>
      <c r="E160">
        <f t="shared" si="6"/>
        <v>0</v>
      </c>
      <c r="F160" t="str">
        <f t="shared" si="5"/>
        <v/>
      </c>
      <c r="G160">
        <f t="shared" si="5"/>
        <v>0.42328273869999999</v>
      </c>
    </row>
    <row r="161" spans="1:7" x14ac:dyDescent="0.2">
      <c r="A161" t="s">
        <v>2</v>
      </c>
      <c r="B161">
        <v>0.60997677279999996</v>
      </c>
      <c r="C161">
        <v>1</v>
      </c>
      <c r="D161">
        <f t="shared" si="6"/>
        <v>1</v>
      </c>
      <c r="E161" t="str">
        <f t="shared" si="6"/>
        <v/>
      </c>
      <c r="F161">
        <f t="shared" si="5"/>
        <v>0.60997677279999996</v>
      </c>
      <c r="G161" t="str">
        <f t="shared" si="5"/>
        <v/>
      </c>
    </row>
    <row r="162" spans="1:7" x14ac:dyDescent="0.2">
      <c r="A162" t="s">
        <v>2</v>
      </c>
      <c r="B162">
        <v>0.42700941609999998</v>
      </c>
      <c r="C162">
        <v>1</v>
      </c>
      <c r="D162">
        <f t="shared" si="6"/>
        <v>1</v>
      </c>
      <c r="E162" t="str">
        <f t="shared" si="6"/>
        <v/>
      </c>
      <c r="F162">
        <f t="shared" si="5"/>
        <v>0.42700941609999998</v>
      </c>
      <c r="G162" t="str">
        <f t="shared" si="5"/>
        <v/>
      </c>
    </row>
    <row r="163" spans="1:7" x14ac:dyDescent="0.2">
      <c r="A163" t="s">
        <v>2</v>
      </c>
      <c r="B163">
        <v>0.52499339550000002</v>
      </c>
      <c r="C163">
        <v>1</v>
      </c>
      <c r="D163">
        <f t="shared" si="6"/>
        <v>1</v>
      </c>
      <c r="E163" t="str">
        <f t="shared" si="6"/>
        <v/>
      </c>
      <c r="F163">
        <f t="shared" si="5"/>
        <v>0.52499339550000002</v>
      </c>
      <c r="G163" t="str">
        <f t="shared" si="5"/>
        <v/>
      </c>
    </row>
    <row r="164" spans="1:7" x14ac:dyDescent="0.2">
      <c r="A164" t="s">
        <v>2</v>
      </c>
      <c r="B164">
        <v>0.75052167299999994</v>
      </c>
      <c r="C164">
        <v>1</v>
      </c>
      <c r="D164">
        <f t="shared" si="6"/>
        <v>1</v>
      </c>
      <c r="E164" t="str">
        <f t="shared" si="6"/>
        <v/>
      </c>
      <c r="F164">
        <f t="shared" si="5"/>
        <v>0.75052167299999994</v>
      </c>
      <c r="G164" t="str">
        <f t="shared" si="5"/>
        <v/>
      </c>
    </row>
    <row r="165" spans="1:7" x14ac:dyDescent="0.2">
      <c r="A165" t="s">
        <v>0</v>
      </c>
      <c r="B165">
        <v>0.15774990890000001</v>
      </c>
      <c r="C165">
        <v>0</v>
      </c>
      <c r="D165" t="str">
        <f t="shared" si="6"/>
        <v/>
      </c>
      <c r="E165">
        <f t="shared" si="6"/>
        <v>0</v>
      </c>
      <c r="F165" t="str">
        <f t="shared" si="5"/>
        <v/>
      </c>
      <c r="G165">
        <f t="shared" si="5"/>
        <v>0.15774990890000001</v>
      </c>
    </row>
    <row r="166" spans="1:7" x14ac:dyDescent="0.2">
      <c r="A166" t="s">
        <v>2</v>
      </c>
      <c r="B166">
        <v>0.1740368507</v>
      </c>
      <c r="C166">
        <v>0</v>
      </c>
      <c r="D166">
        <f t="shared" si="6"/>
        <v>0</v>
      </c>
      <c r="E166" t="str">
        <f t="shared" si="6"/>
        <v/>
      </c>
      <c r="F166">
        <f t="shared" si="5"/>
        <v>0.1740368507</v>
      </c>
      <c r="G166" t="str">
        <f t="shared" si="5"/>
        <v/>
      </c>
    </row>
    <row r="167" spans="1:7" x14ac:dyDescent="0.2">
      <c r="A167" t="s">
        <v>0</v>
      </c>
      <c r="B167">
        <v>0.2867151409</v>
      </c>
      <c r="C167">
        <v>0</v>
      </c>
      <c r="D167" t="str">
        <f t="shared" si="6"/>
        <v/>
      </c>
      <c r="E167">
        <f t="shared" si="6"/>
        <v>0</v>
      </c>
      <c r="F167" t="str">
        <f t="shared" si="5"/>
        <v/>
      </c>
      <c r="G167">
        <f t="shared" si="5"/>
        <v>0.2867151409</v>
      </c>
    </row>
    <row r="168" spans="1:7" x14ac:dyDescent="0.2">
      <c r="A168" t="s">
        <v>2</v>
      </c>
      <c r="B168">
        <v>0.2972829125</v>
      </c>
      <c r="C168">
        <v>1</v>
      </c>
      <c r="D168">
        <f t="shared" si="6"/>
        <v>1</v>
      </c>
      <c r="E168" t="str">
        <f t="shared" si="6"/>
        <v/>
      </c>
      <c r="F168">
        <f t="shared" si="5"/>
        <v>0.2972829125</v>
      </c>
      <c r="G168" t="str">
        <f t="shared" si="5"/>
        <v/>
      </c>
    </row>
    <row r="169" spans="1:7" x14ac:dyDescent="0.2">
      <c r="A169" t="s">
        <v>2</v>
      </c>
      <c r="B169">
        <v>0.29951353219999999</v>
      </c>
      <c r="C169">
        <v>0</v>
      </c>
      <c r="D169">
        <f t="shared" si="6"/>
        <v>0</v>
      </c>
      <c r="E169" t="str">
        <f t="shared" si="6"/>
        <v/>
      </c>
      <c r="F169">
        <f t="shared" si="5"/>
        <v>0.29951353219999999</v>
      </c>
      <c r="G169" t="str">
        <f t="shared" si="5"/>
        <v/>
      </c>
    </row>
    <row r="170" spans="1:7" x14ac:dyDescent="0.2">
      <c r="A170" t="s">
        <v>0</v>
      </c>
      <c r="B170">
        <v>0.3517364321</v>
      </c>
      <c r="C170">
        <v>0</v>
      </c>
      <c r="D170" t="str">
        <f t="shared" si="6"/>
        <v/>
      </c>
      <c r="E170">
        <f t="shared" si="6"/>
        <v>0</v>
      </c>
      <c r="F170" t="str">
        <f t="shared" si="5"/>
        <v/>
      </c>
      <c r="G170">
        <f t="shared" si="5"/>
        <v>0.3517364321</v>
      </c>
    </row>
    <row r="171" spans="1:7" x14ac:dyDescent="0.2">
      <c r="A171" t="s">
        <v>2</v>
      </c>
      <c r="B171">
        <v>0.15182877619999999</v>
      </c>
      <c r="C171">
        <v>0</v>
      </c>
      <c r="D171">
        <f t="shared" si="6"/>
        <v>0</v>
      </c>
      <c r="E171" t="str">
        <f t="shared" si="6"/>
        <v/>
      </c>
      <c r="F171">
        <f t="shared" si="5"/>
        <v>0.15182877619999999</v>
      </c>
      <c r="G171" t="str">
        <f t="shared" si="5"/>
        <v/>
      </c>
    </row>
    <row r="172" spans="1:7" x14ac:dyDescent="0.2">
      <c r="A172" t="s">
        <v>2</v>
      </c>
      <c r="B172">
        <v>0.41493306520000001</v>
      </c>
      <c r="C172">
        <v>1</v>
      </c>
      <c r="D172">
        <f t="shared" si="6"/>
        <v>1</v>
      </c>
      <c r="E172" t="str">
        <f t="shared" si="6"/>
        <v/>
      </c>
      <c r="F172">
        <f t="shared" si="5"/>
        <v>0.41493306520000001</v>
      </c>
      <c r="G172" t="str">
        <f t="shared" si="5"/>
        <v/>
      </c>
    </row>
    <row r="173" spans="1:7" x14ac:dyDescent="0.2">
      <c r="A173" t="s">
        <v>2</v>
      </c>
      <c r="B173">
        <v>0.49613008720000001</v>
      </c>
      <c r="C173">
        <v>0</v>
      </c>
      <c r="D173">
        <f t="shared" si="6"/>
        <v>0</v>
      </c>
      <c r="E173" t="str">
        <f t="shared" si="6"/>
        <v/>
      </c>
      <c r="F173">
        <f t="shared" si="5"/>
        <v>0.49613008720000001</v>
      </c>
      <c r="G173" t="str">
        <f t="shared" si="5"/>
        <v/>
      </c>
    </row>
    <row r="174" spans="1:7" x14ac:dyDescent="0.2">
      <c r="A174" t="s">
        <v>2</v>
      </c>
      <c r="B174">
        <v>0.45186841179999998</v>
      </c>
      <c r="C174">
        <v>0</v>
      </c>
      <c r="D174">
        <f t="shared" si="6"/>
        <v>0</v>
      </c>
      <c r="E174" t="str">
        <f t="shared" si="6"/>
        <v/>
      </c>
      <c r="F174">
        <f t="shared" si="5"/>
        <v>0.45186841179999998</v>
      </c>
      <c r="G174" t="str">
        <f t="shared" si="5"/>
        <v/>
      </c>
    </row>
    <row r="175" spans="1:7" x14ac:dyDescent="0.2">
      <c r="A175" t="s">
        <v>2</v>
      </c>
      <c r="B175">
        <v>0.3068564204</v>
      </c>
      <c r="C175">
        <v>1</v>
      </c>
      <c r="D175">
        <f t="shared" si="6"/>
        <v>1</v>
      </c>
      <c r="E175" t="str">
        <f t="shared" si="6"/>
        <v/>
      </c>
      <c r="F175">
        <f t="shared" si="5"/>
        <v>0.3068564204</v>
      </c>
      <c r="G175" t="str">
        <f t="shared" si="5"/>
        <v/>
      </c>
    </row>
    <row r="176" spans="1:7" x14ac:dyDescent="0.2">
      <c r="A176" t="s">
        <v>0</v>
      </c>
      <c r="B176">
        <v>0.66597455689999996</v>
      </c>
      <c r="C176">
        <v>0</v>
      </c>
      <c r="D176" t="str">
        <f t="shared" si="6"/>
        <v/>
      </c>
      <c r="E176">
        <f t="shared" si="6"/>
        <v>0</v>
      </c>
      <c r="F176" t="str">
        <f t="shared" si="5"/>
        <v/>
      </c>
      <c r="G176">
        <f t="shared" si="5"/>
        <v>0.66597455689999996</v>
      </c>
    </row>
    <row r="177" spans="1:7" x14ac:dyDescent="0.2">
      <c r="A177" t="s">
        <v>2</v>
      </c>
      <c r="B177">
        <v>0.20326729730000001</v>
      </c>
      <c r="C177">
        <v>0</v>
      </c>
      <c r="D177">
        <f t="shared" si="6"/>
        <v>0</v>
      </c>
      <c r="E177" t="str">
        <f t="shared" si="6"/>
        <v/>
      </c>
      <c r="F177">
        <f t="shared" si="5"/>
        <v>0.20326729730000001</v>
      </c>
      <c r="G177" t="str">
        <f t="shared" si="5"/>
        <v/>
      </c>
    </row>
    <row r="178" spans="1:7" x14ac:dyDescent="0.2">
      <c r="A178" t="s">
        <v>0</v>
      </c>
      <c r="B178">
        <v>0.64106222879999997</v>
      </c>
      <c r="C178">
        <v>0</v>
      </c>
      <c r="D178" t="str">
        <f t="shared" si="6"/>
        <v/>
      </c>
      <c r="E178">
        <f t="shared" si="6"/>
        <v>0</v>
      </c>
      <c r="F178" t="str">
        <f t="shared" si="5"/>
        <v/>
      </c>
      <c r="G178">
        <f t="shared" si="5"/>
        <v>0.64106222879999997</v>
      </c>
    </row>
    <row r="179" spans="1:7" x14ac:dyDescent="0.2">
      <c r="A179" t="s">
        <v>0</v>
      </c>
      <c r="B179">
        <v>8.5245205399999996E-2</v>
      </c>
      <c r="C179">
        <v>0</v>
      </c>
      <c r="D179" t="str">
        <f t="shared" si="6"/>
        <v/>
      </c>
      <c r="E179">
        <f t="shared" si="6"/>
        <v>0</v>
      </c>
      <c r="F179" t="str">
        <f t="shared" si="5"/>
        <v/>
      </c>
      <c r="G179">
        <f t="shared" si="5"/>
        <v>8.5245205399999996E-2</v>
      </c>
    </row>
    <row r="180" spans="1:7" x14ac:dyDescent="0.2">
      <c r="A180" t="s">
        <v>2</v>
      </c>
      <c r="B180">
        <v>0.24450517290000001</v>
      </c>
      <c r="C180">
        <v>1</v>
      </c>
      <c r="D180">
        <f t="shared" si="6"/>
        <v>1</v>
      </c>
      <c r="E180" t="str">
        <f t="shared" si="6"/>
        <v/>
      </c>
      <c r="F180">
        <f t="shared" si="5"/>
        <v>0.24450517290000001</v>
      </c>
      <c r="G180" t="str">
        <f t="shared" si="5"/>
        <v/>
      </c>
    </row>
    <row r="181" spans="1:7" x14ac:dyDescent="0.2">
      <c r="A181" t="s">
        <v>2</v>
      </c>
      <c r="B181">
        <v>0.14025563399999999</v>
      </c>
      <c r="C181">
        <v>0</v>
      </c>
      <c r="D181">
        <f t="shared" si="6"/>
        <v>0</v>
      </c>
      <c r="E181" t="str">
        <f t="shared" si="6"/>
        <v/>
      </c>
      <c r="F181">
        <f t="shared" si="5"/>
        <v>0.14025563399999999</v>
      </c>
      <c r="G181" t="str">
        <f t="shared" si="5"/>
        <v/>
      </c>
    </row>
    <row r="182" spans="1:7" x14ac:dyDescent="0.2">
      <c r="A182" t="s">
        <v>2</v>
      </c>
      <c r="B182">
        <v>0.86077949399999998</v>
      </c>
      <c r="C182">
        <v>1</v>
      </c>
      <c r="D182">
        <f t="shared" si="6"/>
        <v>1</v>
      </c>
      <c r="E182" t="str">
        <f t="shared" si="6"/>
        <v/>
      </c>
      <c r="F182">
        <f t="shared" si="5"/>
        <v>0.86077949399999998</v>
      </c>
      <c r="G182" t="str">
        <f t="shared" si="5"/>
        <v/>
      </c>
    </row>
    <row r="183" spans="1:7" x14ac:dyDescent="0.2">
      <c r="A183" t="s">
        <v>2</v>
      </c>
      <c r="B183">
        <v>0.82424966639999997</v>
      </c>
      <c r="C183">
        <v>1</v>
      </c>
      <c r="D183">
        <f t="shared" si="6"/>
        <v>1</v>
      </c>
      <c r="E183" t="str">
        <f t="shared" si="6"/>
        <v/>
      </c>
      <c r="F183">
        <f t="shared" si="5"/>
        <v>0.82424966639999997</v>
      </c>
      <c r="G183" t="str">
        <f t="shared" si="5"/>
        <v/>
      </c>
    </row>
    <row r="184" spans="1:7" x14ac:dyDescent="0.2">
      <c r="A184" t="s">
        <v>2</v>
      </c>
      <c r="B184">
        <v>0.74341442209999997</v>
      </c>
      <c r="C184">
        <v>0</v>
      </c>
      <c r="D184">
        <f t="shared" si="6"/>
        <v>0</v>
      </c>
      <c r="E184" t="str">
        <f t="shared" si="6"/>
        <v/>
      </c>
      <c r="F184">
        <f t="shared" si="5"/>
        <v>0.74341442209999997</v>
      </c>
      <c r="G184" t="str">
        <f t="shared" si="5"/>
        <v/>
      </c>
    </row>
    <row r="185" spans="1:7" x14ac:dyDescent="0.2">
      <c r="A185" t="s">
        <v>0</v>
      </c>
      <c r="B185">
        <v>0.59443337590000001</v>
      </c>
      <c r="C185">
        <v>0</v>
      </c>
      <c r="D185" t="str">
        <f t="shared" si="6"/>
        <v/>
      </c>
      <c r="E185">
        <f t="shared" si="6"/>
        <v>0</v>
      </c>
      <c r="F185" t="str">
        <f t="shared" si="5"/>
        <v/>
      </c>
      <c r="G185">
        <f t="shared" si="5"/>
        <v>0.59443337590000001</v>
      </c>
    </row>
    <row r="186" spans="1:7" x14ac:dyDescent="0.2">
      <c r="A186" t="s">
        <v>2</v>
      </c>
      <c r="B186">
        <v>0.66145592399999997</v>
      </c>
      <c r="C186">
        <v>1</v>
      </c>
      <c r="D186">
        <f t="shared" si="6"/>
        <v>1</v>
      </c>
      <c r="E186" t="str">
        <f t="shared" si="6"/>
        <v/>
      </c>
      <c r="F186">
        <f t="shared" si="5"/>
        <v>0.66145592399999997</v>
      </c>
      <c r="G186" t="str">
        <f t="shared" si="5"/>
        <v/>
      </c>
    </row>
    <row r="187" spans="1:7" x14ac:dyDescent="0.2">
      <c r="A187" t="s">
        <v>2</v>
      </c>
      <c r="B187">
        <v>0.60712316830000002</v>
      </c>
      <c r="C187">
        <v>1</v>
      </c>
      <c r="D187">
        <f t="shared" si="6"/>
        <v>1</v>
      </c>
      <c r="E187" t="str">
        <f t="shared" si="6"/>
        <v/>
      </c>
      <c r="F187">
        <f t="shared" si="5"/>
        <v>0.60712316830000002</v>
      </c>
      <c r="G187" t="str">
        <f t="shared" si="5"/>
        <v/>
      </c>
    </row>
    <row r="188" spans="1:7" x14ac:dyDescent="0.2">
      <c r="A188" t="s">
        <v>2</v>
      </c>
      <c r="B188">
        <v>0.66956970029999996</v>
      </c>
      <c r="C188">
        <v>1</v>
      </c>
      <c r="D188">
        <f t="shared" si="6"/>
        <v>1</v>
      </c>
      <c r="E188" t="str">
        <f t="shared" si="6"/>
        <v/>
      </c>
      <c r="F188">
        <f t="shared" si="5"/>
        <v>0.66956970029999996</v>
      </c>
      <c r="G188" t="str">
        <f t="shared" si="5"/>
        <v/>
      </c>
    </row>
    <row r="189" spans="1:7" x14ac:dyDescent="0.2">
      <c r="A189" t="s">
        <v>2</v>
      </c>
      <c r="B189">
        <v>0.28136956130000002</v>
      </c>
      <c r="C189">
        <v>0</v>
      </c>
      <c r="D189">
        <f t="shared" si="6"/>
        <v>0</v>
      </c>
      <c r="E189" t="str">
        <f t="shared" si="6"/>
        <v/>
      </c>
      <c r="F189">
        <f t="shared" si="5"/>
        <v>0.28136956130000002</v>
      </c>
      <c r="G189" t="str">
        <f t="shared" si="5"/>
        <v/>
      </c>
    </row>
    <row r="190" spans="1:7" x14ac:dyDescent="0.2">
      <c r="A190" t="s">
        <v>0</v>
      </c>
      <c r="B190">
        <v>0.1677031215</v>
      </c>
      <c r="C190">
        <v>1</v>
      </c>
      <c r="D190" t="str">
        <f t="shared" si="6"/>
        <v/>
      </c>
      <c r="E190">
        <f t="shared" si="6"/>
        <v>1</v>
      </c>
      <c r="F190" t="str">
        <f t="shared" si="5"/>
        <v/>
      </c>
      <c r="G190">
        <f t="shared" si="5"/>
        <v>0.1677031215</v>
      </c>
    </row>
    <row r="191" spans="1:7" x14ac:dyDescent="0.2">
      <c r="A191" t="s">
        <v>0</v>
      </c>
      <c r="B191">
        <v>0.66764848710000002</v>
      </c>
      <c r="C191">
        <v>0</v>
      </c>
      <c r="D191" t="str">
        <f t="shared" si="6"/>
        <v/>
      </c>
      <c r="E191">
        <f t="shared" si="6"/>
        <v>0</v>
      </c>
      <c r="F191" t="str">
        <f t="shared" si="5"/>
        <v/>
      </c>
      <c r="G191">
        <f t="shared" si="5"/>
        <v>0.66764848710000002</v>
      </c>
    </row>
    <row r="192" spans="1:7" x14ac:dyDescent="0.2">
      <c r="A192" t="s">
        <v>2</v>
      </c>
      <c r="B192">
        <v>0.59259485300000003</v>
      </c>
      <c r="C192">
        <v>1</v>
      </c>
      <c r="D192">
        <f t="shared" si="6"/>
        <v>1</v>
      </c>
      <c r="E192" t="str">
        <f t="shared" si="6"/>
        <v/>
      </c>
      <c r="F192">
        <f t="shared" si="5"/>
        <v>0.59259485300000003</v>
      </c>
      <c r="G192" t="str">
        <f t="shared" si="5"/>
        <v/>
      </c>
    </row>
    <row r="193" spans="1:7" x14ac:dyDescent="0.2">
      <c r="A193" t="s">
        <v>0</v>
      </c>
      <c r="B193">
        <v>9.2922023699999995E-2</v>
      </c>
      <c r="C193">
        <v>0</v>
      </c>
      <c r="D193" t="str">
        <f t="shared" si="6"/>
        <v/>
      </c>
      <c r="E193">
        <f t="shared" si="6"/>
        <v>0</v>
      </c>
      <c r="F193" t="str">
        <f t="shared" si="5"/>
        <v/>
      </c>
      <c r="G193">
        <f t="shared" si="5"/>
        <v>9.2922023699999995E-2</v>
      </c>
    </row>
    <row r="194" spans="1:7" x14ac:dyDescent="0.2">
      <c r="A194" t="s">
        <v>2</v>
      </c>
      <c r="B194">
        <v>0.69749161550000005</v>
      </c>
      <c r="C194">
        <v>0</v>
      </c>
      <c r="D194">
        <f t="shared" si="6"/>
        <v>0</v>
      </c>
      <c r="E194" t="str">
        <f t="shared" si="6"/>
        <v/>
      </c>
      <c r="F194">
        <f t="shared" si="5"/>
        <v>0.69749161550000005</v>
      </c>
      <c r="G194" t="str">
        <f t="shared" si="5"/>
        <v/>
      </c>
    </row>
    <row r="195" spans="1:7" x14ac:dyDescent="0.2">
      <c r="A195" t="s">
        <v>2</v>
      </c>
      <c r="B195">
        <v>0.74071148840000001</v>
      </c>
      <c r="C195">
        <v>0</v>
      </c>
      <c r="D195">
        <f t="shared" si="6"/>
        <v>0</v>
      </c>
      <c r="E195" t="str">
        <f t="shared" si="6"/>
        <v/>
      </c>
      <c r="F195">
        <f t="shared" ref="F195:G258" si="7">IF($A195=F$1,$B195,"")</f>
        <v>0.74071148840000001</v>
      </c>
      <c r="G195" t="str">
        <f t="shared" si="7"/>
        <v/>
      </c>
    </row>
    <row r="196" spans="1:7" x14ac:dyDescent="0.2">
      <c r="A196" t="s">
        <v>2</v>
      </c>
      <c r="B196">
        <v>0.37500929500000002</v>
      </c>
      <c r="C196">
        <v>0</v>
      </c>
      <c r="D196">
        <f t="shared" si="6"/>
        <v>0</v>
      </c>
      <c r="E196" t="str">
        <f t="shared" si="6"/>
        <v/>
      </c>
      <c r="F196">
        <f t="shared" si="7"/>
        <v>0.37500929500000002</v>
      </c>
      <c r="G196" t="str">
        <f t="shared" si="7"/>
        <v/>
      </c>
    </row>
    <row r="197" spans="1:7" x14ac:dyDescent="0.2">
      <c r="A197" t="s">
        <v>0</v>
      </c>
      <c r="B197">
        <v>0.33425203079999999</v>
      </c>
      <c r="C197">
        <v>0</v>
      </c>
      <c r="D197" t="str">
        <f t="shared" ref="D197:E260" si="8">IF($A197=D$1,$C197,"")</f>
        <v/>
      </c>
      <c r="E197">
        <f t="shared" si="8"/>
        <v>0</v>
      </c>
      <c r="F197" t="str">
        <f t="shared" si="7"/>
        <v/>
      </c>
      <c r="G197">
        <f t="shared" si="7"/>
        <v>0.33425203079999999</v>
      </c>
    </row>
    <row r="198" spans="1:7" x14ac:dyDescent="0.2">
      <c r="A198" t="s">
        <v>2</v>
      </c>
      <c r="B198">
        <v>0.17732391359999999</v>
      </c>
      <c r="C198">
        <v>1</v>
      </c>
      <c r="D198">
        <f t="shared" si="8"/>
        <v>1</v>
      </c>
      <c r="E198" t="str">
        <f t="shared" si="8"/>
        <v/>
      </c>
      <c r="F198">
        <f t="shared" si="7"/>
        <v>0.17732391359999999</v>
      </c>
      <c r="G198" t="str">
        <f t="shared" si="7"/>
        <v/>
      </c>
    </row>
    <row r="199" spans="1:7" x14ac:dyDescent="0.2">
      <c r="A199" t="s">
        <v>2</v>
      </c>
      <c r="B199">
        <v>0.3476504165</v>
      </c>
      <c r="C199">
        <v>0</v>
      </c>
      <c r="D199">
        <f t="shared" si="8"/>
        <v>0</v>
      </c>
      <c r="E199" t="str">
        <f t="shared" si="8"/>
        <v/>
      </c>
      <c r="F199">
        <f t="shared" si="7"/>
        <v>0.3476504165</v>
      </c>
      <c r="G199" t="str">
        <f t="shared" si="7"/>
        <v/>
      </c>
    </row>
    <row r="200" spans="1:7" x14ac:dyDescent="0.2">
      <c r="A200" t="s">
        <v>0</v>
      </c>
      <c r="B200">
        <v>0.1393644963</v>
      </c>
      <c r="C200">
        <v>0</v>
      </c>
      <c r="D200" t="str">
        <f t="shared" si="8"/>
        <v/>
      </c>
      <c r="E200">
        <f t="shared" si="8"/>
        <v>0</v>
      </c>
      <c r="F200" t="str">
        <f t="shared" si="7"/>
        <v/>
      </c>
      <c r="G200">
        <f t="shared" si="7"/>
        <v>0.1393644963</v>
      </c>
    </row>
    <row r="201" spans="1:7" x14ac:dyDescent="0.2">
      <c r="A201" t="s">
        <v>2</v>
      </c>
      <c r="B201">
        <v>0.37636862399999998</v>
      </c>
      <c r="C201">
        <v>1</v>
      </c>
      <c r="D201">
        <f t="shared" si="8"/>
        <v>1</v>
      </c>
      <c r="E201" t="str">
        <f t="shared" si="8"/>
        <v/>
      </c>
      <c r="F201">
        <f t="shared" si="7"/>
        <v>0.37636862399999998</v>
      </c>
      <c r="G201" t="str">
        <f t="shared" si="7"/>
        <v/>
      </c>
    </row>
    <row r="202" spans="1:7" x14ac:dyDescent="0.2">
      <c r="A202" t="s">
        <v>0</v>
      </c>
      <c r="B202">
        <v>9.5818277600000001E-2</v>
      </c>
      <c r="C202">
        <v>0</v>
      </c>
      <c r="D202" t="str">
        <f t="shared" si="8"/>
        <v/>
      </c>
      <c r="E202">
        <f t="shared" si="8"/>
        <v>0</v>
      </c>
      <c r="F202" t="str">
        <f t="shared" si="7"/>
        <v/>
      </c>
      <c r="G202">
        <f t="shared" si="7"/>
        <v>9.5818277600000001E-2</v>
      </c>
    </row>
    <row r="203" spans="1:7" x14ac:dyDescent="0.2">
      <c r="A203" t="s">
        <v>2</v>
      </c>
      <c r="B203">
        <v>0.30931212390000001</v>
      </c>
      <c r="C203">
        <v>0</v>
      </c>
      <c r="D203">
        <f t="shared" si="8"/>
        <v>0</v>
      </c>
      <c r="E203" t="str">
        <f t="shared" si="8"/>
        <v/>
      </c>
      <c r="F203">
        <f t="shared" si="7"/>
        <v>0.30931212390000001</v>
      </c>
      <c r="G203" t="str">
        <f t="shared" si="7"/>
        <v/>
      </c>
    </row>
    <row r="204" spans="1:7" x14ac:dyDescent="0.2">
      <c r="A204" t="s">
        <v>2</v>
      </c>
      <c r="B204">
        <v>0.17780106409999999</v>
      </c>
      <c r="C204">
        <v>0</v>
      </c>
      <c r="D204">
        <f t="shared" si="8"/>
        <v>0</v>
      </c>
      <c r="E204" t="str">
        <f t="shared" si="8"/>
        <v/>
      </c>
      <c r="F204">
        <f t="shared" si="7"/>
        <v>0.17780106409999999</v>
      </c>
      <c r="G204" t="str">
        <f t="shared" si="7"/>
        <v/>
      </c>
    </row>
    <row r="205" spans="1:7" x14ac:dyDescent="0.2">
      <c r="A205" t="s">
        <v>2</v>
      </c>
      <c r="B205">
        <v>0.2101320357</v>
      </c>
      <c r="C205">
        <v>1</v>
      </c>
      <c r="D205">
        <f t="shared" si="8"/>
        <v>1</v>
      </c>
      <c r="E205" t="str">
        <f t="shared" si="8"/>
        <v/>
      </c>
      <c r="F205">
        <f t="shared" si="7"/>
        <v>0.2101320357</v>
      </c>
      <c r="G205" t="str">
        <f t="shared" si="7"/>
        <v/>
      </c>
    </row>
    <row r="206" spans="1:7" x14ac:dyDescent="0.2">
      <c r="A206" t="s">
        <v>2</v>
      </c>
      <c r="B206">
        <v>0.4647439055</v>
      </c>
      <c r="C206">
        <v>1</v>
      </c>
      <c r="D206">
        <f t="shared" si="8"/>
        <v>1</v>
      </c>
      <c r="E206" t="str">
        <f t="shared" si="8"/>
        <v/>
      </c>
      <c r="F206">
        <f t="shared" si="7"/>
        <v>0.4647439055</v>
      </c>
      <c r="G206" t="str">
        <f t="shared" si="7"/>
        <v/>
      </c>
    </row>
    <row r="207" spans="1:7" x14ac:dyDescent="0.2">
      <c r="A207" t="s">
        <v>2</v>
      </c>
      <c r="B207">
        <v>0.65201723</v>
      </c>
      <c r="C207">
        <v>1</v>
      </c>
      <c r="D207">
        <f t="shared" si="8"/>
        <v>1</v>
      </c>
      <c r="E207" t="str">
        <f t="shared" si="8"/>
        <v/>
      </c>
      <c r="F207">
        <f t="shared" si="7"/>
        <v>0.65201723</v>
      </c>
      <c r="G207" t="str">
        <f t="shared" si="7"/>
        <v/>
      </c>
    </row>
    <row r="208" spans="1:7" x14ac:dyDescent="0.2">
      <c r="A208" t="s">
        <v>2</v>
      </c>
      <c r="B208">
        <v>0.69423360450000005</v>
      </c>
      <c r="C208">
        <v>1</v>
      </c>
      <c r="D208">
        <f t="shared" si="8"/>
        <v>1</v>
      </c>
      <c r="E208" t="str">
        <f t="shared" si="8"/>
        <v/>
      </c>
      <c r="F208">
        <f t="shared" si="7"/>
        <v>0.69423360450000005</v>
      </c>
      <c r="G208" t="str">
        <f t="shared" si="7"/>
        <v/>
      </c>
    </row>
    <row r="209" spans="1:7" x14ac:dyDescent="0.2">
      <c r="A209" t="s">
        <v>0</v>
      </c>
      <c r="B209">
        <v>9.5335569699999997E-2</v>
      </c>
      <c r="C209">
        <v>0</v>
      </c>
      <c r="D209" t="str">
        <f t="shared" si="8"/>
        <v/>
      </c>
      <c r="E209">
        <f t="shared" si="8"/>
        <v>0</v>
      </c>
      <c r="F209" t="str">
        <f t="shared" si="7"/>
        <v/>
      </c>
      <c r="G209">
        <f t="shared" si="7"/>
        <v>9.5335569699999997E-2</v>
      </c>
    </row>
    <row r="210" spans="1:7" x14ac:dyDescent="0.2">
      <c r="A210" t="s">
        <v>2</v>
      </c>
      <c r="B210">
        <v>0.35986627869999999</v>
      </c>
      <c r="C210">
        <v>1</v>
      </c>
      <c r="D210">
        <f t="shared" si="8"/>
        <v>1</v>
      </c>
      <c r="E210" t="str">
        <f t="shared" si="8"/>
        <v/>
      </c>
      <c r="F210">
        <f t="shared" si="7"/>
        <v>0.35986627869999999</v>
      </c>
      <c r="G210" t="str">
        <f t="shared" si="7"/>
        <v/>
      </c>
    </row>
    <row r="211" spans="1:7" x14ac:dyDescent="0.2">
      <c r="A211" t="s">
        <v>2</v>
      </c>
      <c r="B211">
        <v>0.77159685229999997</v>
      </c>
      <c r="C211">
        <v>1</v>
      </c>
      <c r="D211">
        <f t="shared" si="8"/>
        <v>1</v>
      </c>
      <c r="E211" t="str">
        <f t="shared" si="8"/>
        <v/>
      </c>
      <c r="F211">
        <f t="shared" si="7"/>
        <v>0.77159685229999997</v>
      </c>
      <c r="G211" t="str">
        <f t="shared" si="7"/>
        <v/>
      </c>
    </row>
    <row r="212" spans="1:7" x14ac:dyDescent="0.2">
      <c r="A212" t="s">
        <v>0</v>
      </c>
      <c r="B212">
        <v>0.56941930419999998</v>
      </c>
      <c r="C212">
        <v>1</v>
      </c>
      <c r="D212" t="str">
        <f t="shared" si="8"/>
        <v/>
      </c>
      <c r="E212">
        <f t="shared" si="8"/>
        <v>1</v>
      </c>
      <c r="F212" t="str">
        <f t="shared" si="7"/>
        <v/>
      </c>
      <c r="G212">
        <f t="shared" si="7"/>
        <v>0.56941930419999998</v>
      </c>
    </row>
    <row r="213" spans="1:7" x14ac:dyDescent="0.2">
      <c r="A213" t="s">
        <v>2</v>
      </c>
      <c r="B213">
        <v>0.1601243426</v>
      </c>
      <c r="C213">
        <v>0</v>
      </c>
      <c r="D213">
        <f t="shared" si="8"/>
        <v>0</v>
      </c>
      <c r="E213" t="str">
        <f t="shared" si="8"/>
        <v/>
      </c>
      <c r="F213">
        <f t="shared" si="7"/>
        <v>0.1601243426</v>
      </c>
      <c r="G213" t="str">
        <f t="shared" si="7"/>
        <v/>
      </c>
    </row>
    <row r="214" spans="1:7" x14ac:dyDescent="0.2">
      <c r="A214" t="s">
        <v>2</v>
      </c>
      <c r="B214">
        <v>0.52144923919999997</v>
      </c>
      <c r="C214">
        <v>1</v>
      </c>
      <c r="D214">
        <f t="shared" si="8"/>
        <v>1</v>
      </c>
      <c r="E214" t="str">
        <f t="shared" si="8"/>
        <v/>
      </c>
      <c r="F214">
        <f t="shared" si="7"/>
        <v>0.52144923919999997</v>
      </c>
      <c r="G214" t="str">
        <f t="shared" si="7"/>
        <v/>
      </c>
    </row>
    <row r="215" spans="1:7" x14ac:dyDescent="0.2">
      <c r="A215" t="s">
        <v>2</v>
      </c>
      <c r="B215">
        <v>0.4930834784</v>
      </c>
      <c r="C215">
        <v>1</v>
      </c>
      <c r="D215">
        <f t="shared" si="8"/>
        <v>1</v>
      </c>
      <c r="E215" t="str">
        <f t="shared" si="8"/>
        <v/>
      </c>
      <c r="F215">
        <f t="shared" si="7"/>
        <v>0.4930834784</v>
      </c>
      <c r="G215" t="str">
        <f t="shared" si="7"/>
        <v/>
      </c>
    </row>
    <row r="216" spans="1:7" x14ac:dyDescent="0.2">
      <c r="A216" t="s">
        <v>2</v>
      </c>
      <c r="B216">
        <v>0.31218173700000001</v>
      </c>
      <c r="C216">
        <v>0</v>
      </c>
      <c r="D216">
        <f t="shared" si="8"/>
        <v>0</v>
      </c>
      <c r="E216" t="str">
        <f t="shared" si="8"/>
        <v/>
      </c>
      <c r="F216">
        <f t="shared" si="7"/>
        <v>0.31218173700000001</v>
      </c>
      <c r="G216" t="str">
        <f t="shared" si="7"/>
        <v/>
      </c>
    </row>
    <row r="217" spans="1:7" x14ac:dyDescent="0.2">
      <c r="A217" t="s">
        <v>2</v>
      </c>
      <c r="B217">
        <v>0.72248568349999998</v>
      </c>
      <c r="C217">
        <v>0</v>
      </c>
      <c r="D217">
        <f t="shared" si="8"/>
        <v>0</v>
      </c>
      <c r="E217" t="str">
        <f t="shared" si="8"/>
        <v/>
      </c>
      <c r="F217">
        <f t="shared" si="7"/>
        <v>0.72248568349999998</v>
      </c>
      <c r="G217" t="str">
        <f t="shared" si="7"/>
        <v/>
      </c>
    </row>
    <row r="218" spans="1:7" x14ac:dyDescent="0.2">
      <c r="A218" t="s">
        <v>0</v>
      </c>
      <c r="B218">
        <v>0.18713308849999999</v>
      </c>
      <c r="C218">
        <v>0</v>
      </c>
      <c r="D218" t="str">
        <f t="shared" si="8"/>
        <v/>
      </c>
      <c r="E218">
        <f t="shared" si="8"/>
        <v>0</v>
      </c>
      <c r="F218" t="str">
        <f t="shared" si="7"/>
        <v/>
      </c>
      <c r="G218">
        <f t="shared" si="7"/>
        <v>0.18713308849999999</v>
      </c>
    </row>
    <row r="219" spans="1:7" x14ac:dyDescent="0.2">
      <c r="A219" t="s">
        <v>0</v>
      </c>
      <c r="B219">
        <v>0.56168335049999996</v>
      </c>
      <c r="C219">
        <v>1</v>
      </c>
      <c r="D219" t="str">
        <f t="shared" si="8"/>
        <v/>
      </c>
      <c r="E219">
        <f t="shared" si="8"/>
        <v>1</v>
      </c>
      <c r="F219" t="str">
        <f t="shared" si="7"/>
        <v/>
      </c>
      <c r="G219">
        <f t="shared" si="7"/>
        <v>0.56168335049999996</v>
      </c>
    </row>
    <row r="220" spans="1:7" x14ac:dyDescent="0.2">
      <c r="A220" t="s">
        <v>2</v>
      </c>
      <c r="B220">
        <v>0.51045679990000004</v>
      </c>
      <c r="C220">
        <v>1</v>
      </c>
      <c r="D220">
        <f t="shared" si="8"/>
        <v>1</v>
      </c>
      <c r="E220" t="str">
        <f t="shared" si="8"/>
        <v/>
      </c>
      <c r="F220">
        <f t="shared" si="7"/>
        <v>0.51045679990000004</v>
      </c>
      <c r="G220" t="str">
        <f t="shared" si="7"/>
        <v/>
      </c>
    </row>
    <row r="221" spans="1:7" x14ac:dyDescent="0.2">
      <c r="A221" t="s">
        <v>0</v>
      </c>
      <c r="B221">
        <v>0.33911451209999999</v>
      </c>
      <c r="C221">
        <v>0</v>
      </c>
      <c r="D221" t="str">
        <f t="shared" si="8"/>
        <v/>
      </c>
      <c r="E221">
        <f t="shared" si="8"/>
        <v>0</v>
      </c>
      <c r="F221" t="str">
        <f t="shared" si="7"/>
        <v/>
      </c>
      <c r="G221">
        <f t="shared" si="7"/>
        <v>0.33911451209999999</v>
      </c>
    </row>
    <row r="222" spans="1:7" x14ac:dyDescent="0.2">
      <c r="A222" t="s">
        <v>2</v>
      </c>
      <c r="B222">
        <v>0.31634781140000001</v>
      </c>
      <c r="C222">
        <v>0</v>
      </c>
      <c r="D222">
        <f t="shared" si="8"/>
        <v>0</v>
      </c>
      <c r="E222" t="str">
        <f t="shared" si="8"/>
        <v/>
      </c>
      <c r="F222">
        <f t="shared" si="7"/>
        <v>0.31634781140000001</v>
      </c>
      <c r="G222" t="str">
        <f t="shared" si="7"/>
        <v/>
      </c>
    </row>
    <row r="223" spans="1:7" x14ac:dyDescent="0.2">
      <c r="A223" t="s">
        <v>2</v>
      </c>
      <c r="B223">
        <v>0.45882434529999999</v>
      </c>
      <c r="C223">
        <v>1</v>
      </c>
      <c r="D223">
        <f t="shared" si="8"/>
        <v>1</v>
      </c>
      <c r="E223" t="str">
        <f t="shared" si="8"/>
        <v/>
      </c>
      <c r="F223">
        <f t="shared" si="7"/>
        <v>0.45882434529999999</v>
      </c>
      <c r="G223" t="str">
        <f t="shared" si="7"/>
        <v/>
      </c>
    </row>
    <row r="224" spans="1:7" x14ac:dyDescent="0.2">
      <c r="A224" t="s">
        <v>2</v>
      </c>
      <c r="B224">
        <v>0.2497878211</v>
      </c>
      <c r="C224">
        <v>0</v>
      </c>
      <c r="D224">
        <f t="shared" si="8"/>
        <v>0</v>
      </c>
      <c r="E224" t="str">
        <f t="shared" si="8"/>
        <v/>
      </c>
      <c r="F224">
        <f t="shared" si="7"/>
        <v>0.2497878211</v>
      </c>
      <c r="G224" t="str">
        <f t="shared" si="7"/>
        <v/>
      </c>
    </row>
    <row r="225" spans="1:7" x14ac:dyDescent="0.2">
      <c r="A225" t="s">
        <v>2</v>
      </c>
      <c r="B225">
        <v>0.37123630460000001</v>
      </c>
      <c r="C225">
        <v>0</v>
      </c>
      <c r="D225">
        <f t="shared" si="8"/>
        <v>0</v>
      </c>
      <c r="E225" t="str">
        <f t="shared" si="8"/>
        <v/>
      </c>
      <c r="F225">
        <f t="shared" si="7"/>
        <v>0.37123630460000001</v>
      </c>
      <c r="G225" t="str">
        <f t="shared" si="7"/>
        <v/>
      </c>
    </row>
    <row r="226" spans="1:7" x14ac:dyDescent="0.2">
      <c r="A226" t="s">
        <v>2</v>
      </c>
      <c r="B226">
        <v>0.33097054380000002</v>
      </c>
      <c r="C226">
        <v>0</v>
      </c>
      <c r="D226">
        <f t="shared" si="8"/>
        <v>0</v>
      </c>
      <c r="E226" t="str">
        <f t="shared" si="8"/>
        <v/>
      </c>
      <c r="F226">
        <f t="shared" si="7"/>
        <v>0.33097054380000002</v>
      </c>
      <c r="G226" t="str">
        <f t="shared" si="7"/>
        <v/>
      </c>
    </row>
    <row r="227" spans="1:7" x14ac:dyDescent="0.2">
      <c r="A227" t="s">
        <v>0</v>
      </c>
      <c r="B227">
        <v>0.83540020559999995</v>
      </c>
      <c r="C227">
        <v>1</v>
      </c>
      <c r="D227" t="str">
        <f t="shared" si="8"/>
        <v/>
      </c>
      <c r="E227">
        <f t="shared" si="8"/>
        <v>1</v>
      </c>
      <c r="F227" t="str">
        <f t="shared" si="7"/>
        <v/>
      </c>
      <c r="G227">
        <f t="shared" si="7"/>
        <v>0.83540020559999995</v>
      </c>
    </row>
    <row r="228" spans="1:7" x14ac:dyDescent="0.2">
      <c r="A228" t="s">
        <v>0</v>
      </c>
      <c r="B228">
        <v>0.34513026990000001</v>
      </c>
      <c r="C228">
        <v>0</v>
      </c>
      <c r="D228" t="str">
        <f t="shared" si="8"/>
        <v/>
      </c>
      <c r="E228">
        <f t="shared" si="8"/>
        <v>0</v>
      </c>
      <c r="F228" t="str">
        <f t="shared" si="7"/>
        <v/>
      </c>
      <c r="G228">
        <f t="shared" si="7"/>
        <v>0.34513026990000001</v>
      </c>
    </row>
    <row r="229" spans="1:7" x14ac:dyDescent="0.2">
      <c r="A229" t="s">
        <v>2</v>
      </c>
      <c r="B229">
        <v>0.18663754399999999</v>
      </c>
      <c r="C229">
        <v>0</v>
      </c>
      <c r="D229">
        <f t="shared" si="8"/>
        <v>0</v>
      </c>
      <c r="E229" t="str">
        <f t="shared" si="8"/>
        <v/>
      </c>
      <c r="F229">
        <f t="shared" si="7"/>
        <v>0.18663754399999999</v>
      </c>
      <c r="G229" t="str">
        <f t="shared" si="7"/>
        <v/>
      </c>
    </row>
    <row r="230" spans="1:7" x14ac:dyDescent="0.2">
      <c r="A230" t="s">
        <v>0</v>
      </c>
      <c r="B230">
        <v>0.55347613529999995</v>
      </c>
      <c r="C230">
        <v>1</v>
      </c>
      <c r="D230" t="str">
        <f t="shared" si="8"/>
        <v/>
      </c>
      <c r="E230">
        <f t="shared" si="8"/>
        <v>1</v>
      </c>
      <c r="F230" t="str">
        <f t="shared" si="7"/>
        <v/>
      </c>
      <c r="G230">
        <f t="shared" si="7"/>
        <v>0.55347613529999995</v>
      </c>
    </row>
    <row r="231" spans="1:7" x14ac:dyDescent="0.2">
      <c r="A231" t="s">
        <v>2</v>
      </c>
      <c r="B231">
        <v>0.67083095209999999</v>
      </c>
      <c r="C231">
        <v>0</v>
      </c>
      <c r="D231">
        <f t="shared" si="8"/>
        <v>0</v>
      </c>
      <c r="E231" t="str">
        <f t="shared" si="8"/>
        <v/>
      </c>
      <c r="F231">
        <f t="shared" si="7"/>
        <v>0.67083095209999999</v>
      </c>
      <c r="G231" t="str">
        <f t="shared" si="7"/>
        <v/>
      </c>
    </row>
    <row r="232" spans="1:7" x14ac:dyDescent="0.2">
      <c r="A232" t="s">
        <v>0</v>
      </c>
      <c r="B232">
        <v>0.59661072900000001</v>
      </c>
      <c r="C232">
        <v>1</v>
      </c>
      <c r="D232" t="str">
        <f t="shared" si="8"/>
        <v/>
      </c>
      <c r="E232">
        <f t="shared" si="8"/>
        <v>1</v>
      </c>
      <c r="F232" t="str">
        <f t="shared" si="7"/>
        <v/>
      </c>
      <c r="G232">
        <f t="shared" si="7"/>
        <v>0.59661072900000001</v>
      </c>
    </row>
    <row r="233" spans="1:7" x14ac:dyDescent="0.2">
      <c r="A233" t="s">
        <v>2</v>
      </c>
      <c r="B233">
        <v>0.18425719900000001</v>
      </c>
      <c r="C233">
        <v>0</v>
      </c>
      <c r="D233">
        <f t="shared" si="8"/>
        <v>0</v>
      </c>
      <c r="E233" t="str">
        <f t="shared" si="8"/>
        <v/>
      </c>
      <c r="F233">
        <f t="shared" si="7"/>
        <v>0.18425719900000001</v>
      </c>
      <c r="G233" t="str">
        <f t="shared" si="7"/>
        <v/>
      </c>
    </row>
    <row r="234" spans="1:7" x14ac:dyDescent="0.2">
      <c r="A234" t="s">
        <v>2</v>
      </c>
      <c r="B234">
        <v>0.15429440150000001</v>
      </c>
      <c r="C234">
        <v>0</v>
      </c>
      <c r="D234">
        <f t="shared" si="8"/>
        <v>0</v>
      </c>
      <c r="E234" t="str">
        <f t="shared" si="8"/>
        <v/>
      </c>
      <c r="F234">
        <f t="shared" si="7"/>
        <v>0.15429440150000001</v>
      </c>
      <c r="G234" t="str">
        <f t="shared" si="7"/>
        <v/>
      </c>
    </row>
    <row r="235" spans="1:7" x14ac:dyDescent="0.2">
      <c r="A235" t="s">
        <v>0</v>
      </c>
      <c r="B235">
        <v>0.42501094639999998</v>
      </c>
      <c r="C235">
        <v>1</v>
      </c>
      <c r="D235" t="str">
        <f t="shared" si="8"/>
        <v/>
      </c>
      <c r="E235">
        <f t="shared" si="8"/>
        <v>1</v>
      </c>
      <c r="F235" t="str">
        <f t="shared" si="7"/>
        <v/>
      </c>
      <c r="G235">
        <f t="shared" si="7"/>
        <v>0.42501094639999998</v>
      </c>
    </row>
    <row r="236" spans="1:7" x14ac:dyDescent="0.2">
      <c r="A236" t="s">
        <v>0</v>
      </c>
      <c r="B236">
        <v>0.60956201219999995</v>
      </c>
      <c r="C236">
        <v>0</v>
      </c>
      <c r="D236" t="str">
        <f t="shared" si="8"/>
        <v/>
      </c>
      <c r="E236">
        <f t="shared" si="8"/>
        <v>0</v>
      </c>
      <c r="F236" t="str">
        <f t="shared" si="7"/>
        <v/>
      </c>
      <c r="G236">
        <f t="shared" si="7"/>
        <v>0.60956201219999995</v>
      </c>
    </row>
    <row r="237" spans="1:7" x14ac:dyDescent="0.2">
      <c r="A237" t="s">
        <v>2</v>
      </c>
      <c r="B237">
        <v>0.47063298380000002</v>
      </c>
      <c r="C237">
        <v>1</v>
      </c>
      <c r="D237">
        <f t="shared" si="8"/>
        <v>1</v>
      </c>
      <c r="E237" t="str">
        <f t="shared" si="8"/>
        <v/>
      </c>
      <c r="F237">
        <f t="shared" si="7"/>
        <v>0.47063298380000002</v>
      </c>
      <c r="G237" t="str">
        <f t="shared" si="7"/>
        <v/>
      </c>
    </row>
    <row r="238" spans="1:7" x14ac:dyDescent="0.2">
      <c r="A238" t="s">
        <v>0</v>
      </c>
      <c r="B238">
        <v>0.28004818079999999</v>
      </c>
      <c r="C238">
        <v>0</v>
      </c>
      <c r="D238" t="str">
        <f t="shared" si="8"/>
        <v/>
      </c>
      <c r="E238">
        <f t="shared" si="8"/>
        <v>0</v>
      </c>
      <c r="F238" t="str">
        <f t="shared" si="7"/>
        <v/>
      </c>
      <c r="G238">
        <f t="shared" si="7"/>
        <v>0.28004818079999999</v>
      </c>
    </row>
    <row r="239" spans="1:7" x14ac:dyDescent="0.2">
      <c r="A239" t="s">
        <v>2</v>
      </c>
      <c r="B239">
        <v>0.555248034</v>
      </c>
      <c r="C239">
        <v>0</v>
      </c>
      <c r="D239">
        <f t="shared" si="8"/>
        <v>0</v>
      </c>
      <c r="E239" t="str">
        <f t="shared" si="8"/>
        <v/>
      </c>
      <c r="F239">
        <f t="shared" si="7"/>
        <v>0.555248034</v>
      </c>
      <c r="G239" t="str">
        <f t="shared" si="7"/>
        <v/>
      </c>
    </row>
    <row r="240" spans="1:7" x14ac:dyDescent="0.2">
      <c r="A240" t="s">
        <v>2</v>
      </c>
      <c r="B240">
        <v>0.2959568494</v>
      </c>
      <c r="C240">
        <v>0</v>
      </c>
      <c r="D240">
        <f t="shared" si="8"/>
        <v>0</v>
      </c>
      <c r="E240" t="str">
        <f t="shared" si="8"/>
        <v/>
      </c>
      <c r="F240">
        <f t="shared" si="7"/>
        <v>0.2959568494</v>
      </c>
      <c r="G240" t="str">
        <f t="shared" si="7"/>
        <v/>
      </c>
    </row>
    <row r="241" spans="1:7" x14ac:dyDescent="0.2">
      <c r="A241" t="s">
        <v>2</v>
      </c>
      <c r="B241">
        <v>0.4056172884</v>
      </c>
      <c r="C241">
        <v>0</v>
      </c>
      <c r="D241">
        <f t="shared" si="8"/>
        <v>0</v>
      </c>
      <c r="E241" t="str">
        <f t="shared" si="8"/>
        <v/>
      </c>
      <c r="F241">
        <f t="shared" si="7"/>
        <v>0.4056172884</v>
      </c>
      <c r="G241" t="str">
        <f t="shared" si="7"/>
        <v/>
      </c>
    </row>
    <row r="242" spans="1:7" x14ac:dyDescent="0.2">
      <c r="A242" t="s">
        <v>0</v>
      </c>
      <c r="B242">
        <v>0.39715664150000002</v>
      </c>
      <c r="C242">
        <v>0</v>
      </c>
      <c r="D242" t="str">
        <f t="shared" si="8"/>
        <v/>
      </c>
      <c r="E242">
        <f t="shared" si="8"/>
        <v>0</v>
      </c>
      <c r="F242" t="str">
        <f t="shared" si="7"/>
        <v/>
      </c>
      <c r="G242">
        <f t="shared" si="7"/>
        <v>0.39715664150000002</v>
      </c>
    </row>
    <row r="243" spans="1:7" x14ac:dyDescent="0.2">
      <c r="A243" t="s">
        <v>0</v>
      </c>
      <c r="B243">
        <v>0.61728198609999996</v>
      </c>
      <c r="C243">
        <v>1</v>
      </c>
      <c r="D243" t="str">
        <f t="shared" si="8"/>
        <v/>
      </c>
      <c r="E243">
        <f t="shared" si="8"/>
        <v>1</v>
      </c>
      <c r="F243" t="str">
        <f t="shared" si="7"/>
        <v/>
      </c>
      <c r="G243">
        <f t="shared" si="7"/>
        <v>0.61728198609999996</v>
      </c>
    </row>
    <row r="244" spans="1:7" x14ac:dyDescent="0.2">
      <c r="A244" t="s">
        <v>0</v>
      </c>
      <c r="B244">
        <v>0.68786424209999997</v>
      </c>
      <c r="C244">
        <v>0</v>
      </c>
      <c r="D244" t="str">
        <f t="shared" si="8"/>
        <v/>
      </c>
      <c r="E244">
        <f t="shared" si="8"/>
        <v>0</v>
      </c>
      <c r="F244" t="str">
        <f t="shared" si="7"/>
        <v/>
      </c>
      <c r="G244">
        <f t="shared" si="7"/>
        <v>0.68786424209999997</v>
      </c>
    </row>
    <row r="245" spans="1:7" x14ac:dyDescent="0.2">
      <c r="A245" t="s">
        <v>2</v>
      </c>
      <c r="B245">
        <v>0.3622689825</v>
      </c>
      <c r="C245">
        <v>0</v>
      </c>
      <c r="D245">
        <f t="shared" si="8"/>
        <v>0</v>
      </c>
      <c r="E245" t="str">
        <f t="shared" si="8"/>
        <v/>
      </c>
      <c r="F245">
        <f t="shared" si="7"/>
        <v>0.3622689825</v>
      </c>
      <c r="G245" t="str">
        <f t="shared" si="7"/>
        <v/>
      </c>
    </row>
    <row r="246" spans="1:7" x14ac:dyDescent="0.2">
      <c r="A246" t="s">
        <v>2</v>
      </c>
      <c r="B246">
        <v>0.39752354080000002</v>
      </c>
      <c r="C246">
        <v>1</v>
      </c>
      <c r="D246">
        <f t="shared" si="8"/>
        <v>1</v>
      </c>
      <c r="E246" t="str">
        <f t="shared" si="8"/>
        <v/>
      </c>
      <c r="F246">
        <f t="shared" si="7"/>
        <v>0.39752354080000002</v>
      </c>
      <c r="G246" t="str">
        <f t="shared" si="7"/>
        <v/>
      </c>
    </row>
    <row r="247" spans="1:7" x14ac:dyDescent="0.2">
      <c r="A247" t="s">
        <v>2</v>
      </c>
      <c r="B247">
        <v>0.42818879129999998</v>
      </c>
      <c r="C247">
        <v>1</v>
      </c>
      <c r="D247">
        <f t="shared" si="8"/>
        <v>1</v>
      </c>
      <c r="E247" t="str">
        <f t="shared" si="8"/>
        <v/>
      </c>
      <c r="F247">
        <f t="shared" si="7"/>
        <v>0.42818879129999998</v>
      </c>
      <c r="G247" t="str">
        <f t="shared" si="7"/>
        <v/>
      </c>
    </row>
    <row r="248" spans="1:7" x14ac:dyDescent="0.2">
      <c r="A248" t="s">
        <v>2</v>
      </c>
      <c r="B248">
        <v>0.1003757612</v>
      </c>
      <c r="C248">
        <v>0</v>
      </c>
      <c r="D248">
        <f t="shared" si="8"/>
        <v>0</v>
      </c>
      <c r="E248" t="str">
        <f t="shared" si="8"/>
        <v/>
      </c>
      <c r="F248">
        <f t="shared" si="7"/>
        <v>0.1003757612</v>
      </c>
      <c r="G248" t="str">
        <f t="shared" si="7"/>
        <v/>
      </c>
    </row>
    <row r="249" spans="1:7" x14ac:dyDescent="0.2">
      <c r="A249" t="s">
        <v>0</v>
      </c>
      <c r="B249">
        <v>0.20891813749999999</v>
      </c>
      <c r="C249">
        <v>1</v>
      </c>
      <c r="D249" t="str">
        <f t="shared" si="8"/>
        <v/>
      </c>
      <c r="E249">
        <f t="shared" si="8"/>
        <v>1</v>
      </c>
      <c r="F249" t="str">
        <f t="shared" si="7"/>
        <v/>
      </c>
      <c r="G249">
        <f t="shared" si="7"/>
        <v>0.20891813749999999</v>
      </c>
    </row>
    <row r="250" spans="1:7" x14ac:dyDescent="0.2">
      <c r="A250" t="s">
        <v>2</v>
      </c>
      <c r="B250">
        <v>0.45955602420000002</v>
      </c>
      <c r="C250">
        <v>0</v>
      </c>
      <c r="D250">
        <f t="shared" si="8"/>
        <v>0</v>
      </c>
      <c r="E250" t="str">
        <f t="shared" si="8"/>
        <v/>
      </c>
      <c r="F250">
        <f t="shared" si="7"/>
        <v>0.45955602420000002</v>
      </c>
      <c r="G250" t="str">
        <f t="shared" si="7"/>
        <v/>
      </c>
    </row>
    <row r="251" spans="1:7" x14ac:dyDescent="0.2">
      <c r="A251" t="s">
        <v>2</v>
      </c>
      <c r="B251">
        <v>0.75152179900000005</v>
      </c>
      <c r="C251">
        <v>1</v>
      </c>
      <c r="D251">
        <f t="shared" si="8"/>
        <v>1</v>
      </c>
      <c r="E251" t="str">
        <f t="shared" si="8"/>
        <v/>
      </c>
      <c r="F251">
        <f t="shared" si="7"/>
        <v>0.75152179900000005</v>
      </c>
      <c r="G251" t="str">
        <f t="shared" si="7"/>
        <v/>
      </c>
    </row>
    <row r="252" spans="1:7" x14ac:dyDescent="0.2">
      <c r="A252" t="s">
        <v>2</v>
      </c>
      <c r="B252">
        <v>0.17217871360000001</v>
      </c>
      <c r="C252">
        <v>0</v>
      </c>
      <c r="D252">
        <f t="shared" si="8"/>
        <v>0</v>
      </c>
      <c r="E252" t="str">
        <f t="shared" si="8"/>
        <v/>
      </c>
      <c r="F252">
        <f t="shared" si="7"/>
        <v>0.17217871360000001</v>
      </c>
      <c r="G252" t="str">
        <f t="shared" si="7"/>
        <v/>
      </c>
    </row>
    <row r="253" spans="1:7" x14ac:dyDescent="0.2">
      <c r="A253" t="s">
        <v>0</v>
      </c>
      <c r="B253">
        <v>0.26812955500000002</v>
      </c>
      <c r="C253">
        <v>1</v>
      </c>
      <c r="D253" t="str">
        <f t="shared" si="8"/>
        <v/>
      </c>
      <c r="E253">
        <f t="shared" si="8"/>
        <v>1</v>
      </c>
      <c r="F253" t="str">
        <f t="shared" si="7"/>
        <v/>
      </c>
      <c r="G253">
        <f t="shared" si="7"/>
        <v>0.26812955500000002</v>
      </c>
    </row>
    <row r="254" spans="1:7" x14ac:dyDescent="0.2">
      <c r="A254" t="s">
        <v>0</v>
      </c>
      <c r="B254">
        <v>0.70424966690000002</v>
      </c>
      <c r="C254">
        <v>1</v>
      </c>
      <c r="D254" t="str">
        <f t="shared" si="8"/>
        <v/>
      </c>
      <c r="E254">
        <f t="shared" si="8"/>
        <v>1</v>
      </c>
      <c r="F254" t="str">
        <f t="shared" si="7"/>
        <v/>
      </c>
      <c r="G254">
        <f t="shared" si="7"/>
        <v>0.70424966690000002</v>
      </c>
    </row>
    <row r="255" spans="1:7" x14ac:dyDescent="0.2">
      <c r="A255" t="s">
        <v>0</v>
      </c>
      <c r="B255">
        <v>0.57276107890000005</v>
      </c>
      <c r="C255">
        <v>1</v>
      </c>
      <c r="D255" t="str">
        <f t="shared" si="8"/>
        <v/>
      </c>
      <c r="E255">
        <f t="shared" si="8"/>
        <v>1</v>
      </c>
      <c r="F255" t="str">
        <f t="shared" si="7"/>
        <v/>
      </c>
      <c r="G255">
        <f t="shared" si="7"/>
        <v>0.57276107890000005</v>
      </c>
    </row>
    <row r="256" spans="1:7" x14ac:dyDescent="0.2">
      <c r="A256" t="s">
        <v>2</v>
      </c>
      <c r="B256">
        <v>0.55537332250000004</v>
      </c>
      <c r="C256">
        <v>1</v>
      </c>
      <c r="D256">
        <f t="shared" si="8"/>
        <v>1</v>
      </c>
      <c r="E256" t="str">
        <f t="shared" si="8"/>
        <v/>
      </c>
      <c r="F256">
        <f t="shared" si="7"/>
        <v>0.55537332250000004</v>
      </c>
      <c r="G256" t="str">
        <f t="shared" si="7"/>
        <v/>
      </c>
    </row>
    <row r="257" spans="1:7" x14ac:dyDescent="0.2">
      <c r="A257" t="s">
        <v>0</v>
      </c>
      <c r="B257">
        <v>0.50100278659999997</v>
      </c>
      <c r="C257">
        <v>1</v>
      </c>
      <c r="D257" t="str">
        <f t="shared" si="8"/>
        <v/>
      </c>
      <c r="E257">
        <f t="shared" si="8"/>
        <v>1</v>
      </c>
      <c r="F257" t="str">
        <f t="shared" si="7"/>
        <v/>
      </c>
      <c r="G257">
        <f t="shared" si="7"/>
        <v>0.50100278659999997</v>
      </c>
    </row>
    <row r="258" spans="1:7" x14ac:dyDescent="0.2">
      <c r="A258" t="s">
        <v>0</v>
      </c>
      <c r="B258">
        <v>0.52337746119999995</v>
      </c>
      <c r="C258">
        <v>0</v>
      </c>
      <c r="D258" t="str">
        <f t="shared" si="8"/>
        <v/>
      </c>
      <c r="E258">
        <f t="shared" si="8"/>
        <v>0</v>
      </c>
      <c r="F258" t="str">
        <f t="shared" si="7"/>
        <v/>
      </c>
      <c r="G258">
        <f t="shared" si="7"/>
        <v>0.52337746119999995</v>
      </c>
    </row>
    <row r="259" spans="1:7" x14ac:dyDescent="0.2">
      <c r="A259" t="s">
        <v>2</v>
      </c>
      <c r="B259">
        <v>0.30851601080000002</v>
      </c>
      <c r="C259">
        <v>0</v>
      </c>
      <c r="D259">
        <f t="shared" si="8"/>
        <v>0</v>
      </c>
      <c r="E259" t="str">
        <f t="shared" si="8"/>
        <v/>
      </c>
      <c r="F259">
        <f t="shared" ref="F259:G322" si="9">IF($A259=F$1,$B259,"")</f>
        <v>0.30851601080000002</v>
      </c>
      <c r="G259" t="str">
        <f t="shared" si="9"/>
        <v/>
      </c>
    </row>
    <row r="260" spans="1:7" x14ac:dyDescent="0.2">
      <c r="A260" t="s">
        <v>2</v>
      </c>
      <c r="B260">
        <v>0.69508270080000001</v>
      </c>
      <c r="C260">
        <v>1</v>
      </c>
      <c r="D260">
        <f t="shared" si="8"/>
        <v>1</v>
      </c>
      <c r="E260" t="str">
        <f t="shared" si="8"/>
        <v/>
      </c>
      <c r="F260">
        <f t="shared" si="9"/>
        <v>0.69508270080000001</v>
      </c>
      <c r="G260" t="str">
        <f t="shared" si="9"/>
        <v/>
      </c>
    </row>
    <row r="261" spans="1:7" x14ac:dyDescent="0.2">
      <c r="A261" t="s">
        <v>2</v>
      </c>
      <c r="B261">
        <v>0.57733992909999998</v>
      </c>
      <c r="C261">
        <v>0</v>
      </c>
      <c r="D261">
        <f t="shared" ref="D261:E324" si="10">IF($A261=D$1,$C261,"")</f>
        <v>0</v>
      </c>
      <c r="E261" t="str">
        <f t="shared" si="10"/>
        <v/>
      </c>
      <c r="F261">
        <f t="shared" si="9"/>
        <v>0.57733992909999998</v>
      </c>
      <c r="G261" t="str">
        <f t="shared" si="9"/>
        <v/>
      </c>
    </row>
    <row r="262" spans="1:7" x14ac:dyDescent="0.2">
      <c r="A262" t="s">
        <v>2</v>
      </c>
      <c r="B262">
        <v>0.63748276010000005</v>
      </c>
      <c r="C262">
        <v>0</v>
      </c>
      <c r="D262">
        <f t="shared" si="10"/>
        <v>0</v>
      </c>
      <c r="E262" t="str">
        <f t="shared" si="10"/>
        <v/>
      </c>
      <c r="F262">
        <f t="shared" si="9"/>
        <v>0.63748276010000005</v>
      </c>
      <c r="G262" t="str">
        <f t="shared" si="9"/>
        <v/>
      </c>
    </row>
    <row r="263" spans="1:7" x14ac:dyDescent="0.2">
      <c r="A263" t="s">
        <v>0</v>
      </c>
      <c r="B263">
        <v>0.49782251919999998</v>
      </c>
      <c r="C263">
        <v>0</v>
      </c>
      <c r="D263" t="str">
        <f t="shared" si="10"/>
        <v/>
      </c>
      <c r="E263">
        <f t="shared" si="10"/>
        <v>0</v>
      </c>
      <c r="F263" t="str">
        <f t="shared" si="9"/>
        <v/>
      </c>
      <c r="G263">
        <f t="shared" si="9"/>
        <v>0.49782251919999998</v>
      </c>
    </row>
    <row r="264" spans="1:7" x14ac:dyDescent="0.2">
      <c r="A264" t="s">
        <v>2</v>
      </c>
      <c r="B264">
        <v>0.54794232610000004</v>
      </c>
      <c r="C264">
        <v>0</v>
      </c>
      <c r="D264">
        <f t="shared" si="10"/>
        <v>0</v>
      </c>
      <c r="E264" t="str">
        <f t="shared" si="10"/>
        <v/>
      </c>
      <c r="F264">
        <f t="shared" si="9"/>
        <v>0.54794232610000004</v>
      </c>
      <c r="G264" t="str">
        <f t="shared" si="9"/>
        <v/>
      </c>
    </row>
    <row r="265" spans="1:7" x14ac:dyDescent="0.2">
      <c r="A265" t="s">
        <v>2</v>
      </c>
      <c r="B265">
        <v>0.41335065650000002</v>
      </c>
      <c r="C265">
        <v>1</v>
      </c>
      <c r="D265">
        <f t="shared" si="10"/>
        <v>1</v>
      </c>
      <c r="E265" t="str">
        <f t="shared" si="10"/>
        <v/>
      </c>
      <c r="F265">
        <f t="shared" si="9"/>
        <v>0.41335065650000002</v>
      </c>
      <c r="G265" t="str">
        <f t="shared" si="9"/>
        <v/>
      </c>
    </row>
    <row r="266" spans="1:7" x14ac:dyDescent="0.2">
      <c r="A266" t="s">
        <v>2</v>
      </c>
      <c r="B266">
        <v>0.64744669440000002</v>
      </c>
      <c r="C266">
        <v>1</v>
      </c>
      <c r="D266">
        <f t="shared" si="10"/>
        <v>1</v>
      </c>
      <c r="E266" t="str">
        <f t="shared" si="10"/>
        <v/>
      </c>
      <c r="F266">
        <f t="shared" si="9"/>
        <v>0.64744669440000002</v>
      </c>
      <c r="G266" t="str">
        <f t="shared" si="9"/>
        <v/>
      </c>
    </row>
    <row r="267" spans="1:7" x14ac:dyDescent="0.2">
      <c r="A267" t="s">
        <v>2</v>
      </c>
      <c r="B267">
        <v>0.70440988670000004</v>
      </c>
      <c r="C267">
        <v>1</v>
      </c>
      <c r="D267">
        <f t="shared" si="10"/>
        <v>1</v>
      </c>
      <c r="E267" t="str">
        <f t="shared" si="10"/>
        <v/>
      </c>
      <c r="F267">
        <f t="shared" si="9"/>
        <v>0.70440988670000004</v>
      </c>
      <c r="G267" t="str">
        <f t="shared" si="9"/>
        <v/>
      </c>
    </row>
    <row r="268" spans="1:7" x14ac:dyDescent="0.2">
      <c r="A268" t="s">
        <v>2</v>
      </c>
      <c r="B268">
        <v>0.46492428079999998</v>
      </c>
      <c r="C268">
        <v>0</v>
      </c>
      <c r="D268">
        <f t="shared" si="10"/>
        <v>0</v>
      </c>
      <c r="E268" t="str">
        <f t="shared" si="10"/>
        <v/>
      </c>
      <c r="F268">
        <f t="shared" si="9"/>
        <v>0.46492428079999998</v>
      </c>
      <c r="G268" t="str">
        <f t="shared" si="9"/>
        <v/>
      </c>
    </row>
    <row r="269" spans="1:7" x14ac:dyDescent="0.2">
      <c r="A269" t="s">
        <v>0</v>
      </c>
      <c r="B269">
        <v>0.39947189929999999</v>
      </c>
      <c r="C269">
        <v>1</v>
      </c>
      <c r="D269" t="str">
        <f t="shared" si="10"/>
        <v/>
      </c>
      <c r="E269">
        <f t="shared" si="10"/>
        <v>1</v>
      </c>
      <c r="F269" t="str">
        <f t="shared" si="9"/>
        <v/>
      </c>
      <c r="G269">
        <f t="shared" si="9"/>
        <v>0.39947189929999999</v>
      </c>
    </row>
    <row r="270" spans="1:7" x14ac:dyDescent="0.2">
      <c r="A270" t="s">
        <v>2</v>
      </c>
      <c r="B270">
        <v>0.1710737903</v>
      </c>
      <c r="C270">
        <v>0</v>
      </c>
      <c r="D270">
        <f t="shared" si="10"/>
        <v>0</v>
      </c>
      <c r="E270" t="str">
        <f t="shared" si="10"/>
        <v/>
      </c>
      <c r="F270">
        <f t="shared" si="9"/>
        <v>0.1710737903</v>
      </c>
      <c r="G270" t="str">
        <f t="shared" si="9"/>
        <v/>
      </c>
    </row>
    <row r="271" spans="1:7" x14ac:dyDescent="0.2">
      <c r="A271" t="s">
        <v>0</v>
      </c>
      <c r="B271">
        <v>0.62368562859999999</v>
      </c>
      <c r="C271">
        <v>1</v>
      </c>
      <c r="D271" t="str">
        <f t="shared" si="10"/>
        <v/>
      </c>
      <c r="E271">
        <f t="shared" si="10"/>
        <v>1</v>
      </c>
      <c r="F271" t="str">
        <f t="shared" si="9"/>
        <v/>
      </c>
      <c r="G271">
        <f t="shared" si="9"/>
        <v>0.62368562859999999</v>
      </c>
    </row>
    <row r="272" spans="1:7" x14ac:dyDescent="0.2">
      <c r="A272" t="s">
        <v>2</v>
      </c>
      <c r="B272">
        <v>0.50410728260000004</v>
      </c>
      <c r="C272">
        <v>1</v>
      </c>
      <c r="D272">
        <f t="shared" si="10"/>
        <v>1</v>
      </c>
      <c r="E272" t="str">
        <f t="shared" si="10"/>
        <v/>
      </c>
      <c r="F272">
        <f t="shared" si="9"/>
        <v>0.50410728260000004</v>
      </c>
      <c r="G272" t="str">
        <f t="shared" si="9"/>
        <v/>
      </c>
    </row>
    <row r="273" spans="1:7" x14ac:dyDescent="0.2">
      <c r="A273" t="s">
        <v>0</v>
      </c>
      <c r="B273">
        <v>0.37316463170000003</v>
      </c>
      <c r="C273">
        <v>1</v>
      </c>
      <c r="D273" t="str">
        <f t="shared" si="10"/>
        <v/>
      </c>
      <c r="E273">
        <f t="shared" si="10"/>
        <v>1</v>
      </c>
      <c r="F273" t="str">
        <f t="shared" si="9"/>
        <v/>
      </c>
      <c r="G273">
        <f t="shared" si="9"/>
        <v>0.37316463170000003</v>
      </c>
    </row>
    <row r="274" spans="1:7" x14ac:dyDescent="0.2">
      <c r="A274" t="s">
        <v>2</v>
      </c>
      <c r="B274">
        <v>0.3902586931</v>
      </c>
      <c r="C274">
        <v>0</v>
      </c>
      <c r="D274">
        <f t="shared" si="10"/>
        <v>0</v>
      </c>
      <c r="E274" t="str">
        <f t="shared" si="10"/>
        <v/>
      </c>
      <c r="F274">
        <f t="shared" si="9"/>
        <v>0.3902586931</v>
      </c>
      <c r="G274" t="str">
        <f t="shared" si="9"/>
        <v/>
      </c>
    </row>
    <row r="275" spans="1:7" x14ac:dyDescent="0.2">
      <c r="A275" t="s">
        <v>2</v>
      </c>
      <c r="B275">
        <v>0.17215731400000001</v>
      </c>
      <c r="C275">
        <v>1</v>
      </c>
      <c r="D275">
        <f t="shared" si="10"/>
        <v>1</v>
      </c>
      <c r="E275" t="str">
        <f t="shared" si="10"/>
        <v/>
      </c>
      <c r="F275">
        <f t="shared" si="9"/>
        <v>0.17215731400000001</v>
      </c>
      <c r="G275" t="str">
        <f t="shared" si="9"/>
        <v/>
      </c>
    </row>
    <row r="276" spans="1:7" x14ac:dyDescent="0.2">
      <c r="A276" t="s">
        <v>2</v>
      </c>
      <c r="B276">
        <v>0.52011561480000001</v>
      </c>
      <c r="C276">
        <v>0</v>
      </c>
      <c r="D276">
        <f t="shared" si="10"/>
        <v>0</v>
      </c>
      <c r="E276" t="str">
        <f t="shared" si="10"/>
        <v/>
      </c>
      <c r="F276">
        <f t="shared" si="9"/>
        <v>0.52011561480000001</v>
      </c>
      <c r="G276" t="str">
        <f t="shared" si="9"/>
        <v/>
      </c>
    </row>
    <row r="277" spans="1:7" x14ac:dyDescent="0.2">
      <c r="A277" t="s">
        <v>2</v>
      </c>
      <c r="B277">
        <v>0.42701761919999998</v>
      </c>
      <c r="C277">
        <v>0</v>
      </c>
      <c r="D277">
        <f t="shared" si="10"/>
        <v>0</v>
      </c>
      <c r="E277" t="str">
        <f t="shared" si="10"/>
        <v/>
      </c>
      <c r="F277">
        <f t="shared" si="9"/>
        <v>0.42701761919999998</v>
      </c>
      <c r="G277" t="str">
        <f t="shared" si="9"/>
        <v/>
      </c>
    </row>
    <row r="278" spans="1:7" x14ac:dyDescent="0.2">
      <c r="A278" t="s">
        <v>2</v>
      </c>
      <c r="B278">
        <v>0.11604171620000001</v>
      </c>
      <c r="C278">
        <v>1</v>
      </c>
      <c r="D278">
        <f t="shared" si="10"/>
        <v>1</v>
      </c>
      <c r="E278" t="str">
        <f t="shared" si="10"/>
        <v/>
      </c>
      <c r="F278">
        <f t="shared" si="9"/>
        <v>0.11604171620000001</v>
      </c>
      <c r="G278" t="str">
        <f t="shared" si="9"/>
        <v/>
      </c>
    </row>
    <row r="279" spans="1:7" x14ac:dyDescent="0.2">
      <c r="A279" t="s">
        <v>0</v>
      </c>
      <c r="B279">
        <v>0.2332289904</v>
      </c>
      <c r="C279">
        <v>0</v>
      </c>
      <c r="D279" t="str">
        <f t="shared" si="10"/>
        <v/>
      </c>
      <c r="E279">
        <f t="shared" si="10"/>
        <v>0</v>
      </c>
      <c r="F279" t="str">
        <f t="shared" si="9"/>
        <v/>
      </c>
      <c r="G279">
        <f t="shared" si="9"/>
        <v>0.2332289904</v>
      </c>
    </row>
    <row r="280" spans="1:7" x14ac:dyDescent="0.2">
      <c r="A280" t="s">
        <v>0</v>
      </c>
      <c r="B280">
        <v>0.83076859920000001</v>
      </c>
      <c r="C280">
        <v>1</v>
      </c>
      <c r="D280" t="str">
        <f t="shared" si="10"/>
        <v/>
      </c>
      <c r="E280">
        <f t="shared" si="10"/>
        <v>1</v>
      </c>
      <c r="F280" t="str">
        <f t="shared" si="9"/>
        <v/>
      </c>
      <c r="G280">
        <f t="shared" si="9"/>
        <v>0.83076859920000001</v>
      </c>
    </row>
    <row r="281" spans="1:7" x14ac:dyDescent="0.2">
      <c r="A281" t="s">
        <v>2</v>
      </c>
      <c r="B281">
        <v>0.5449359909</v>
      </c>
      <c r="C281">
        <v>1</v>
      </c>
      <c r="D281">
        <f t="shared" si="10"/>
        <v>1</v>
      </c>
      <c r="E281" t="str">
        <f t="shared" si="10"/>
        <v/>
      </c>
      <c r="F281">
        <f t="shared" si="9"/>
        <v>0.5449359909</v>
      </c>
      <c r="G281" t="str">
        <f t="shared" si="9"/>
        <v/>
      </c>
    </row>
    <row r="282" spans="1:7" x14ac:dyDescent="0.2">
      <c r="A282" t="s">
        <v>2</v>
      </c>
      <c r="B282">
        <v>0.53497689920000002</v>
      </c>
      <c r="C282">
        <v>1</v>
      </c>
      <c r="D282">
        <f t="shared" si="10"/>
        <v>1</v>
      </c>
      <c r="E282" t="str">
        <f t="shared" si="10"/>
        <v/>
      </c>
      <c r="F282">
        <f t="shared" si="9"/>
        <v>0.53497689920000002</v>
      </c>
      <c r="G282" t="str">
        <f t="shared" si="9"/>
        <v/>
      </c>
    </row>
    <row r="283" spans="1:7" x14ac:dyDescent="0.2">
      <c r="A283" t="s">
        <v>2</v>
      </c>
      <c r="B283">
        <v>0.55306250540000002</v>
      </c>
      <c r="C283">
        <v>0</v>
      </c>
      <c r="D283">
        <f t="shared" si="10"/>
        <v>0</v>
      </c>
      <c r="E283" t="str">
        <f t="shared" si="10"/>
        <v/>
      </c>
      <c r="F283">
        <f t="shared" si="9"/>
        <v>0.55306250540000002</v>
      </c>
      <c r="G283" t="str">
        <f t="shared" si="9"/>
        <v/>
      </c>
    </row>
    <row r="284" spans="1:7" x14ac:dyDescent="0.2">
      <c r="A284" t="s">
        <v>0</v>
      </c>
      <c r="B284">
        <v>0.38452795639999998</v>
      </c>
      <c r="C284">
        <v>0</v>
      </c>
      <c r="D284" t="str">
        <f t="shared" si="10"/>
        <v/>
      </c>
      <c r="E284">
        <f t="shared" si="10"/>
        <v>0</v>
      </c>
      <c r="F284" t="str">
        <f t="shared" si="9"/>
        <v/>
      </c>
      <c r="G284">
        <f t="shared" si="9"/>
        <v>0.38452795639999998</v>
      </c>
    </row>
    <row r="285" spans="1:7" x14ac:dyDescent="0.2">
      <c r="A285" t="s">
        <v>2</v>
      </c>
      <c r="B285">
        <v>0.41335065650000002</v>
      </c>
      <c r="C285">
        <v>1</v>
      </c>
      <c r="D285">
        <f t="shared" si="10"/>
        <v>1</v>
      </c>
      <c r="E285" t="str">
        <f t="shared" si="10"/>
        <v/>
      </c>
      <c r="F285">
        <f t="shared" si="9"/>
        <v>0.41335065650000002</v>
      </c>
      <c r="G285" t="str">
        <f t="shared" si="9"/>
        <v/>
      </c>
    </row>
    <row r="286" spans="1:7" x14ac:dyDescent="0.2">
      <c r="A286" t="s">
        <v>2</v>
      </c>
      <c r="B286">
        <v>0.50594577159999998</v>
      </c>
      <c r="C286">
        <v>1</v>
      </c>
      <c r="D286">
        <f t="shared" si="10"/>
        <v>1</v>
      </c>
      <c r="E286" t="str">
        <f t="shared" si="10"/>
        <v/>
      </c>
      <c r="F286">
        <f t="shared" si="9"/>
        <v>0.50594577159999998</v>
      </c>
      <c r="G286" t="str">
        <f t="shared" si="9"/>
        <v/>
      </c>
    </row>
    <row r="287" spans="1:7" x14ac:dyDescent="0.2">
      <c r="A287" t="s">
        <v>2</v>
      </c>
      <c r="B287">
        <v>0.66145592399999997</v>
      </c>
      <c r="C287">
        <v>1</v>
      </c>
      <c r="D287">
        <f t="shared" si="10"/>
        <v>1</v>
      </c>
      <c r="E287" t="str">
        <f t="shared" si="10"/>
        <v/>
      </c>
      <c r="F287">
        <f t="shared" si="9"/>
        <v>0.66145592399999997</v>
      </c>
      <c r="G287" t="str">
        <f t="shared" si="9"/>
        <v/>
      </c>
    </row>
    <row r="288" spans="1:7" x14ac:dyDescent="0.2">
      <c r="A288" t="s">
        <v>2</v>
      </c>
      <c r="B288">
        <v>0.52602335629999997</v>
      </c>
      <c r="C288">
        <v>1</v>
      </c>
      <c r="D288">
        <f t="shared" si="10"/>
        <v>1</v>
      </c>
      <c r="E288" t="str">
        <f t="shared" si="10"/>
        <v/>
      </c>
      <c r="F288">
        <f t="shared" si="9"/>
        <v>0.52602335629999997</v>
      </c>
      <c r="G288" t="str">
        <f t="shared" si="9"/>
        <v/>
      </c>
    </row>
    <row r="289" spans="1:7" x14ac:dyDescent="0.2">
      <c r="A289" t="s">
        <v>2</v>
      </c>
      <c r="B289">
        <v>0.51079408839999996</v>
      </c>
      <c r="C289">
        <v>1</v>
      </c>
      <c r="D289">
        <f t="shared" si="10"/>
        <v>1</v>
      </c>
      <c r="E289" t="str">
        <f t="shared" si="10"/>
        <v/>
      </c>
      <c r="F289">
        <f t="shared" si="9"/>
        <v>0.51079408839999996</v>
      </c>
      <c r="G289" t="str">
        <f t="shared" si="9"/>
        <v/>
      </c>
    </row>
    <row r="290" spans="1:7" x14ac:dyDescent="0.2">
      <c r="A290" t="s">
        <v>2</v>
      </c>
      <c r="B290">
        <v>0.70854125079999997</v>
      </c>
      <c r="C290">
        <v>1</v>
      </c>
      <c r="D290">
        <f t="shared" si="10"/>
        <v>1</v>
      </c>
      <c r="E290" t="str">
        <f t="shared" si="10"/>
        <v/>
      </c>
      <c r="F290">
        <f t="shared" si="9"/>
        <v>0.70854125079999997</v>
      </c>
      <c r="G290" t="str">
        <f t="shared" si="9"/>
        <v/>
      </c>
    </row>
    <row r="291" spans="1:7" x14ac:dyDescent="0.2">
      <c r="A291" t="s">
        <v>0</v>
      </c>
      <c r="B291">
        <v>0.4829122132</v>
      </c>
      <c r="C291">
        <v>0</v>
      </c>
      <c r="D291" t="str">
        <f t="shared" si="10"/>
        <v/>
      </c>
      <c r="E291">
        <f t="shared" si="10"/>
        <v>0</v>
      </c>
      <c r="F291" t="str">
        <f t="shared" si="9"/>
        <v/>
      </c>
      <c r="G291">
        <f t="shared" si="9"/>
        <v>0.4829122132</v>
      </c>
    </row>
    <row r="292" spans="1:7" x14ac:dyDescent="0.2">
      <c r="A292" t="s">
        <v>0</v>
      </c>
      <c r="B292">
        <v>0.35227684939999998</v>
      </c>
      <c r="C292">
        <v>1</v>
      </c>
      <c r="D292" t="str">
        <f t="shared" si="10"/>
        <v/>
      </c>
      <c r="E292">
        <f t="shared" si="10"/>
        <v>1</v>
      </c>
      <c r="F292" t="str">
        <f t="shared" si="9"/>
        <v/>
      </c>
      <c r="G292">
        <f t="shared" si="9"/>
        <v>0.35227684939999998</v>
      </c>
    </row>
    <row r="293" spans="1:7" x14ac:dyDescent="0.2">
      <c r="A293" t="s">
        <v>0</v>
      </c>
      <c r="B293">
        <v>0.42263703720000001</v>
      </c>
      <c r="C293">
        <v>0</v>
      </c>
      <c r="D293" t="str">
        <f t="shared" si="10"/>
        <v/>
      </c>
      <c r="E293">
        <f t="shared" si="10"/>
        <v>0</v>
      </c>
      <c r="F293" t="str">
        <f t="shared" si="9"/>
        <v/>
      </c>
      <c r="G293">
        <f t="shared" si="9"/>
        <v>0.42263703720000001</v>
      </c>
    </row>
    <row r="294" spans="1:7" x14ac:dyDescent="0.2">
      <c r="A294" t="s">
        <v>0</v>
      </c>
      <c r="B294">
        <v>0.83222744589999997</v>
      </c>
      <c r="C294">
        <v>1</v>
      </c>
      <c r="D294" t="str">
        <f t="shared" si="10"/>
        <v/>
      </c>
      <c r="E294">
        <f t="shared" si="10"/>
        <v>1</v>
      </c>
      <c r="F294" t="str">
        <f t="shared" si="9"/>
        <v/>
      </c>
      <c r="G294">
        <f t="shared" si="9"/>
        <v>0.83222744589999997</v>
      </c>
    </row>
    <row r="295" spans="1:7" x14ac:dyDescent="0.2">
      <c r="A295" t="s">
        <v>2</v>
      </c>
      <c r="B295">
        <v>0.27302161200000002</v>
      </c>
      <c r="C295">
        <v>1</v>
      </c>
      <c r="D295">
        <f t="shared" si="10"/>
        <v>1</v>
      </c>
      <c r="E295" t="str">
        <f t="shared" si="10"/>
        <v/>
      </c>
      <c r="F295">
        <f t="shared" si="9"/>
        <v>0.27302161200000002</v>
      </c>
      <c r="G295" t="str">
        <f t="shared" si="9"/>
        <v/>
      </c>
    </row>
    <row r="296" spans="1:7" x14ac:dyDescent="0.2">
      <c r="A296" t="s">
        <v>2</v>
      </c>
      <c r="B296">
        <v>0.85727229439999997</v>
      </c>
      <c r="C296">
        <v>1</v>
      </c>
      <c r="D296">
        <f t="shared" si="10"/>
        <v>1</v>
      </c>
      <c r="E296" t="str">
        <f t="shared" si="10"/>
        <v/>
      </c>
      <c r="F296">
        <f t="shared" si="9"/>
        <v>0.85727229439999997</v>
      </c>
      <c r="G296" t="str">
        <f t="shared" si="9"/>
        <v/>
      </c>
    </row>
    <row r="297" spans="1:7" x14ac:dyDescent="0.2">
      <c r="A297" t="s">
        <v>2</v>
      </c>
      <c r="B297">
        <v>0.44073848160000001</v>
      </c>
      <c r="C297">
        <v>0</v>
      </c>
      <c r="D297">
        <f t="shared" si="10"/>
        <v>0</v>
      </c>
      <c r="E297" t="str">
        <f t="shared" si="10"/>
        <v/>
      </c>
      <c r="F297">
        <f t="shared" si="9"/>
        <v>0.44073848160000001</v>
      </c>
      <c r="G297" t="str">
        <f t="shared" si="9"/>
        <v/>
      </c>
    </row>
    <row r="298" spans="1:7" x14ac:dyDescent="0.2">
      <c r="A298" t="s">
        <v>2</v>
      </c>
      <c r="B298">
        <v>0.2157480262</v>
      </c>
      <c r="C298">
        <v>0</v>
      </c>
      <c r="D298">
        <f t="shared" si="10"/>
        <v>0</v>
      </c>
      <c r="E298" t="str">
        <f t="shared" si="10"/>
        <v/>
      </c>
      <c r="F298">
        <f t="shared" si="9"/>
        <v>0.2157480262</v>
      </c>
      <c r="G298" t="str">
        <f t="shared" si="9"/>
        <v/>
      </c>
    </row>
    <row r="299" spans="1:7" x14ac:dyDescent="0.2">
      <c r="A299" t="s">
        <v>2</v>
      </c>
      <c r="B299">
        <v>0.489879695</v>
      </c>
      <c r="C299">
        <v>0</v>
      </c>
      <c r="D299">
        <f t="shared" si="10"/>
        <v>0</v>
      </c>
      <c r="E299" t="str">
        <f t="shared" si="10"/>
        <v/>
      </c>
      <c r="F299">
        <f t="shared" si="9"/>
        <v>0.489879695</v>
      </c>
      <c r="G299" t="str">
        <f t="shared" si="9"/>
        <v/>
      </c>
    </row>
    <row r="300" spans="1:7" x14ac:dyDescent="0.2">
      <c r="A300" t="s">
        <v>2</v>
      </c>
      <c r="B300">
        <v>0.45995766999999999</v>
      </c>
      <c r="C300">
        <v>1</v>
      </c>
      <c r="D300">
        <f t="shared" si="10"/>
        <v>1</v>
      </c>
      <c r="E300" t="str">
        <f t="shared" si="10"/>
        <v/>
      </c>
      <c r="F300">
        <f t="shared" si="9"/>
        <v>0.45995766999999999</v>
      </c>
      <c r="G300" t="str">
        <f t="shared" si="9"/>
        <v/>
      </c>
    </row>
    <row r="301" spans="1:7" x14ac:dyDescent="0.2">
      <c r="A301" t="s">
        <v>2</v>
      </c>
      <c r="B301">
        <v>0.38759774809999997</v>
      </c>
      <c r="C301">
        <v>1</v>
      </c>
      <c r="D301">
        <f t="shared" si="10"/>
        <v>1</v>
      </c>
      <c r="E301" t="str">
        <f t="shared" si="10"/>
        <v/>
      </c>
      <c r="F301">
        <f t="shared" si="9"/>
        <v>0.38759774809999997</v>
      </c>
      <c r="G301" t="str">
        <f t="shared" si="9"/>
        <v/>
      </c>
    </row>
    <row r="302" spans="1:7" x14ac:dyDescent="0.2">
      <c r="A302" t="s">
        <v>2</v>
      </c>
      <c r="B302">
        <v>0.38611779429999998</v>
      </c>
      <c r="C302">
        <v>0</v>
      </c>
      <c r="D302">
        <f t="shared" si="10"/>
        <v>0</v>
      </c>
      <c r="E302" t="str">
        <f t="shared" si="10"/>
        <v/>
      </c>
      <c r="F302">
        <f t="shared" si="9"/>
        <v>0.38611779429999998</v>
      </c>
      <c r="G302" t="str">
        <f t="shared" si="9"/>
        <v/>
      </c>
    </row>
    <row r="303" spans="1:7" x14ac:dyDescent="0.2">
      <c r="A303" t="s">
        <v>0</v>
      </c>
      <c r="B303">
        <v>0.53497689920000002</v>
      </c>
      <c r="C303">
        <v>1</v>
      </c>
      <c r="D303" t="str">
        <f t="shared" si="10"/>
        <v/>
      </c>
      <c r="E303">
        <f t="shared" si="10"/>
        <v>1</v>
      </c>
      <c r="F303" t="str">
        <f t="shared" si="9"/>
        <v/>
      </c>
      <c r="G303">
        <f t="shared" si="9"/>
        <v>0.53497689920000002</v>
      </c>
    </row>
    <row r="304" spans="1:7" x14ac:dyDescent="0.2">
      <c r="A304" t="s">
        <v>2</v>
      </c>
      <c r="B304">
        <v>0.3674109807</v>
      </c>
      <c r="C304">
        <v>1</v>
      </c>
      <c r="D304">
        <f t="shared" si="10"/>
        <v>1</v>
      </c>
      <c r="E304" t="str">
        <f t="shared" si="10"/>
        <v/>
      </c>
      <c r="F304">
        <f t="shared" si="9"/>
        <v>0.3674109807</v>
      </c>
      <c r="G304" t="str">
        <f t="shared" si="9"/>
        <v/>
      </c>
    </row>
    <row r="305" spans="1:7" x14ac:dyDescent="0.2">
      <c r="A305" t="s">
        <v>2</v>
      </c>
      <c r="B305">
        <v>0.14114558869999999</v>
      </c>
      <c r="C305">
        <v>0</v>
      </c>
      <c r="D305">
        <f t="shared" si="10"/>
        <v>0</v>
      </c>
      <c r="E305" t="str">
        <f t="shared" si="10"/>
        <v/>
      </c>
      <c r="F305">
        <f t="shared" si="9"/>
        <v>0.14114558869999999</v>
      </c>
      <c r="G305" t="str">
        <f t="shared" si="9"/>
        <v/>
      </c>
    </row>
    <row r="306" spans="1:7" x14ac:dyDescent="0.2">
      <c r="A306" t="s">
        <v>0</v>
      </c>
      <c r="B306">
        <v>0.14801029709999999</v>
      </c>
      <c r="C306">
        <v>0</v>
      </c>
      <c r="D306" t="str">
        <f t="shared" si="10"/>
        <v/>
      </c>
      <c r="E306">
        <f t="shared" si="10"/>
        <v>0</v>
      </c>
      <c r="F306" t="str">
        <f t="shared" si="9"/>
        <v/>
      </c>
      <c r="G306">
        <f t="shared" si="9"/>
        <v>0.14801029709999999</v>
      </c>
    </row>
    <row r="307" spans="1:7" x14ac:dyDescent="0.2">
      <c r="A307" t="s">
        <v>2</v>
      </c>
      <c r="B307">
        <v>0.61700492979999999</v>
      </c>
      <c r="C307">
        <v>1</v>
      </c>
      <c r="D307">
        <f t="shared" si="10"/>
        <v>1</v>
      </c>
      <c r="E307" t="str">
        <f t="shared" si="10"/>
        <v/>
      </c>
      <c r="F307">
        <f t="shared" si="9"/>
        <v>0.61700492979999999</v>
      </c>
      <c r="G307" t="str">
        <f t="shared" si="9"/>
        <v/>
      </c>
    </row>
    <row r="308" spans="1:7" x14ac:dyDescent="0.2">
      <c r="A308" t="s">
        <v>2</v>
      </c>
      <c r="B308">
        <v>0.55061253119999998</v>
      </c>
      <c r="C308">
        <v>0</v>
      </c>
      <c r="D308">
        <f t="shared" si="10"/>
        <v>0</v>
      </c>
      <c r="E308" t="str">
        <f t="shared" si="10"/>
        <v/>
      </c>
      <c r="F308">
        <f t="shared" si="9"/>
        <v>0.55061253119999998</v>
      </c>
      <c r="G308" t="str">
        <f t="shared" si="9"/>
        <v/>
      </c>
    </row>
    <row r="309" spans="1:7" x14ac:dyDescent="0.2">
      <c r="A309" t="s">
        <v>2</v>
      </c>
      <c r="B309">
        <v>0.17215731400000001</v>
      </c>
      <c r="C309">
        <v>0</v>
      </c>
      <c r="D309">
        <f t="shared" si="10"/>
        <v>0</v>
      </c>
      <c r="E309" t="str">
        <f t="shared" si="10"/>
        <v/>
      </c>
      <c r="F309">
        <f t="shared" si="9"/>
        <v>0.17215731400000001</v>
      </c>
      <c r="G309" t="str">
        <f t="shared" si="9"/>
        <v/>
      </c>
    </row>
    <row r="310" spans="1:7" x14ac:dyDescent="0.2">
      <c r="A310" t="s">
        <v>0</v>
      </c>
      <c r="B310">
        <v>0.38287192790000002</v>
      </c>
      <c r="C310">
        <v>0</v>
      </c>
      <c r="D310" t="str">
        <f t="shared" si="10"/>
        <v/>
      </c>
      <c r="E310">
        <f t="shared" si="10"/>
        <v>0</v>
      </c>
      <c r="F310" t="str">
        <f t="shared" si="9"/>
        <v/>
      </c>
      <c r="G310">
        <f t="shared" si="9"/>
        <v>0.38287192790000002</v>
      </c>
    </row>
    <row r="311" spans="1:7" x14ac:dyDescent="0.2">
      <c r="A311" t="s">
        <v>2</v>
      </c>
      <c r="B311">
        <v>0.589088842</v>
      </c>
      <c r="C311">
        <v>0</v>
      </c>
      <c r="D311">
        <f t="shared" si="10"/>
        <v>0</v>
      </c>
      <c r="E311" t="str">
        <f t="shared" si="10"/>
        <v/>
      </c>
      <c r="F311">
        <f t="shared" si="9"/>
        <v>0.589088842</v>
      </c>
      <c r="G311" t="str">
        <f t="shared" si="9"/>
        <v/>
      </c>
    </row>
    <row r="312" spans="1:7" x14ac:dyDescent="0.2">
      <c r="A312" t="s">
        <v>2</v>
      </c>
      <c r="B312">
        <v>0.4416385994</v>
      </c>
      <c r="C312">
        <v>0</v>
      </c>
      <c r="D312">
        <f t="shared" si="10"/>
        <v>0</v>
      </c>
      <c r="E312" t="str">
        <f t="shared" si="10"/>
        <v/>
      </c>
      <c r="F312">
        <f t="shared" si="9"/>
        <v>0.4416385994</v>
      </c>
      <c r="G312" t="str">
        <f t="shared" si="9"/>
        <v/>
      </c>
    </row>
    <row r="313" spans="1:7" x14ac:dyDescent="0.2">
      <c r="A313" t="s">
        <v>0</v>
      </c>
      <c r="B313">
        <v>0.46663305090000001</v>
      </c>
      <c r="C313">
        <v>1</v>
      </c>
      <c r="D313" t="str">
        <f t="shared" si="10"/>
        <v/>
      </c>
      <c r="E313">
        <f t="shared" si="10"/>
        <v>1</v>
      </c>
      <c r="F313" t="str">
        <f t="shared" si="9"/>
        <v/>
      </c>
      <c r="G313">
        <f t="shared" si="9"/>
        <v>0.46663305090000001</v>
      </c>
    </row>
    <row r="314" spans="1:7" x14ac:dyDescent="0.2">
      <c r="A314" t="s">
        <v>2</v>
      </c>
      <c r="B314">
        <v>0.74971394599999996</v>
      </c>
      <c r="C314">
        <v>1</v>
      </c>
      <c r="D314">
        <f t="shared" si="10"/>
        <v>1</v>
      </c>
      <c r="E314" t="str">
        <f t="shared" si="10"/>
        <v/>
      </c>
      <c r="F314">
        <f t="shared" si="9"/>
        <v>0.74971394599999996</v>
      </c>
      <c r="G314" t="str">
        <f t="shared" si="9"/>
        <v/>
      </c>
    </row>
    <row r="315" spans="1:7" x14ac:dyDescent="0.2">
      <c r="A315" t="s">
        <v>2</v>
      </c>
      <c r="B315">
        <v>0.10679115209999999</v>
      </c>
      <c r="C315">
        <v>0</v>
      </c>
      <c r="D315">
        <f t="shared" si="10"/>
        <v>0</v>
      </c>
      <c r="E315" t="str">
        <f t="shared" si="10"/>
        <v/>
      </c>
      <c r="F315">
        <f t="shared" si="9"/>
        <v>0.10679115209999999</v>
      </c>
      <c r="G315" t="str">
        <f t="shared" si="9"/>
        <v/>
      </c>
    </row>
    <row r="316" spans="1:7" x14ac:dyDescent="0.2">
      <c r="A316" t="s">
        <v>2</v>
      </c>
      <c r="B316">
        <v>0.471672284</v>
      </c>
      <c r="C316">
        <v>0</v>
      </c>
      <c r="D316">
        <f t="shared" si="10"/>
        <v>0</v>
      </c>
      <c r="E316" t="str">
        <f t="shared" si="10"/>
        <v/>
      </c>
      <c r="F316">
        <f t="shared" si="9"/>
        <v>0.471672284</v>
      </c>
      <c r="G316" t="str">
        <f t="shared" si="9"/>
        <v/>
      </c>
    </row>
    <row r="317" spans="1:7" x14ac:dyDescent="0.2">
      <c r="A317" t="s">
        <v>2</v>
      </c>
      <c r="B317">
        <v>0.67540789369999998</v>
      </c>
      <c r="C317">
        <v>1</v>
      </c>
      <c r="D317">
        <f t="shared" si="10"/>
        <v>1</v>
      </c>
      <c r="E317" t="str">
        <f t="shared" si="10"/>
        <v/>
      </c>
      <c r="F317">
        <f t="shared" si="9"/>
        <v>0.67540789369999998</v>
      </c>
      <c r="G317" t="str">
        <f t="shared" si="9"/>
        <v/>
      </c>
    </row>
    <row r="318" spans="1:7" x14ac:dyDescent="0.2">
      <c r="A318" t="s">
        <v>0</v>
      </c>
      <c r="B318">
        <v>0.49863375720000003</v>
      </c>
      <c r="C318">
        <v>1</v>
      </c>
      <c r="D318" t="str">
        <f t="shared" si="10"/>
        <v/>
      </c>
      <c r="E318">
        <f t="shared" si="10"/>
        <v>1</v>
      </c>
      <c r="F318" t="str">
        <f t="shared" si="9"/>
        <v/>
      </c>
      <c r="G318">
        <f t="shared" si="9"/>
        <v>0.49863375720000003</v>
      </c>
    </row>
    <row r="319" spans="1:7" x14ac:dyDescent="0.2">
      <c r="A319" t="s">
        <v>2</v>
      </c>
      <c r="B319">
        <v>9.6004488299999996E-2</v>
      </c>
      <c r="C319">
        <v>0</v>
      </c>
      <c r="D319">
        <f t="shared" si="10"/>
        <v>0</v>
      </c>
      <c r="E319" t="str">
        <f t="shared" si="10"/>
        <v/>
      </c>
      <c r="F319">
        <f t="shared" si="9"/>
        <v>9.6004488299999996E-2</v>
      </c>
      <c r="G319" t="str">
        <f t="shared" si="9"/>
        <v/>
      </c>
    </row>
    <row r="320" spans="1:7" x14ac:dyDescent="0.2">
      <c r="A320" t="s">
        <v>2</v>
      </c>
      <c r="B320">
        <v>0.8644179286</v>
      </c>
      <c r="C320">
        <v>1</v>
      </c>
      <c r="D320">
        <f t="shared" si="10"/>
        <v>1</v>
      </c>
      <c r="E320" t="str">
        <f t="shared" si="10"/>
        <v/>
      </c>
      <c r="F320">
        <f t="shared" si="9"/>
        <v>0.8644179286</v>
      </c>
      <c r="G320" t="str">
        <f t="shared" si="9"/>
        <v/>
      </c>
    </row>
    <row r="321" spans="1:7" x14ac:dyDescent="0.2">
      <c r="A321" t="s">
        <v>2</v>
      </c>
      <c r="B321">
        <v>0.15464966490000001</v>
      </c>
      <c r="C321">
        <v>0</v>
      </c>
      <c r="D321">
        <f t="shared" si="10"/>
        <v>0</v>
      </c>
      <c r="E321" t="str">
        <f t="shared" si="10"/>
        <v/>
      </c>
      <c r="F321">
        <f t="shared" si="9"/>
        <v>0.15464966490000001</v>
      </c>
      <c r="G321" t="str">
        <f t="shared" si="9"/>
        <v/>
      </c>
    </row>
    <row r="322" spans="1:7" x14ac:dyDescent="0.2">
      <c r="A322" t="s">
        <v>0</v>
      </c>
      <c r="B322">
        <v>0.76534852949999999</v>
      </c>
      <c r="C322">
        <v>1</v>
      </c>
      <c r="D322" t="str">
        <f t="shared" si="10"/>
        <v/>
      </c>
      <c r="E322">
        <f t="shared" si="10"/>
        <v>1</v>
      </c>
      <c r="F322" t="str">
        <f t="shared" si="9"/>
        <v/>
      </c>
      <c r="G322">
        <f t="shared" si="9"/>
        <v>0.76534852949999999</v>
      </c>
    </row>
    <row r="323" spans="1:7" x14ac:dyDescent="0.2">
      <c r="A323" t="s">
        <v>2</v>
      </c>
      <c r="B323">
        <v>0.80301066060000004</v>
      </c>
      <c r="C323">
        <v>1</v>
      </c>
      <c r="D323">
        <f t="shared" si="10"/>
        <v>1</v>
      </c>
      <c r="E323" t="str">
        <f t="shared" si="10"/>
        <v/>
      </c>
      <c r="F323">
        <f t="shared" ref="F323:G386" si="11">IF($A323=F$1,$B323,"")</f>
        <v>0.80301066060000004</v>
      </c>
      <c r="G323" t="str">
        <f t="shared" si="11"/>
        <v/>
      </c>
    </row>
    <row r="324" spans="1:7" x14ac:dyDescent="0.2">
      <c r="A324" t="s">
        <v>2</v>
      </c>
      <c r="B324">
        <v>0.57276107890000005</v>
      </c>
      <c r="C324">
        <v>1</v>
      </c>
      <c r="D324">
        <f t="shared" si="10"/>
        <v>1</v>
      </c>
      <c r="E324" t="str">
        <f t="shared" si="10"/>
        <v/>
      </c>
      <c r="F324">
        <f t="shared" si="11"/>
        <v>0.57276107890000005</v>
      </c>
      <c r="G324" t="str">
        <f t="shared" si="11"/>
        <v/>
      </c>
    </row>
    <row r="325" spans="1:7" x14ac:dyDescent="0.2">
      <c r="A325" t="s">
        <v>0</v>
      </c>
      <c r="B325">
        <v>0.81815909799999997</v>
      </c>
      <c r="C325">
        <v>1</v>
      </c>
      <c r="D325" t="str">
        <f t="shared" ref="D325:E388" si="12">IF($A325=D$1,$C325,"")</f>
        <v/>
      </c>
      <c r="E325">
        <f t="shared" si="12"/>
        <v>1</v>
      </c>
      <c r="F325" t="str">
        <f t="shared" si="11"/>
        <v/>
      </c>
      <c r="G325">
        <f t="shared" si="11"/>
        <v>0.81815909799999997</v>
      </c>
    </row>
    <row r="326" spans="1:7" x14ac:dyDescent="0.2">
      <c r="A326" t="s">
        <v>2</v>
      </c>
      <c r="B326">
        <v>0.362533035</v>
      </c>
      <c r="C326">
        <v>1</v>
      </c>
      <c r="D326">
        <f t="shared" si="12"/>
        <v>1</v>
      </c>
      <c r="E326" t="str">
        <f t="shared" si="12"/>
        <v/>
      </c>
      <c r="F326">
        <f t="shared" si="11"/>
        <v>0.362533035</v>
      </c>
      <c r="G326" t="str">
        <f t="shared" si="11"/>
        <v/>
      </c>
    </row>
    <row r="327" spans="1:7" x14ac:dyDescent="0.2">
      <c r="A327" t="s">
        <v>0</v>
      </c>
      <c r="B327">
        <v>0.48230852689999998</v>
      </c>
      <c r="C327">
        <v>1</v>
      </c>
      <c r="D327" t="str">
        <f t="shared" si="12"/>
        <v/>
      </c>
      <c r="E327">
        <f t="shared" si="12"/>
        <v>1</v>
      </c>
      <c r="F327" t="str">
        <f t="shared" si="11"/>
        <v/>
      </c>
      <c r="G327">
        <f t="shared" si="11"/>
        <v>0.48230852689999998</v>
      </c>
    </row>
    <row r="328" spans="1:7" x14ac:dyDescent="0.2">
      <c r="A328" t="s">
        <v>2</v>
      </c>
      <c r="B328">
        <v>0.260960478</v>
      </c>
      <c r="C328">
        <v>0</v>
      </c>
      <c r="D328">
        <f t="shared" si="12"/>
        <v>0</v>
      </c>
      <c r="E328" t="str">
        <f t="shared" si="12"/>
        <v/>
      </c>
      <c r="F328">
        <f t="shared" si="11"/>
        <v>0.260960478</v>
      </c>
      <c r="G328" t="str">
        <f t="shared" si="11"/>
        <v/>
      </c>
    </row>
    <row r="329" spans="1:7" x14ac:dyDescent="0.2">
      <c r="A329" t="s">
        <v>2</v>
      </c>
      <c r="B329">
        <v>0.126428654</v>
      </c>
      <c r="C329">
        <v>0</v>
      </c>
      <c r="D329">
        <f t="shared" si="12"/>
        <v>0</v>
      </c>
      <c r="E329" t="str">
        <f t="shared" si="12"/>
        <v/>
      </c>
      <c r="F329">
        <f t="shared" si="11"/>
        <v>0.126428654</v>
      </c>
      <c r="G329" t="str">
        <f t="shared" si="11"/>
        <v/>
      </c>
    </row>
    <row r="330" spans="1:7" x14ac:dyDescent="0.2">
      <c r="A330" t="s">
        <v>0</v>
      </c>
      <c r="B330">
        <v>0.32171241039999998</v>
      </c>
      <c r="C330">
        <v>0</v>
      </c>
      <c r="D330" t="str">
        <f t="shared" si="12"/>
        <v/>
      </c>
      <c r="E330">
        <f t="shared" si="12"/>
        <v>0</v>
      </c>
      <c r="F330" t="str">
        <f t="shared" si="11"/>
        <v/>
      </c>
      <c r="G330">
        <f t="shared" si="11"/>
        <v>0.32171241039999998</v>
      </c>
    </row>
    <row r="331" spans="1:7" x14ac:dyDescent="0.2">
      <c r="A331" t="s">
        <v>2</v>
      </c>
      <c r="B331">
        <v>0.38011161739999999</v>
      </c>
      <c r="C331">
        <v>0</v>
      </c>
      <c r="D331">
        <f t="shared" si="12"/>
        <v>0</v>
      </c>
      <c r="E331" t="str">
        <f t="shared" si="12"/>
        <v/>
      </c>
      <c r="F331">
        <f t="shared" si="11"/>
        <v>0.38011161739999999</v>
      </c>
      <c r="G331" t="str">
        <f t="shared" si="11"/>
        <v/>
      </c>
    </row>
    <row r="332" spans="1:7" x14ac:dyDescent="0.2">
      <c r="A332" t="s">
        <v>2</v>
      </c>
      <c r="B332">
        <v>0.14393709730000001</v>
      </c>
      <c r="C332">
        <v>0</v>
      </c>
      <c r="D332">
        <f t="shared" si="12"/>
        <v>0</v>
      </c>
      <c r="E332" t="str">
        <f t="shared" si="12"/>
        <v/>
      </c>
      <c r="F332">
        <f t="shared" si="11"/>
        <v>0.14393709730000001</v>
      </c>
      <c r="G332" t="str">
        <f t="shared" si="11"/>
        <v/>
      </c>
    </row>
    <row r="333" spans="1:7" x14ac:dyDescent="0.2">
      <c r="A333" t="s">
        <v>2</v>
      </c>
      <c r="B333">
        <v>0.3715712726</v>
      </c>
      <c r="C333">
        <v>1</v>
      </c>
      <c r="D333">
        <f t="shared" si="12"/>
        <v>1</v>
      </c>
      <c r="E333" t="str">
        <f t="shared" si="12"/>
        <v/>
      </c>
      <c r="F333">
        <f t="shared" si="11"/>
        <v>0.3715712726</v>
      </c>
      <c r="G333" t="str">
        <f t="shared" si="11"/>
        <v/>
      </c>
    </row>
    <row r="334" spans="1:7" x14ac:dyDescent="0.2">
      <c r="A334" t="s">
        <v>0</v>
      </c>
      <c r="B334">
        <v>0.23052362600000001</v>
      </c>
      <c r="C334">
        <v>0</v>
      </c>
      <c r="D334" t="str">
        <f t="shared" si="12"/>
        <v/>
      </c>
      <c r="E334">
        <f t="shared" si="12"/>
        <v>0</v>
      </c>
      <c r="F334" t="str">
        <f t="shared" si="11"/>
        <v/>
      </c>
      <c r="G334">
        <f t="shared" si="11"/>
        <v>0.23052362600000001</v>
      </c>
    </row>
    <row r="335" spans="1:7" x14ac:dyDescent="0.2">
      <c r="A335" t="s">
        <v>2</v>
      </c>
      <c r="B335">
        <v>0.31531687079999998</v>
      </c>
      <c r="C335">
        <v>0</v>
      </c>
      <c r="D335">
        <f t="shared" si="12"/>
        <v>0</v>
      </c>
      <c r="E335" t="str">
        <f t="shared" si="12"/>
        <v/>
      </c>
      <c r="F335">
        <f t="shared" si="11"/>
        <v>0.31531687079999998</v>
      </c>
      <c r="G335" t="str">
        <f t="shared" si="11"/>
        <v/>
      </c>
    </row>
    <row r="336" spans="1:7" x14ac:dyDescent="0.2">
      <c r="A336" t="s">
        <v>2</v>
      </c>
      <c r="B336">
        <v>0.59546558449999998</v>
      </c>
      <c r="C336">
        <v>0</v>
      </c>
      <c r="D336">
        <f t="shared" si="12"/>
        <v>0</v>
      </c>
      <c r="E336" t="str">
        <f t="shared" si="12"/>
        <v/>
      </c>
      <c r="F336">
        <f t="shared" si="11"/>
        <v>0.59546558449999998</v>
      </c>
      <c r="G336" t="str">
        <f t="shared" si="11"/>
        <v/>
      </c>
    </row>
    <row r="337" spans="1:7" x14ac:dyDescent="0.2">
      <c r="A337" t="s">
        <v>2</v>
      </c>
      <c r="B337">
        <v>0.10193154</v>
      </c>
      <c r="C337">
        <v>0</v>
      </c>
      <c r="D337">
        <f t="shared" si="12"/>
        <v>0</v>
      </c>
      <c r="E337" t="str">
        <f t="shared" si="12"/>
        <v/>
      </c>
      <c r="F337">
        <f t="shared" si="11"/>
        <v>0.10193154</v>
      </c>
      <c r="G337" t="str">
        <f t="shared" si="11"/>
        <v/>
      </c>
    </row>
    <row r="338" spans="1:7" x14ac:dyDescent="0.2">
      <c r="A338" t="s">
        <v>2</v>
      </c>
      <c r="B338">
        <v>0.14067121630000001</v>
      </c>
      <c r="C338">
        <v>0</v>
      </c>
      <c r="D338">
        <f t="shared" si="12"/>
        <v>0</v>
      </c>
      <c r="E338" t="str">
        <f t="shared" si="12"/>
        <v/>
      </c>
      <c r="F338">
        <f t="shared" si="11"/>
        <v>0.14067121630000001</v>
      </c>
      <c r="G338" t="str">
        <f t="shared" si="11"/>
        <v/>
      </c>
    </row>
    <row r="339" spans="1:7" x14ac:dyDescent="0.2">
      <c r="A339" t="s">
        <v>0</v>
      </c>
      <c r="B339">
        <v>0.10877410899999999</v>
      </c>
      <c r="C339">
        <v>0</v>
      </c>
      <c r="D339" t="str">
        <f t="shared" si="12"/>
        <v/>
      </c>
      <c r="E339">
        <f t="shared" si="12"/>
        <v>0</v>
      </c>
      <c r="F339" t="str">
        <f t="shared" si="11"/>
        <v/>
      </c>
      <c r="G339">
        <f t="shared" si="11"/>
        <v>0.10877410899999999</v>
      </c>
    </row>
    <row r="340" spans="1:7" x14ac:dyDescent="0.2">
      <c r="A340" t="s">
        <v>0</v>
      </c>
      <c r="B340">
        <v>0.65630565669999996</v>
      </c>
      <c r="C340">
        <v>0</v>
      </c>
      <c r="D340" t="str">
        <f t="shared" si="12"/>
        <v/>
      </c>
      <c r="E340">
        <f t="shared" si="12"/>
        <v>0</v>
      </c>
      <c r="F340" t="str">
        <f t="shared" si="11"/>
        <v/>
      </c>
      <c r="G340">
        <f t="shared" si="11"/>
        <v>0.65630565669999996</v>
      </c>
    </row>
    <row r="341" spans="1:7" x14ac:dyDescent="0.2">
      <c r="A341" t="s">
        <v>2</v>
      </c>
      <c r="B341">
        <v>0.43674312939999999</v>
      </c>
      <c r="C341">
        <v>0</v>
      </c>
      <c r="D341">
        <f t="shared" si="12"/>
        <v>0</v>
      </c>
      <c r="E341" t="str">
        <f t="shared" si="12"/>
        <v/>
      </c>
      <c r="F341">
        <f t="shared" si="11"/>
        <v>0.43674312939999999</v>
      </c>
      <c r="G341" t="str">
        <f t="shared" si="11"/>
        <v/>
      </c>
    </row>
    <row r="342" spans="1:7" x14ac:dyDescent="0.2">
      <c r="A342" t="s">
        <v>2</v>
      </c>
      <c r="B342">
        <v>0.12850935220000001</v>
      </c>
      <c r="C342">
        <v>0</v>
      </c>
      <c r="D342">
        <f t="shared" si="12"/>
        <v>0</v>
      </c>
      <c r="E342" t="str">
        <f t="shared" si="12"/>
        <v/>
      </c>
      <c r="F342">
        <f t="shared" si="11"/>
        <v>0.12850935220000001</v>
      </c>
      <c r="G342" t="str">
        <f t="shared" si="11"/>
        <v/>
      </c>
    </row>
    <row r="343" spans="1:7" x14ac:dyDescent="0.2">
      <c r="A343" t="s">
        <v>2</v>
      </c>
      <c r="B343">
        <v>0.47665485839999999</v>
      </c>
      <c r="C343">
        <v>1</v>
      </c>
      <c r="D343">
        <f t="shared" si="12"/>
        <v>1</v>
      </c>
      <c r="E343" t="str">
        <f t="shared" si="12"/>
        <v/>
      </c>
      <c r="F343">
        <f t="shared" si="11"/>
        <v>0.47665485839999999</v>
      </c>
      <c r="G343" t="str">
        <f t="shared" si="11"/>
        <v/>
      </c>
    </row>
    <row r="344" spans="1:7" x14ac:dyDescent="0.2">
      <c r="A344" t="s">
        <v>0</v>
      </c>
      <c r="B344">
        <v>0.47590771199999998</v>
      </c>
      <c r="C344">
        <v>1</v>
      </c>
      <c r="D344" t="str">
        <f t="shared" si="12"/>
        <v/>
      </c>
      <c r="E344">
        <f t="shared" si="12"/>
        <v>1</v>
      </c>
      <c r="F344" t="str">
        <f t="shared" si="11"/>
        <v/>
      </c>
      <c r="G344">
        <f t="shared" si="11"/>
        <v>0.47590771199999998</v>
      </c>
    </row>
    <row r="345" spans="1:7" x14ac:dyDescent="0.2">
      <c r="A345" t="s">
        <v>2</v>
      </c>
      <c r="B345">
        <v>0.3198645296</v>
      </c>
      <c r="C345">
        <v>0</v>
      </c>
      <c r="D345">
        <f t="shared" si="12"/>
        <v>0</v>
      </c>
      <c r="E345" t="str">
        <f t="shared" si="12"/>
        <v/>
      </c>
      <c r="F345">
        <f t="shared" si="11"/>
        <v>0.3198645296</v>
      </c>
      <c r="G345" t="str">
        <f t="shared" si="11"/>
        <v/>
      </c>
    </row>
    <row r="346" spans="1:7" x14ac:dyDescent="0.2">
      <c r="A346" t="s">
        <v>2</v>
      </c>
      <c r="B346">
        <v>0.66225826229999996</v>
      </c>
      <c r="C346">
        <v>1</v>
      </c>
      <c r="D346">
        <f t="shared" si="12"/>
        <v>1</v>
      </c>
      <c r="E346" t="str">
        <f t="shared" si="12"/>
        <v/>
      </c>
      <c r="F346">
        <f t="shared" si="11"/>
        <v>0.66225826229999996</v>
      </c>
      <c r="G346" t="str">
        <f t="shared" si="11"/>
        <v/>
      </c>
    </row>
    <row r="347" spans="1:7" x14ac:dyDescent="0.2">
      <c r="A347" t="s">
        <v>2</v>
      </c>
      <c r="B347">
        <v>0.19420062220000001</v>
      </c>
      <c r="C347">
        <v>0</v>
      </c>
      <c r="D347">
        <f t="shared" si="12"/>
        <v>0</v>
      </c>
      <c r="E347" t="str">
        <f t="shared" si="12"/>
        <v/>
      </c>
      <c r="F347">
        <f t="shared" si="11"/>
        <v>0.19420062220000001</v>
      </c>
      <c r="G347" t="str">
        <f t="shared" si="11"/>
        <v/>
      </c>
    </row>
    <row r="348" spans="1:7" x14ac:dyDescent="0.2">
      <c r="A348" t="s">
        <v>2</v>
      </c>
      <c r="B348">
        <v>0.1261400251</v>
      </c>
      <c r="C348">
        <v>0</v>
      </c>
      <c r="D348">
        <f t="shared" si="12"/>
        <v>0</v>
      </c>
      <c r="E348" t="str">
        <f t="shared" si="12"/>
        <v/>
      </c>
      <c r="F348">
        <f t="shared" si="11"/>
        <v>0.1261400251</v>
      </c>
      <c r="G348" t="str">
        <f t="shared" si="11"/>
        <v/>
      </c>
    </row>
    <row r="349" spans="1:7" x14ac:dyDescent="0.2">
      <c r="A349" t="s">
        <v>2</v>
      </c>
      <c r="B349">
        <v>0.84437830970000005</v>
      </c>
      <c r="C349">
        <v>0</v>
      </c>
      <c r="D349">
        <f t="shared" si="12"/>
        <v>0</v>
      </c>
      <c r="E349" t="str">
        <f t="shared" si="12"/>
        <v/>
      </c>
      <c r="F349">
        <f t="shared" si="11"/>
        <v>0.84437830970000005</v>
      </c>
      <c r="G349" t="str">
        <f t="shared" si="11"/>
        <v/>
      </c>
    </row>
    <row r="350" spans="1:7" x14ac:dyDescent="0.2">
      <c r="A350" t="s">
        <v>2</v>
      </c>
      <c r="B350">
        <v>0.70279023780000005</v>
      </c>
      <c r="C350">
        <v>1</v>
      </c>
      <c r="D350">
        <f t="shared" si="12"/>
        <v>1</v>
      </c>
      <c r="E350" t="str">
        <f t="shared" si="12"/>
        <v/>
      </c>
      <c r="F350">
        <f t="shared" si="11"/>
        <v>0.70279023780000005</v>
      </c>
      <c r="G350" t="str">
        <f t="shared" si="11"/>
        <v/>
      </c>
    </row>
    <row r="351" spans="1:7" x14ac:dyDescent="0.2">
      <c r="A351" t="s">
        <v>2</v>
      </c>
      <c r="B351">
        <v>0.45458549590000003</v>
      </c>
      <c r="C351">
        <v>0</v>
      </c>
      <c r="D351">
        <f t="shared" si="12"/>
        <v>0</v>
      </c>
      <c r="E351" t="str">
        <f t="shared" si="12"/>
        <v/>
      </c>
      <c r="F351">
        <f t="shared" si="11"/>
        <v>0.45458549590000003</v>
      </c>
      <c r="G351" t="str">
        <f t="shared" si="11"/>
        <v/>
      </c>
    </row>
    <row r="352" spans="1:7" x14ac:dyDescent="0.2">
      <c r="A352" t="s">
        <v>2</v>
      </c>
      <c r="B352">
        <v>0.18389357449999999</v>
      </c>
      <c r="C352">
        <v>0</v>
      </c>
      <c r="D352">
        <f t="shared" si="12"/>
        <v>0</v>
      </c>
      <c r="E352" t="str">
        <f t="shared" si="12"/>
        <v/>
      </c>
      <c r="F352">
        <f t="shared" si="11"/>
        <v>0.18389357449999999</v>
      </c>
      <c r="G352" t="str">
        <f t="shared" si="11"/>
        <v/>
      </c>
    </row>
    <row r="353" spans="1:7" x14ac:dyDescent="0.2">
      <c r="A353" t="s">
        <v>2</v>
      </c>
      <c r="B353">
        <v>8.2170752499999999E-2</v>
      </c>
      <c r="C353">
        <v>0</v>
      </c>
      <c r="D353">
        <f t="shared" si="12"/>
        <v>0</v>
      </c>
      <c r="E353" t="str">
        <f t="shared" si="12"/>
        <v/>
      </c>
      <c r="F353">
        <f t="shared" si="11"/>
        <v>8.2170752499999999E-2</v>
      </c>
      <c r="G353" t="str">
        <f t="shared" si="11"/>
        <v/>
      </c>
    </row>
    <row r="354" spans="1:7" x14ac:dyDescent="0.2">
      <c r="A354" t="s">
        <v>2</v>
      </c>
      <c r="B354">
        <v>0.82931486050000003</v>
      </c>
      <c r="C354">
        <v>1</v>
      </c>
      <c r="D354">
        <f t="shared" si="12"/>
        <v>1</v>
      </c>
      <c r="E354" t="str">
        <f t="shared" si="12"/>
        <v/>
      </c>
      <c r="F354">
        <f t="shared" si="11"/>
        <v>0.82931486050000003</v>
      </c>
      <c r="G354" t="str">
        <f t="shared" si="11"/>
        <v/>
      </c>
    </row>
    <row r="355" spans="1:7" x14ac:dyDescent="0.2">
      <c r="A355" t="s">
        <v>0</v>
      </c>
      <c r="B355">
        <v>0.30119376609999998</v>
      </c>
      <c r="C355">
        <v>0</v>
      </c>
      <c r="D355" t="str">
        <f t="shared" si="12"/>
        <v/>
      </c>
      <c r="E355">
        <f t="shared" si="12"/>
        <v>0</v>
      </c>
      <c r="F355" t="str">
        <f t="shared" si="11"/>
        <v/>
      </c>
      <c r="G355">
        <f t="shared" si="11"/>
        <v>0.30119376609999998</v>
      </c>
    </row>
    <row r="356" spans="1:7" x14ac:dyDescent="0.2">
      <c r="A356" t="s">
        <v>2</v>
      </c>
      <c r="B356">
        <v>0.17245409289999999</v>
      </c>
      <c r="C356">
        <v>0</v>
      </c>
      <c r="D356">
        <f t="shared" si="12"/>
        <v>0</v>
      </c>
      <c r="E356" t="str">
        <f t="shared" si="12"/>
        <v/>
      </c>
      <c r="F356">
        <f t="shared" si="11"/>
        <v>0.17245409289999999</v>
      </c>
      <c r="G356" t="str">
        <f t="shared" si="11"/>
        <v/>
      </c>
    </row>
    <row r="357" spans="1:7" x14ac:dyDescent="0.2">
      <c r="A357" t="s">
        <v>2</v>
      </c>
      <c r="B357">
        <v>0.62668335269999997</v>
      </c>
      <c r="C357">
        <v>1</v>
      </c>
      <c r="D357">
        <f t="shared" si="12"/>
        <v>1</v>
      </c>
      <c r="E357" t="str">
        <f t="shared" si="12"/>
        <v/>
      </c>
      <c r="F357">
        <f t="shared" si="11"/>
        <v>0.62668335269999997</v>
      </c>
      <c r="G357" t="str">
        <f t="shared" si="11"/>
        <v/>
      </c>
    </row>
    <row r="358" spans="1:7" x14ac:dyDescent="0.2">
      <c r="A358" t="s">
        <v>2</v>
      </c>
      <c r="B358">
        <v>0.206239274</v>
      </c>
      <c r="C358">
        <v>0</v>
      </c>
      <c r="D358">
        <f t="shared" si="12"/>
        <v>0</v>
      </c>
      <c r="E358" t="str">
        <f t="shared" si="12"/>
        <v/>
      </c>
      <c r="F358">
        <f t="shared" si="11"/>
        <v>0.206239274</v>
      </c>
      <c r="G358" t="str">
        <f t="shared" si="11"/>
        <v/>
      </c>
    </row>
    <row r="359" spans="1:7" x14ac:dyDescent="0.2">
      <c r="A359" t="s">
        <v>0</v>
      </c>
      <c r="B359">
        <v>0.1566198795</v>
      </c>
      <c r="C359">
        <v>0</v>
      </c>
      <c r="D359" t="str">
        <f t="shared" si="12"/>
        <v/>
      </c>
      <c r="E359">
        <f t="shared" si="12"/>
        <v>0</v>
      </c>
      <c r="F359" t="str">
        <f t="shared" si="11"/>
        <v/>
      </c>
      <c r="G359">
        <f t="shared" si="11"/>
        <v>0.1566198795</v>
      </c>
    </row>
    <row r="360" spans="1:7" x14ac:dyDescent="0.2">
      <c r="A360" t="s">
        <v>2</v>
      </c>
      <c r="B360">
        <v>0.27786715270000001</v>
      </c>
      <c r="C360">
        <v>0</v>
      </c>
      <c r="D360">
        <f t="shared" si="12"/>
        <v>0</v>
      </c>
      <c r="E360" t="str">
        <f t="shared" si="12"/>
        <v/>
      </c>
      <c r="F360">
        <f t="shared" si="11"/>
        <v>0.27786715270000001</v>
      </c>
      <c r="G360" t="str">
        <f t="shared" si="11"/>
        <v/>
      </c>
    </row>
    <row r="361" spans="1:7" x14ac:dyDescent="0.2">
      <c r="A361" t="s">
        <v>2</v>
      </c>
      <c r="B361">
        <v>0.15814519360000001</v>
      </c>
      <c r="C361">
        <v>0</v>
      </c>
      <c r="D361">
        <f t="shared" si="12"/>
        <v>0</v>
      </c>
      <c r="E361" t="str">
        <f t="shared" si="12"/>
        <v/>
      </c>
      <c r="F361">
        <f t="shared" si="11"/>
        <v>0.15814519360000001</v>
      </c>
      <c r="G361" t="str">
        <f t="shared" si="11"/>
        <v/>
      </c>
    </row>
    <row r="362" spans="1:7" x14ac:dyDescent="0.2">
      <c r="A362" t="s">
        <v>2</v>
      </c>
      <c r="B362">
        <v>0.40378568529999997</v>
      </c>
      <c r="C362">
        <v>0</v>
      </c>
      <c r="D362">
        <f t="shared" si="12"/>
        <v>0</v>
      </c>
      <c r="E362" t="str">
        <f t="shared" si="12"/>
        <v/>
      </c>
      <c r="F362">
        <f t="shared" si="11"/>
        <v>0.40378568529999997</v>
      </c>
      <c r="G362" t="str">
        <f t="shared" si="11"/>
        <v/>
      </c>
    </row>
    <row r="363" spans="1:7" x14ac:dyDescent="0.2">
      <c r="A363" t="s">
        <v>2</v>
      </c>
      <c r="B363">
        <v>0.33438638609999999</v>
      </c>
      <c r="C363">
        <v>1</v>
      </c>
      <c r="D363">
        <f t="shared" si="12"/>
        <v>1</v>
      </c>
      <c r="E363" t="str">
        <f t="shared" si="12"/>
        <v/>
      </c>
      <c r="F363">
        <f t="shared" si="11"/>
        <v>0.33438638609999999</v>
      </c>
      <c r="G363" t="str">
        <f t="shared" si="11"/>
        <v/>
      </c>
    </row>
    <row r="364" spans="1:7" x14ac:dyDescent="0.2">
      <c r="A364" t="s">
        <v>2</v>
      </c>
      <c r="B364">
        <v>0.50774859289999996</v>
      </c>
      <c r="C364">
        <v>1</v>
      </c>
      <c r="D364">
        <f t="shared" si="12"/>
        <v>1</v>
      </c>
      <c r="E364" t="str">
        <f t="shared" si="12"/>
        <v/>
      </c>
      <c r="F364">
        <f t="shared" si="11"/>
        <v>0.50774859289999996</v>
      </c>
      <c r="G364" t="str">
        <f t="shared" si="11"/>
        <v/>
      </c>
    </row>
    <row r="365" spans="1:7" x14ac:dyDescent="0.2">
      <c r="A365" t="s">
        <v>2</v>
      </c>
      <c r="B365">
        <v>0.54921022019999999</v>
      </c>
      <c r="C365">
        <v>1</v>
      </c>
      <c r="D365">
        <f t="shared" si="12"/>
        <v>1</v>
      </c>
      <c r="E365" t="str">
        <f t="shared" si="12"/>
        <v/>
      </c>
      <c r="F365">
        <f t="shared" si="11"/>
        <v>0.54921022019999999</v>
      </c>
      <c r="G365" t="str">
        <f t="shared" si="11"/>
        <v/>
      </c>
    </row>
    <row r="366" spans="1:7" x14ac:dyDescent="0.2">
      <c r="A366" t="s">
        <v>0</v>
      </c>
      <c r="B366">
        <v>0.36017732629999999</v>
      </c>
      <c r="C366">
        <v>0</v>
      </c>
      <c r="D366" t="str">
        <f t="shared" si="12"/>
        <v/>
      </c>
      <c r="E366">
        <f t="shared" si="12"/>
        <v>0</v>
      </c>
      <c r="F366" t="str">
        <f t="shared" si="11"/>
        <v/>
      </c>
      <c r="G366">
        <f t="shared" si="11"/>
        <v>0.36017732629999999</v>
      </c>
    </row>
    <row r="367" spans="1:7" x14ac:dyDescent="0.2">
      <c r="A367" t="s">
        <v>2</v>
      </c>
      <c r="B367">
        <v>0.28781050499999999</v>
      </c>
      <c r="C367">
        <v>1</v>
      </c>
      <c r="D367">
        <f t="shared" si="12"/>
        <v>1</v>
      </c>
      <c r="E367" t="str">
        <f t="shared" si="12"/>
        <v/>
      </c>
      <c r="F367">
        <f t="shared" si="11"/>
        <v>0.28781050499999999</v>
      </c>
      <c r="G367" t="str">
        <f t="shared" si="11"/>
        <v/>
      </c>
    </row>
    <row r="368" spans="1:7" x14ac:dyDescent="0.2">
      <c r="A368" t="s">
        <v>0</v>
      </c>
      <c r="B368">
        <v>0.32155092410000002</v>
      </c>
      <c r="C368">
        <v>0</v>
      </c>
      <c r="D368" t="str">
        <f t="shared" si="12"/>
        <v/>
      </c>
      <c r="E368">
        <f t="shared" si="12"/>
        <v>0</v>
      </c>
      <c r="F368" t="str">
        <f t="shared" si="11"/>
        <v/>
      </c>
      <c r="G368">
        <f t="shared" si="11"/>
        <v>0.32155092410000002</v>
      </c>
    </row>
    <row r="369" spans="1:7" x14ac:dyDescent="0.2">
      <c r="A369" t="s">
        <v>0</v>
      </c>
      <c r="B369">
        <v>0.64474336109999997</v>
      </c>
      <c r="C369">
        <v>1</v>
      </c>
      <c r="D369" t="str">
        <f t="shared" si="12"/>
        <v/>
      </c>
      <c r="E369">
        <f t="shared" si="12"/>
        <v>1</v>
      </c>
      <c r="F369" t="str">
        <f t="shared" si="11"/>
        <v/>
      </c>
      <c r="G369">
        <f t="shared" si="11"/>
        <v>0.64474336109999997</v>
      </c>
    </row>
    <row r="370" spans="1:7" x14ac:dyDescent="0.2">
      <c r="A370" t="s">
        <v>2</v>
      </c>
      <c r="B370">
        <v>0.56956328410000001</v>
      </c>
      <c r="C370">
        <v>0</v>
      </c>
      <c r="D370">
        <f t="shared" si="12"/>
        <v>0</v>
      </c>
      <c r="E370" t="str">
        <f t="shared" si="12"/>
        <v/>
      </c>
      <c r="F370">
        <f t="shared" si="11"/>
        <v>0.56956328410000001</v>
      </c>
      <c r="G370" t="str">
        <f t="shared" si="11"/>
        <v/>
      </c>
    </row>
    <row r="371" spans="1:7" x14ac:dyDescent="0.2">
      <c r="A371" t="s">
        <v>0</v>
      </c>
      <c r="B371">
        <v>0.67852359900000003</v>
      </c>
      <c r="C371">
        <v>0</v>
      </c>
      <c r="D371" t="str">
        <f t="shared" si="12"/>
        <v/>
      </c>
      <c r="E371">
        <f t="shared" si="12"/>
        <v>0</v>
      </c>
      <c r="F371" t="str">
        <f t="shared" si="11"/>
        <v/>
      </c>
      <c r="G371">
        <f t="shared" si="11"/>
        <v>0.67852359900000003</v>
      </c>
    </row>
    <row r="372" spans="1:7" x14ac:dyDescent="0.2">
      <c r="A372" t="s">
        <v>2</v>
      </c>
      <c r="B372">
        <v>0.63991125010000005</v>
      </c>
      <c r="C372">
        <v>0</v>
      </c>
      <c r="D372">
        <f t="shared" si="12"/>
        <v>0</v>
      </c>
      <c r="E372" t="str">
        <f t="shared" si="12"/>
        <v/>
      </c>
      <c r="F372">
        <f t="shared" si="11"/>
        <v>0.63991125010000005</v>
      </c>
      <c r="G372" t="str">
        <f t="shared" si="11"/>
        <v/>
      </c>
    </row>
    <row r="373" spans="1:7" x14ac:dyDescent="0.2">
      <c r="A373" t="s">
        <v>2</v>
      </c>
      <c r="B373">
        <v>0.1393972611</v>
      </c>
      <c r="C373">
        <v>0</v>
      </c>
      <c r="D373">
        <f t="shared" si="12"/>
        <v>0</v>
      </c>
      <c r="E373" t="str">
        <f t="shared" si="12"/>
        <v/>
      </c>
      <c r="F373">
        <f t="shared" si="11"/>
        <v>0.1393972611</v>
      </c>
      <c r="G373" t="str">
        <f t="shared" si="11"/>
        <v/>
      </c>
    </row>
    <row r="374" spans="1:7" x14ac:dyDescent="0.2">
      <c r="A374" t="s">
        <v>2</v>
      </c>
      <c r="B374">
        <v>0.67917245559999995</v>
      </c>
      <c r="C374">
        <v>0</v>
      </c>
      <c r="D374">
        <f t="shared" si="12"/>
        <v>0</v>
      </c>
      <c r="E374" t="str">
        <f t="shared" si="12"/>
        <v/>
      </c>
      <c r="F374">
        <f t="shared" si="11"/>
        <v>0.67917245559999995</v>
      </c>
      <c r="G374" t="str">
        <f t="shared" si="11"/>
        <v/>
      </c>
    </row>
    <row r="375" spans="1:7" x14ac:dyDescent="0.2">
      <c r="A375" t="s">
        <v>0</v>
      </c>
      <c r="B375">
        <v>0.85727229439999997</v>
      </c>
      <c r="C375">
        <v>1</v>
      </c>
      <c r="D375" t="str">
        <f t="shared" si="12"/>
        <v/>
      </c>
      <c r="E375">
        <f t="shared" si="12"/>
        <v>1</v>
      </c>
      <c r="F375" t="str">
        <f t="shared" si="11"/>
        <v/>
      </c>
      <c r="G375">
        <f t="shared" si="11"/>
        <v>0.85727229439999997</v>
      </c>
    </row>
    <row r="376" spans="1:7" x14ac:dyDescent="0.2">
      <c r="A376" t="s">
        <v>0</v>
      </c>
      <c r="B376">
        <v>0.59764079290000005</v>
      </c>
      <c r="C376">
        <v>1</v>
      </c>
      <c r="D376" t="str">
        <f t="shared" si="12"/>
        <v/>
      </c>
      <c r="E376">
        <f t="shared" si="12"/>
        <v>1</v>
      </c>
      <c r="F376" t="str">
        <f t="shared" si="11"/>
        <v/>
      </c>
      <c r="G376">
        <f t="shared" si="11"/>
        <v>0.59764079290000005</v>
      </c>
    </row>
    <row r="377" spans="1:7" x14ac:dyDescent="0.2">
      <c r="A377" t="s">
        <v>2</v>
      </c>
      <c r="B377">
        <v>0.52821758990000001</v>
      </c>
      <c r="C377">
        <v>1</v>
      </c>
      <c r="D377">
        <f t="shared" si="12"/>
        <v>1</v>
      </c>
      <c r="E377" t="str">
        <f t="shared" si="12"/>
        <v/>
      </c>
      <c r="F377">
        <f t="shared" si="11"/>
        <v>0.52821758990000001</v>
      </c>
      <c r="G377" t="str">
        <f t="shared" si="11"/>
        <v/>
      </c>
    </row>
    <row r="378" spans="1:7" x14ac:dyDescent="0.2">
      <c r="A378" t="s">
        <v>2</v>
      </c>
      <c r="B378">
        <v>0.1228032361</v>
      </c>
      <c r="C378">
        <v>0</v>
      </c>
      <c r="D378">
        <f t="shared" si="12"/>
        <v>0</v>
      </c>
      <c r="E378" t="str">
        <f t="shared" si="12"/>
        <v/>
      </c>
      <c r="F378">
        <f t="shared" si="11"/>
        <v>0.1228032361</v>
      </c>
      <c r="G378" t="str">
        <f t="shared" si="11"/>
        <v/>
      </c>
    </row>
    <row r="379" spans="1:7" x14ac:dyDescent="0.2">
      <c r="A379" t="s">
        <v>2</v>
      </c>
      <c r="B379">
        <v>0.25401397730000003</v>
      </c>
      <c r="C379">
        <v>1</v>
      </c>
      <c r="D379">
        <f t="shared" si="12"/>
        <v>1</v>
      </c>
      <c r="E379" t="str">
        <f t="shared" si="12"/>
        <v/>
      </c>
      <c r="F379">
        <f t="shared" si="11"/>
        <v>0.25401397730000003</v>
      </c>
      <c r="G379" t="str">
        <f t="shared" si="11"/>
        <v/>
      </c>
    </row>
    <row r="380" spans="1:7" x14ac:dyDescent="0.2">
      <c r="A380" t="s">
        <v>0</v>
      </c>
      <c r="B380">
        <v>0.30238412710000001</v>
      </c>
      <c r="C380">
        <v>0</v>
      </c>
      <c r="D380" t="str">
        <f t="shared" si="12"/>
        <v/>
      </c>
      <c r="E380">
        <f t="shared" si="12"/>
        <v>0</v>
      </c>
      <c r="F380" t="str">
        <f t="shared" si="11"/>
        <v/>
      </c>
      <c r="G380">
        <f t="shared" si="11"/>
        <v>0.30238412710000001</v>
      </c>
    </row>
    <row r="381" spans="1:7" x14ac:dyDescent="0.2">
      <c r="A381" t="s">
        <v>2</v>
      </c>
      <c r="B381">
        <v>0.81869709400000001</v>
      </c>
      <c r="C381">
        <v>0</v>
      </c>
      <c r="D381">
        <f t="shared" si="12"/>
        <v>0</v>
      </c>
      <c r="E381" t="str">
        <f t="shared" si="12"/>
        <v/>
      </c>
      <c r="F381">
        <f t="shared" si="11"/>
        <v>0.81869709400000001</v>
      </c>
      <c r="G381" t="str">
        <f t="shared" si="11"/>
        <v/>
      </c>
    </row>
    <row r="382" spans="1:7" x14ac:dyDescent="0.2">
      <c r="A382" t="s">
        <v>2</v>
      </c>
      <c r="B382">
        <v>0.29144775750000002</v>
      </c>
      <c r="C382">
        <v>0</v>
      </c>
      <c r="D382">
        <f t="shared" si="12"/>
        <v>0</v>
      </c>
      <c r="E382" t="str">
        <f t="shared" si="12"/>
        <v/>
      </c>
      <c r="F382">
        <f t="shared" si="11"/>
        <v>0.29144775750000002</v>
      </c>
      <c r="G382" t="str">
        <f t="shared" si="11"/>
        <v/>
      </c>
    </row>
    <row r="383" spans="1:7" x14ac:dyDescent="0.2">
      <c r="A383" t="s">
        <v>0</v>
      </c>
      <c r="B383">
        <v>0.5423501731</v>
      </c>
      <c r="C383">
        <v>1</v>
      </c>
      <c r="D383" t="str">
        <f t="shared" si="12"/>
        <v/>
      </c>
      <c r="E383">
        <f t="shared" si="12"/>
        <v>1</v>
      </c>
      <c r="F383" t="str">
        <f t="shared" si="11"/>
        <v/>
      </c>
      <c r="G383">
        <f t="shared" si="11"/>
        <v>0.5423501731</v>
      </c>
    </row>
    <row r="384" spans="1:7" x14ac:dyDescent="0.2">
      <c r="A384" t="s">
        <v>2</v>
      </c>
      <c r="B384">
        <v>0.58610997109999996</v>
      </c>
      <c r="C384">
        <v>1</v>
      </c>
      <c r="D384">
        <f t="shared" si="12"/>
        <v>1</v>
      </c>
      <c r="E384" t="str">
        <f t="shared" si="12"/>
        <v/>
      </c>
      <c r="F384">
        <f t="shared" si="11"/>
        <v>0.58610997109999996</v>
      </c>
      <c r="G384" t="str">
        <f t="shared" si="11"/>
        <v/>
      </c>
    </row>
    <row r="385" spans="1:7" x14ac:dyDescent="0.2">
      <c r="A385" t="s">
        <v>2</v>
      </c>
      <c r="B385">
        <v>0.60606324560000002</v>
      </c>
      <c r="C385">
        <v>1</v>
      </c>
      <c r="D385">
        <f t="shared" si="12"/>
        <v>1</v>
      </c>
      <c r="E385" t="str">
        <f t="shared" si="12"/>
        <v/>
      </c>
      <c r="F385">
        <f t="shared" si="11"/>
        <v>0.60606324560000002</v>
      </c>
      <c r="G385" t="str">
        <f t="shared" si="11"/>
        <v/>
      </c>
    </row>
    <row r="386" spans="1:7" x14ac:dyDescent="0.2">
      <c r="A386" t="s">
        <v>2</v>
      </c>
      <c r="B386">
        <v>0.37316463170000003</v>
      </c>
      <c r="C386">
        <v>1</v>
      </c>
      <c r="D386">
        <f t="shared" si="12"/>
        <v>1</v>
      </c>
      <c r="E386" t="str">
        <f t="shared" si="12"/>
        <v/>
      </c>
      <c r="F386">
        <f t="shared" si="11"/>
        <v>0.37316463170000003</v>
      </c>
      <c r="G386" t="str">
        <f t="shared" si="11"/>
        <v/>
      </c>
    </row>
    <row r="387" spans="1:7" x14ac:dyDescent="0.2">
      <c r="A387" t="s">
        <v>2</v>
      </c>
      <c r="B387">
        <v>0.23132163689999999</v>
      </c>
      <c r="C387">
        <v>0</v>
      </c>
      <c r="D387">
        <f t="shared" si="12"/>
        <v>0</v>
      </c>
      <c r="E387" t="str">
        <f t="shared" si="12"/>
        <v/>
      </c>
      <c r="F387">
        <f t="shared" ref="F387:G450" si="13">IF($A387=F$1,$B387,"")</f>
        <v>0.23132163689999999</v>
      </c>
      <c r="G387" t="str">
        <f t="shared" si="13"/>
        <v/>
      </c>
    </row>
    <row r="388" spans="1:7" x14ac:dyDescent="0.2">
      <c r="A388" t="s">
        <v>0</v>
      </c>
      <c r="B388">
        <v>0.43282007150000001</v>
      </c>
      <c r="C388">
        <v>0</v>
      </c>
      <c r="D388" t="str">
        <f t="shared" si="12"/>
        <v/>
      </c>
      <c r="E388">
        <f t="shared" si="12"/>
        <v>0</v>
      </c>
      <c r="F388" t="str">
        <f t="shared" si="13"/>
        <v/>
      </c>
      <c r="G388">
        <f t="shared" si="13"/>
        <v>0.43282007150000001</v>
      </c>
    </row>
    <row r="389" spans="1:7" x14ac:dyDescent="0.2">
      <c r="A389" t="s">
        <v>2</v>
      </c>
      <c r="B389">
        <v>0.26340155209999999</v>
      </c>
      <c r="C389">
        <v>0</v>
      </c>
      <c r="D389">
        <f t="shared" ref="D389:E452" si="14">IF($A389=D$1,$C389,"")</f>
        <v>0</v>
      </c>
      <c r="E389" t="str">
        <f t="shared" si="14"/>
        <v/>
      </c>
      <c r="F389">
        <f t="shared" si="13"/>
        <v>0.26340155209999999</v>
      </c>
      <c r="G389" t="str">
        <f t="shared" si="13"/>
        <v/>
      </c>
    </row>
    <row r="390" spans="1:7" x14ac:dyDescent="0.2">
      <c r="A390" t="s">
        <v>2</v>
      </c>
      <c r="B390">
        <v>0.82826879220000005</v>
      </c>
      <c r="C390">
        <v>1</v>
      </c>
      <c r="D390">
        <f t="shared" si="14"/>
        <v>1</v>
      </c>
      <c r="E390" t="str">
        <f t="shared" si="14"/>
        <v/>
      </c>
      <c r="F390">
        <f t="shared" si="13"/>
        <v>0.82826879220000005</v>
      </c>
      <c r="G390" t="str">
        <f t="shared" si="13"/>
        <v/>
      </c>
    </row>
    <row r="391" spans="1:7" x14ac:dyDescent="0.2">
      <c r="A391" t="s">
        <v>0</v>
      </c>
      <c r="B391">
        <v>0.120928177</v>
      </c>
      <c r="C391">
        <v>0</v>
      </c>
      <c r="D391" t="str">
        <f t="shared" si="14"/>
        <v/>
      </c>
      <c r="E391">
        <f t="shared" si="14"/>
        <v>0</v>
      </c>
      <c r="F391" t="str">
        <f t="shared" si="13"/>
        <v/>
      </c>
      <c r="G391">
        <f t="shared" si="13"/>
        <v>0.120928177</v>
      </c>
    </row>
    <row r="392" spans="1:7" x14ac:dyDescent="0.2">
      <c r="A392" t="s">
        <v>2</v>
      </c>
      <c r="B392">
        <v>0.38997299670000002</v>
      </c>
      <c r="C392">
        <v>0</v>
      </c>
      <c r="D392">
        <f t="shared" si="14"/>
        <v>0</v>
      </c>
      <c r="E392" t="str">
        <f t="shared" si="14"/>
        <v/>
      </c>
      <c r="F392">
        <f t="shared" si="13"/>
        <v>0.38997299670000002</v>
      </c>
      <c r="G392" t="str">
        <f t="shared" si="13"/>
        <v/>
      </c>
    </row>
    <row r="393" spans="1:7" x14ac:dyDescent="0.2">
      <c r="A393" t="s">
        <v>2</v>
      </c>
      <c r="B393">
        <v>8.7959331200000004E-2</v>
      </c>
      <c r="C393">
        <v>0</v>
      </c>
      <c r="D393">
        <f t="shared" si="14"/>
        <v>0</v>
      </c>
      <c r="E393" t="str">
        <f t="shared" si="14"/>
        <v/>
      </c>
      <c r="F393">
        <f t="shared" si="13"/>
        <v>8.7959331200000004E-2</v>
      </c>
      <c r="G393" t="str">
        <f t="shared" si="13"/>
        <v/>
      </c>
    </row>
    <row r="394" spans="1:7" x14ac:dyDescent="0.2">
      <c r="A394" t="s">
        <v>2</v>
      </c>
      <c r="B394">
        <v>0.21362199509999999</v>
      </c>
      <c r="C394">
        <v>0</v>
      </c>
      <c r="D394">
        <f t="shared" si="14"/>
        <v>0</v>
      </c>
      <c r="E394" t="str">
        <f t="shared" si="14"/>
        <v/>
      </c>
      <c r="F394">
        <f t="shared" si="13"/>
        <v>0.21362199509999999</v>
      </c>
      <c r="G394" t="str">
        <f t="shared" si="13"/>
        <v/>
      </c>
    </row>
    <row r="395" spans="1:7" x14ac:dyDescent="0.2">
      <c r="A395" t="s">
        <v>2</v>
      </c>
      <c r="B395">
        <v>0.1166557396</v>
      </c>
      <c r="C395">
        <v>0</v>
      </c>
      <c r="D395">
        <f t="shared" si="14"/>
        <v>0</v>
      </c>
      <c r="E395" t="str">
        <f t="shared" si="14"/>
        <v/>
      </c>
      <c r="F395">
        <f t="shared" si="13"/>
        <v>0.1166557396</v>
      </c>
      <c r="G395" t="str">
        <f t="shared" si="13"/>
        <v/>
      </c>
    </row>
    <row r="396" spans="1:7" x14ac:dyDescent="0.2">
      <c r="A396" t="s">
        <v>2</v>
      </c>
      <c r="B396">
        <v>0.41085290969999999</v>
      </c>
      <c r="C396">
        <v>1</v>
      </c>
      <c r="D396">
        <f t="shared" si="14"/>
        <v>1</v>
      </c>
      <c r="E396" t="str">
        <f t="shared" si="14"/>
        <v/>
      </c>
      <c r="F396">
        <f t="shared" si="13"/>
        <v>0.41085290969999999</v>
      </c>
      <c r="G396" t="str">
        <f t="shared" si="13"/>
        <v/>
      </c>
    </row>
    <row r="397" spans="1:7" x14ac:dyDescent="0.2">
      <c r="A397" t="s">
        <v>2</v>
      </c>
      <c r="B397">
        <v>0.56892595199999996</v>
      </c>
      <c r="C397">
        <v>1</v>
      </c>
      <c r="D397">
        <f t="shared" si="14"/>
        <v>1</v>
      </c>
      <c r="E397" t="str">
        <f t="shared" si="14"/>
        <v/>
      </c>
      <c r="F397">
        <f t="shared" si="13"/>
        <v>0.56892595199999996</v>
      </c>
      <c r="G397" t="str">
        <f t="shared" si="13"/>
        <v/>
      </c>
    </row>
    <row r="398" spans="1:7" x14ac:dyDescent="0.2">
      <c r="A398" t="s">
        <v>2</v>
      </c>
      <c r="B398">
        <v>0.57276107890000005</v>
      </c>
      <c r="C398">
        <v>1</v>
      </c>
      <c r="D398">
        <f t="shared" si="14"/>
        <v>1</v>
      </c>
      <c r="E398" t="str">
        <f t="shared" si="14"/>
        <v/>
      </c>
      <c r="F398">
        <f t="shared" si="13"/>
        <v>0.57276107890000005</v>
      </c>
      <c r="G398" t="str">
        <f t="shared" si="13"/>
        <v/>
      </c>
    </row>
    <row r="399" spans="1:7" x14ac:dyDescent="0.2">
      <c r="A399" t="s">
        <v>0</v>
      </c>
      <c r="B399">
        <v>0.1754817061</v>
      </c>
      <c r="C399">
        <v>0</v>
      </c>
      <c r="D399" t="str">
        <f t="shared" si="14"/>
        <v/>
      </c>
      <c r="E399">
        <f t="shared" si="14"/>
        <v>0</v>
      </c>
      <c r="F399" t="str">
        <f t="shared" si="13"/>
        <v/>
      </c>
      <c r="G399">
        <f t="shared" si="13"/>
        <v>0.1754817061</v>
      </c>
    </row>
    <row r="400" spans="1:7" x14ac:dyDescent="0.2">
      <c r="A400" t="s">
        <v>2</v>
      </c>
      <c r="B400">
        <v>0.7486473951</v>
      </c>
      <c r="C400">
        <v>0</v>
      </c>
      <c r="D400">
        <f t="shared" si="14"/>
        <v>0</v>
      </c>
      <c r="E400" t="str">
        <f t="shared" si="14"/>
        <v/>
      </c>
      <c r="F400">
        <f t="shared" si="13"/>
        <v>0.7486473951</v>
      </c>
      <c r="G400" t="str">
        <f t="shared" si="13"/>
        <v/>
      </c>
    </row>
    <row r="401" spans="1:7" x14ac:dyDescent="0.2">
      <c r="A401" t="s">
        <v>2</v>
      </c>
      <c r="B401">
        <v>0.70854125079999997</v>
      </c>
      <c r="C401">
        <v>1</v>
      </c>
      <c r="D401">
        <f t="shared" si="14"/>
        <v>1</v>
      </c>
      <c r="E401" t="str">
        <f t="shared" si="14"/>
        <v/>
      </c>
      <c r="F401">
        <f t="shared" si="13"/>
        <v>0.70854125079999997</v>
      </c>
      <c r="G401" t="str">
        <f t="shared" si="13"/>
        <v/>
      </c>
    </row>
    <row r="402" spans="1:7" x14ac:dyDescent="0.2">
      <c r="A402" t="s">
        <v>0</v>
      </c>
      <c r="B402">
        <v>0.31228839759999999</v>
      </c>
      <c r="C402">
        <v>0</v>
      </c>
      <c r="D402" t="str">
        <f t="shared" si="14"/>
        <v/>
      </c>
      <c r="E402">
        <f t="shared" si="14"/>
        <v>0</v>
      </c>
      <c r="F402" t="str">
        <f t="shared" si="13"/>
        <v/>
      </c>
      <c r="G402">
        <f t="shared" si="13"/>
        <v>0.31228839759999999</v>
      </c>
    </row>
    <row r="403" spans="1:7" x14ac:dyDescent="0.2">
      <c r="A403" t="s">
        <v>2</v>
      </c>
      <c r="B403">
        <v>0.11995981259999999</v>
      </c>
      <c r="C403">
        <v>0</v>
      </c>
      <c r="D403">
        <f t="shared" si="14"/>
        <v>0</v>
      </c>
      <c r="E403" t="str">
        <f t="shared" si="14"/>
        <v/>
      </c>
      <c r="F403">
        <f t="shared" si="13"/>
        <v>0.11995981259999999</v>
      </c>
      <c r="G403" t="str">
        <f t="shared" si="13"/>
        <v/>
      </c>
    </row>
    <row r="404" spans="1:7" x14ac:dyDescent="0.2">
      <c r="A404" t="s">
        <v>0</v>
      </c>
      <c r="B404">
        <v>0.12877593230000001</v>
      </c>
      <c r="C404">
        <v>0</v>
      </c>
      <c r="D404" t="str">
        <f t="shared" si="14"/>
        <v/>
      </c>
      <c r="E404">
        <f t="shared" si="14"/>
        <v>0</v>
      </c>
      <c r="F404" t="str">
        <f t="shared" si="13"/>
        <v/>
      </c>
      <c r="G404">
        <f t="shared" si="13"/>
        <v>0.12877593230000001</v>
      </c>
    </row>
    <row r="405" spans="1:7" x14ac:dyDescent="0.2">
      <c r="A405" t="s">
        <v>2</v>
      </c>
      <c r="B405">
        <v>0.20900919439999999</v>
      </c>
      <c r="C405">
        <v>0</v>
      </c>
      <c r="D405">
        <f t="shared" si="14"/>
        <v>0</v>
      </c>
      <c r="E405" t="str">
        <f t="shared" si="14"/>
        <v/>
      </c>
      <c r="F405">
        <f t="shared" si="13"/>
        <v>0.20900919439999999</v>
      </c>
      <c r="G405" t="str">
        <f t="shared" si="13"/>
        <v/>
      </c>
    </row>
    <row r="406" spans="1:7" x14ac:dyDescent="0.2">
      <c r="A406" t="s">
        <v>0</v>
      </c>
      <c r="B406">
        <v>0.48186709259999999</v>
      </c>
      <c r="C406">
        <v>0</v>
      </c>
      <c r="D406" t="str">
        <f t="shared" si="14"/>
        <v/>
      </c>
      <c r="E406">
        <f t="shared" si="14"/>
        <v>0</v>
      </c>
      <c r="F406" t="str">
        <f t="shared" si="13"/>
        <v/>
      </c>
      <c r="G406">
        <f t="shared" si="13"/>
        <v>0.48186709259999999</v>
      </c>
    </row>
    <row r="407" spans="1:7" x14ac:dyDescent="0.2">
      <c r="A407" t="s">
        <v>2</v>
      </c>
      <c r="B407">
        <v>0.18339352249999999</v>
      </c>
      <c r="C407">
        <v>0</v>
      </c>
      <c r="D407">
        <f t="shared" si="14"/>
        <v>0</v>
      </c>
      <c r="E407" t="str">
        <f t="shared" si="14"/>
        <v/>
      </c>
      <c r="F407">
        <f t="shared" si="13"/>
        <v>0.18339352249999999</v>
      </c>
      <c r="G407" t="str">
        <f t="shared" si="13"/>
        <v/>
      </c>
    </row>
    <row r="408" spans="1:7" x14ac:dyDescent="0.2">
      <c r="A408" t="s">
        <v>0</v>
      </c>
      <c r="B408">
        <v>0.35013204060000003</v>
      </c>
      <c r="C408">
        <v>1</v>
      </c>
      <c r="D408" t="str">
        <f t="shared" si="14"/>
        <v/>
      </c>
      <c r="E408">
        <f t="shared" si="14"/>
        <v>1</v>
      </c>
      <c r="F408" t="str">
        <f t="shared" si="13"/>
        <v/>
      </c>
      <c r="G408">
        <f t="shared" si="13"/>
        <v>0.35013204060000003</v>
      </c>
    </row>
    <row r="409" spans="1:7" x14ac:dyDescent="0.2">
      <c r="A409" t="s">
        <v>0</v>
      </c>
      <c r="B409">
        <v>0.29196068590000002</v>
      </c>
      <c r="C409">
        <v>1</v>
      </c>
      <c r="D409" t="str">
        <f t="shared" si="14"/>
        <v/>
      </c>
      <c r="E409">
        <f t="shared" si="14"/>
        <v>1</v>
      </c>
      <c r="F409" t="str">
        <f t="shared" si="13"/>
        <v/>
      </c>
      <c r="G409">
        <f t="shared" si="13"/>
        <v>0.29196068590000002</v>
      </c>
    </row>
    <row r="410" spans="1:7" x14ac:dyDescent="0.2">
      <c r="A410" t="s">
        <v>2</v>
      </c>
      <c r="B410">
        <v>0.49723063439999998</v>
      </c>
      <c r="C410">
        <v>0</v>
      </c>
      <c r="D410">
        <f t="shared" si="14"/>
        <v>0</v>
      </c>
      <c r="E410" t="str">
        <f t="shared" si="14"/>
        <v/>
      </c>
      <c r="F410">
        <f t="shared" si="13"/>
        <v>0.49723063439999998</v>
      </c>
      <c r="G410" t="str">
        <f t="shared" si="13"/>
        <v/>
      </c>
    </row>
    <row r="411" spans="1:7" x14ac:dyDescent="0.2">
      <c r="A411" t="s">
        <v>0</v>
      </c>
      <c r="B411">
        <v>0.15574657889999999</v>
      </c>
      <c r="C411">
        <v>0</v>
      </c>
      <c r="D411" t="str">
        <f t="shared" si="14"/>
        <v/>
      </c>
      <c r="E411">
        <f t="shared" si="14"/>
        <v>0</v>
      </c>
      <c r="F411" t="str">
        <f t="shared" si="13"/>
        <v/>
      </c>
      <c r="G411">
        <f t="shared" si="13"/>
        <v>0.15574657889999999</v>
      </c>
    </row>
    <row r="412" spans="1:7" x14ac:dyDescent="0.2">
      <c r="A412" t="s">
        <v>0</v>
      </c>
      <c r="B412">
        <v>0.63919081740000006</v>
      </c>
      <c r="C412">
        <v>1</v>
      </c>
      <c r="D412" t="str">
        <f t="shared" si="14"/>
        <v/>
      </c>
      <c r="E412">
        <f t="shared" si="14"/>
        <v>1</v>
      </c>
      <c r="F412" t="str">
        <f t="shared" si="13"/>
        <v/>
      </c>
      <c r="G412">
        <f t="shared" si="13"/>
        <v>0.63919081740000006</v>
      </c>
    </row>
    <row r="413" spans="1:7" x14ac:dyDescent="0.2">
      <c r="A413" t="s">
        <v>2</v>
      </c>
      <c r="B413">
        <v>0.191807857</v>
      </c>
      <c r="C413">
        <v>0</v>
      </c>
      <c r="D413">
        <f t="shared" si="14"/>
        <v>0</v>
      </c>
      <c r="E413" t="str">
        <f t="shared" si="14"/>
        <v/>
      </c>
      <c r="F413">
        <f t="shared" si="13"/>
        <v>0.191807857</v>
      </c>
      <c r="G413" t="str">
        <f t="shared" si="13"/>
        <v/>
      </c>
    </row>
    <row r="414" spans="1:7" x14ac:dyDescent="0.2">
      <c r="A414" t="s">
        <v>2</v>
      </c>
      <c r="B414">
        <v>0.1589580246</v>
      </c>
      <c r="C414">
        <v>0</v>
      </c>
      <c r="D414">
        <f t="shared" si="14"/>
        <v>0</v>
      </c>
      <c r="E414" t="str">
        <f t="shared" si="14"/>
        <v/>
      </c>
      <c r="F414">
        <f t="shared" si="13"/>
        <v>0.1589580246</v>
      </c>
      <c r="G414" t="str">
        <f t="shared" si="13"/>
        <v/>
      </c>
    </row>
    <row r="415" spans="1:7" x14ac:dyDescent="0.2">
      <c r="A415" t="s">
        <v>2</v>
      </c>
      <c r="B415">
        <v>0.75547193779999999</v>
      </c>
      <c r="C415">
        <v>1</v>
      </c>
      <c r="D415">
        <f t="shared" si="14"/>
        <v>1</v>
      </c>
      <c r="E415" t="str">
        <f t="shared" si="14"/>
        <v/>
      </c>
      <c r="F415">
        <f t="shared" si="13"/>
        <v>0.75547193779999999</v>
      </c>
      <c r="G415" t="str">
        <f t="shared" si="13"/>
        <v/>
      </c>
    </row>
    <row r="416" spans="1:7" x14ac:dyDescent="0.2">
      <c r="A416" t="s">
        <v>2</v>
      </c>
      <c r="B416">
        <v>0.23572571749999999</v>
      </c>
      <c r="C416">
        <v>0</v>
      </c>
      <c r="D416">
        <f t="shared" si="14"/>
        <v>0</v>
      </c>
      <c r="E416" t="str">
        <f t="shared" si="14"/>
        <v/>
      </c>
      <c r="F416">
        <f t="shared" si="13"/>
        <v>0.23572571749999999</v>
      </c>
      <c r="G416" t="str">
        <f t="shared" si="13"/>
        <v/>
      </c>
    </row>
    <row r="417" spans="1:7" x14ac:dyDescent="0.2">
      <c r="A417" t="s">
        <v>2</v>
      </c>
      <c r="B417">
        <v>0.58418583690000003</v>
      </c>
      <c r="C417">
        <v>0</v>
      </c>
      <c r="D417">
        <f t="shared" si="14"/>
        <v>0</v>
      </c>
      <c r="E417" t="str">
        <f t="shared" si="14"/>
        <v/>
      </c>
      <c r="F417">
        <f t="shared" si="13"/>
        <v>0.58418583690000003</v>
      </c>
      <c r="G417" t="str">
        <f t="shared" si="13"/>
        <v/>
      </c>
    </row>
    <row r="418" spans="1:7" x14ac:dyDescent="0.2">
      <c r="A418" t="s">
        <v>0</v>
      </c>
      <c r="B418">
        <v>0.2458326951</v>
      </c>
      <c r="C418">
        <v>1</v>
      </c>
      <c r="D418" t="str">
        <f t="shared" si="14"/>
        <v/>
      </c>
      <c r="E418">
        <f t="shared" si="14"/>
        <v>1</v>
      </c>
      <c r="F418" t="str">
        <f t="shared" si="13"/>
        <v/>
      </c>
      <c r="G418">
        <f t="shared" si="13"/>
        <v>0.2458326951</v>
      </c>
    </row>
    <row r="419" spans="1:7" x14ac:dyDescent="0.2">
      <c r="A419" t="s">
        <v>0</v>
      </c>
      <c r="B419">
        <v>0.19335214889999999</v>
      </c>
      <c r="C419">
        <v>0</v>
      </c>
      <c r="D419" t="str">
        <f t="shared" si="14"/>
        <v/>
      </c>
      <c r="E419">
        <f t="shared" si="14"/>
        <v>0</v>
      </c>
      <c r="F419" t="str">
        <f t="shared" si="13"/>
        <v/>
      </c>
      <c r="G419">
        <f t="shared" si="13"/>
        <v>0.19335214889999999</v>
      </c>
    </row>
    <row r="420" spans="1:7" x14ac:dyDescent="0.2">
      <c r="A420" t="s">
        <v>2</v>
      </c>
      <c r="B420">
        <v>0.33174719660000002</v>
      </c>
      <c r="C420">
        <v>0</v>
      </c>
      <c r="D420">
        <f t="shared" si="14"/>
        <v>0</v>
      </c>
      <c r="E420" t="str">
        <f t="shared" si="14"/>
        <v/>
      </c>
      <c r="F420">
        <f t="shared" si="13"/>
        <v>0.33174719660000002</v>
      </c>
      <c r="G420" t="str">
        <f t="shared" si="13"/>
        <v/>
      </c>
    </row>
    <row r="421" spans="1:7" x14ac:dyDescent="0.2">
      <c r="A421" t="s">
        <v>0</v>
      </c>
      <c r="B421">
        <v>0.40481720399999999</v>
      </c>
      <c r="C421">
        <v>0</v>
      </c>
      <c r="D421" t="str">
        <f t="shared" si="14"/>
        <v/>
      </c>
      <c r="E421">
        <f t="shared" si="14"/>
        <v>0</v>
      </c>
      <c r="F421" t="str">
        <f t="shared" si="13"/>
        <v/>
      </c>
      <c r="G421">
        <f t="shared" si="13"/>
        <v>0.40481720399999999</v>
      </c>
    </row>
    <row r="422" spans="1:7" x14ac:dyDescent="0.2">
      <c r="A422" t="s">
        <v>2</v>
      </c>
      <c r="B422">
        <v>0.23870404100000001</v>
      </c>
      <c r="C422">
        <v>1</v>
      </c>
      <c r="D422">
        <f t="shared" si="14"/>
        <v>1</v>
      </c>
      <c r="E422" t="str">
        <f t="shared" si="14"/>
        <v/>
      </c>
      <c r="F422">
        <f t="shared" si="13"/>
        <v>0.23870404100000001</v>
      </c>
      <c r="G422" t="str">
        <f t="shared" si="13"/>
        <v/>
      </c>
    </row>
    <row r="423" spans="1:7" x14ac:dyDescent="0.2">
      <c r="A423" t="s">
        <v>2</v>
      </c>
      <c r="B423">
        <v>0.71396268969999999</v>
      </c>
      <c r="C423">
        <v>1</v>
      </c>
      <c r="D423">
        <f t="shared" si="14"/>
        <v>1</v>
      </c>
      <c r="E423" t="str">
        <f t="shared" si="14"/>
        <v/>
      </c>
      <c r="F423">
        <f t="shared" si="13"/>
        <v>0.71396268969999999</v>
      </c>
      <c r="G423" t="str">
        <f t="shared" si="13"/>
        <v/>
      </c>
    </row>
    <row r="424" spans="1:7" x14ac:dyDescent="0.2">
      <c r="A424" t="s">
        <v>2</v>
      </c>
      <c r="B424">
        <v>0.1788399175</v>
      </c>
      <c r="C424">
        <v>1</v>
      </c>
      <c r="D424">
        <f t="shared" si="14"/>
        <v>1</v>
      </c>
      <c r="E424" t="str">
        <f t="shared" si="14"/>
        <v/>
      </c>
      <c r="F424">
        <f t="shared" si="13"/>
        <v>0.1788399175</v>
      </c>
      <c r="G424" t="str">
        <f t="shared" si="13"/>
        <v/>
      </c>
    </row>
    <row r="425" spans="1:7" x14ac:dyDescent="0.2">
      <c r="A425" t="s">
        <v>2</v>
      </c>
      <c r="B425">
        <v>0.1946058614</v>
      </c>
      <c r="C425">
        <v>1</v>
      </c>
      <c r="D425">
        <f t="shared" si="14"/>
        <v>1</v>
      </c>
      <c r="E425" t="str">
        <f t="shared" si="14"/>
        <v/>
      </c>
      <c r="F425">
        <f t="shared" si="13"/>
        <v>0.1946058614</v>
      </c>
      <c r="G425" t="str">
        <f t="shared" si="13"/>
        <v/>
      </c>
    </row>
    <row r="426" spans="1:7" x14ac:dyDescent="0.2">
      <c r="A426" t="s">
        <v>2</v>
      </c>
      <c r="B426">
        <v>0.4103229243</v>
      </c>
      <c r="C426">
        <v>1</v>
      </c>
      <c r="D426">
        <f t="shared" si="14"/>
        <v>1</v>
      </c>
      <c r="E426" t="str">
        <f t="shared" si="14"/>
        <v/>
      </c>
      <c r="F426">
        <f t="shared" si="13"/>
        <v>0.4103229243</v>
      </c>
      <c r="G426" t="str">
        <f t="shared" si="13"/>
        <v/>
      </c>
    </row>
    <row r="427" spans="1:7" x14ac:dyDescent="0.2">
      <c r="A427" t="s">
        <v>2</v>
      </c>
      <c r="B427">
        <v>0.66699472339999999</v>
      </c>
      <c r="C427">
        <v>1</v>
      </c>
      <c r="D427">
        <f t="shared" si="14"/>
        <v>1</v>
      </c>
      <c r="E427" t="str">
        <f t="shared" si="14"/>
        <v/>
      </c>
      <c r="F427">
        <f t="shared" si="13"/>
        <v>0.66699472339999999</v>
      </c>
      <c r="G427" t="str">
        <f t="shared" si="13"/>
        <v/>
      </c>
    </row>
    <row r="428" spans="1:7" x14ac:dyDescent="0.2">
      <c r="A428" t="s">
        <v>0</v>
      </c>
      <c r="B428">
        <v>0.76543966050000001</v>
      </c>
      <c r="C428">
        <v>1</v>
      </c>
      <c r="D428" t="str">
        <f t="shared" si="14"/>
        <v/>
      </c>
      <c r="E428">
        <f t="shared" si="14"/>
        <v>1</v>
      </c>
      <c r="F428" t="str">
        <f t="shared" si="13"/>
        <v/>
      </c>
      <c r="G428">
        <f t="shared" si="13"/>
        <v>0.76543966050000001</v>
      </c>
    </row>
    <row r="429" spans="1:7" x14ac:dyDescent="0.2">
      <c r="A429" t="s">
        <v>2</v>
      </c>
      <c r="B429">
        <v>0.34031810779999999</v>
      </c>
      <c r="C429">
        <v>0</v>
      </c>
      <c r="D429">
        <f t="shared" si="14"/>
        <v>0</v>
      </c>
      <c r="E429" t="str">
        <f t="shared" si="14"/>
        <v/>
      </c>
      <c r="F429">
        <f t="shared" si="13"/>
        <v>0.34031810779999999</v>
      </c>
      <c r="G429" t="str">
        <f t="shared" si="13"/>
        <v/>
      </c>
    </row>
    <row r="430" spans="1:7" x14ac:dyDescent="0.2">
      <c r="A430" t="s">
        <v>2</v>
      </c>
      <c r="B430">
        <v>0.29390597660000001</v>
      </c>
      <c r="C430">
        <v>0</v>
      </c>
      <c r="D430">
        <f t="shared" si="14"/>
        <v>0</v>
      </c>
      <c r="E430" t="str">
        <f t="shared" si="14"/>
        <v/>
      </c>
      <c r="F430">
        <f t="shared" si="13"/>
        <v>0.29390597660000001</v>
      </c>
      <c r="G430" t="str">
        <f t="shared" si="13"/>
        <v/>
      </c>
    </row>
    <row r="431" spans="1:7" x14ac:dyDescent="0.2">
      <c r="A431" t="s">
        <v>2</v>
      </c>
      <c r="B431">
        <v>0.1169447057</v>
      </c>
      <c r="C431">
        <v>0</v>
      </c>
      <c r="D431">
        <f t="shared" si="14"/>
        <v>0</v>
      </c>
      <c r="E431" t="str">
        <f t="shared" si="14"/>
        <v/>
      </c>
      <c r="F431">
        <f t="shared" si="13"/>
        <v>0.1169447057</v>
      </c>
      <c r="G431" t="str">
        <f t="shared" si="13"/>
        <v/>
      </c>
    </row>
    <row r="432" spans="1:7" x14ac:dyDescent="0.2">
      <c r="A432" t="s">
        <v>2</v>
      </c>
      <c r="B432">
        <v>0.15544321259999999</v>
      </c>
      <c r="C432">
        <v>0</v>
      </c>
      <c r="D432">
        <f t="shared" si="14"/>
        <v>0</v>
      </c>
      <c r="E432" t="str">
        <f t="shared" si="14"/>
        <v/>
      </c>
      <c r="F432">
        <f t="shared" si="13"/>
        <v>0.15544321259999999</v>
      </c>
      <c r="G432" t="str">
        <f t="shared" si="13"/>
        <v/>
      </c>
    </row>
    <row r="433" spans="1:7" x14ac:dyDescent="0.2">
      <c r="A433" t="s">
        <v>2</v>
      </c>
      <c r="B433">
        <v>0.34224289050000001</v>
      </c>
      <c r="C433">
        <v>0</v>
      </c>
      <c r="D433">
        <f t="shared" si="14"/>
        <v>0</v>
      </c>
      <c r="E433" t="str">
        <f t="shared" si="14"/>
        <v/>
      </c>
      <c r="F433">
        <f t="shared" si="13"/>
        <v>0.34224289050000001</v>
      </c>
      <c r="G433" t="str">
        <f t="shared" si="13"/>
        <v/>
      </c>
    </row>
    <row r="434" spans="1:7" x14ac:dyDescent="0.2">
      <c r="A434" t="s">
        <v>2</v>
      </c>
      <c r="B434">
        <v>0.62332564550000003</v>
      </c>
      <c r="C434">
        <v>0</v>
      </c>
      <c r="D434">
        <f t="shared" si="14"/>
        <v>0</v>
      </c>
      <c r="E434" t="str">
        <f t="shared" si="14"/>
        <v/>
      </c>
      <c r="F434">
        <f t="shared" si="13"/>
        <v>0.62332564550000003</v>
      </c>
      <c r="G434" t="str">
        <f t="shared" si="13"/>
        <v/>
      </c>
    </row>
    <row r="435" spans="1:7" x14ac:dyDescent="0.2">
      <c r="A435" t="s">
        <v>2</v>
      </c>
      <c r="B435">
        <v>0.28634949469999998</v>
      </c>
      <c r="C435">
        <v>0</v>
      </c>
      <c r="D435">
        <f t="shared" si="14"/>
        <v>0</v>
      </c>
      <c r="E435" t="str">
        <f t="shared" si="14"/>
        <v/>
      </c>
      <c r="F435">
        <f t="shared" si="13"/>
        <v>0.28634949469999998</v>
      </c>
      <c r="G435" t="str">
        <f t="shared" si="13"/>
        <v/>
      </c>
    </row>
    <row r="436" spans="1:7" x14ac:dyDescent="0.2">
      <c r="A436" t="s">
        <v>2</v>
      </c>
      <c r="B436">
        <v>0.1524642413</v>
      </c>
      <c r="C436">
        <v>1</v>
      </c>
      <c r="D436">
        <f t="shared" si="14"/>
        <v>1</v>
      </c>
      <c r="E436" t="str">
        <f t="shared" si="14"/>
        <v/>
      </c>
      <c r="F436">
        <f t="shared" si="13"/>
        <v>0.1524642413</v>
      </c>
      <c r="G436" t="str">
        <f t="shared" si="13"/>
        <v/>
      </c>
    </row>
    <row r="437" spans="1:7" x14ac:dyDescent="0.2">
      <c r="A437" t="s">
        <v>0</v>
      </c>
      <c r="B437">
        <v>0.5618241866</v>
      </c>
      <c r="C437">
        <v>0</v>
      </c>
      <c r="D437" t="str">
        <f t="shared" si="14"/>
        <v/>
      </c>
      <c r="E437">
        <f t="shared" si="14"/>
        <v>0</v>
      </c>
      <c r="F437" t="str">
        <f t="shared" si="13"/>
        <v/>
      </c>
      <c r="G437">
        <f t="shared" si="13"/>
        <v>0.5618241866</v>
      </c>
    </row>
    <row r="438" spans="1:7" x14ac:dyDescent="0.2">
      <c r="A438" t="s">
        <v>0</v>
      </c>
      <c r="B438">
        <v>0.33672927359999999</v>
      </c>
      <c r="C438">
        <v>0</v>
      </c>
      <c r="D438" t="str">
        <f t="shared" si="14"/>
        <v/>
      </c>
      <c r="E438">
        <f t="shared" si="14"/>
        <v>0</v>
      </c>
      <c r="F438" t="str">
        <f t="shared" si="13"/>
        <v/>
      </c>
      <c r="G438">
        <f t="shared" si="13"/>
        <v>0.33672927359999999</v>
      </c>
    </row>
    <row r="439" spans="1:7" x14ac:dyDescent="0.2">
      <c r="A439" t="s">
        <v>0</v>
      </c>
      <c r="B439">
        <v>0.19991764309999999</v>
      </c>
      <c r="C439">
        <v>0</v>
      </c>
      <c r="D439" t="str">
        <f t="shared" si="14"/>
        <v/>
      </c>
      <c r="E439">
        <f t="shared" si="14"/>
        <v>0</v>
      </c>
      <c r="F439" t="str">
        <f t="shared" si="13"/>
        <v/>
      </c>
      <c r="G439">
        <f t="shared" si="13"/>
        <v>0.19991764309999999</v>
      </c>
    </row>
    <row r="440" spans="1:7" x14ac:dyDescent="0.2">
      <c r="A440" t="s">
        <v>0</v>
      </c>
      <c r="B440">
        <v>0.59812568570000002</v>
      </c>
      <c r="C440">
        <v>1</v>
      </c>
      <c r="D440" t="str">
        <f t="shared" si="14"/>
        <v/>
      </c>
      <c r="E440">
        <f t="shared" si="14"/>
        <v>1</v>
      </c>
      <c r="F440" t="str">
        <f t="shared" si="13"/>
        <v/>
      </c>
      <c r="G440">
        <f t="shared" si="13"/>
        <v>0.59812568570000002</v>
      </c>
    </row>
    <row r="441" spans="1:7" x14ac:dyDescent="0.2">
      <c r="A441" t="s">
        <v>2</v>
      </c>
      <c r="B441">
        <v>0.47765712929999998</v>
      </c>
      <c r="C441">
        <v>0</v>
      </c>
      <c r="D441">
        <f t="shared" si="14"/>
        <v>0</v>
      </c>
      <c r="E441" t="str">
        <f t="shared" si="14"/>
        <v/>
      </c>
      <c r="F441">
        <f t="shared" si="13"/>
        <v>0.47765712929999998</v>
      </c>
      <c r="G441" t="str">
        <f t="shared" si="13"/>
        <v/>
      </c>
    </row>
    <row r="442" spans="1:7" x14ac:dyDescent="0.2">
      <c r="A442" t="s">
        <v>2</v>
      </c>
      <c r="B442">
        <v>0.15858127299999999</v>
      </c>
      <c r="C442">
        <v>0</v>
      </c>
      <c r="D442">
        <f t="shared" si="14"/>
        <v>0</v>
      </c>
      <c r="E442" t="str">
        <f t="shared" si="14"/>
        <v/>
      </c>
      <c r="F442">
        <f t="shared" si="13"/>
        <v>0.15858127299999999</v>
      </c>
      <c r="G442" t="str">
        <f t="shared" si="13"/>
        <v/>
      </c>
    </row>
    <row r="443" spans="1:7" x14ac:dyDescent="0.2">
      <c r="A443" t="s">
        <v>2</v>
      </c>
      <c r="B443">
        <v>0.1521963798</v>
      </c>
      <c r="C443">
        <v>0</v>
      </c>
      <c r="D443">
        <f t="shared" si="14"/>
        <v>0</v>
      </c>
      <c r="E443" t="str">
        <f t="shared" si="14"/>
        <v/>
      </c>
      <c r="F443">
        <f t="shared" si="13"/>
        <v>0.1521963798</v>
      </c>
      <c r="G443" t="str">
        <f t="shared" si="13"/>
        <v/>
      </c>
    </row>
    <row r="444" spans="1:7" x14ac:dyDescent="0.2">
      <c r="A444" t="s">
        <v>2</v>
      </c>
      <c r="B444">
        <v>0.37636862399999998</v>
      </c>
      <c r="C444">
        <v>1</v>
      </c>
      <c r="D444">
        <f t="shared" si="14"/>
        <v>1</v>
      </c>
      <c r="E444" t="str">
        <f t="shared" si="14"/>
        <v/>
      </c>
      <c r="F444">
        <f t="shared" si="13"/>
        <v>0.37636862399999998</v>
      </c>
      <c r="G444" t="str">
        <f t="shared" si="13"/>
        <v/>
      </c>
    </row>
    <row r="445" spans="1:7" x14ac:dyDescent="0.2">
      <c r="A445" t="s">
        <v>2</v>
      </c>
      <c r="B445">
        <v>0.57503463929999998</v>
      </c>
      <c r="C445">
        <v>1</v>
      </c>
      <c r="D445">
        <f t="shared" si="14"/>
        <v>1</v>
      </c>
      <c r="E445" t="str">
        <f t="shared" si="14"/>
        <v/>
      </c>
      <c r="F445">
        <f t="shared" si="13"/>
        <v>0.57503463929999998</v>
      </c>
      <c r="G445" t="str">
        <f t="shared" si="13"/>
        <v/>
      </c>
    </row>
    <row r="446" spans="1:7" x14ac:dyDescent="0.2">
      <c r="A446" t="s">
        <v>2</v>
      </c>
      <c r="B446">
        <v>0.1124515128</v>
      </c>
      <c r="C446">
        <v>0</v>
      </c>
      <c r="D446">
        <f t="shared" si="14"/>
        <v>0</v>
      </c>
      <c r="E446" t="str">
        <f t="shared" si="14"/>
        <v/>
      </c>
      <c r="F446">
        <f t="shared" si="13"/>
        <v>0.1124515128</v>
      </c>
      <c r="G446" t="str">
        <f t="shared" si="13"/>
        <v/>
      </c>
    </row>
    <row r="447" spans="1:7" x14ac:dyDescent="0.2">
      <c r="A447" t="s">
        <v>0</v>
      </c>
      <c r="B447">
        <v>0.66593848860000004</v>
      </c>
      <c r="C447">
        <v>1</v>
      </c>
      <c r="D447" t="str">
        <f t="shared" si="14"/>
        <v/>
      </c>
      <c r="E447">
        <f t="shared" si="14"/>
        <v>1</v>
      </c>
      <c r="F447" t="str">
        <f t="shared" si="13"/>
        <v/>
      </c>
      <c r="G447">
        <f t="shared" si="13"/>
        <v>0.66593848860000004</v>
      </c>
    </row>
    <row r="448" spans="1:7" x14ac:dyDescent="0.2">
      <c r="A448" t="s">
        <v>0</v>
      </c>
      <c r="B448">
        <v>9.7485189299999997E-2</v>
      </c>
      <c r="C448">
        <v>0</v>
      </c>
      <c r="D448" t="str">
        <f t="shared" si="14"/>
        <v/>
      </c>
      <c r="E448">
        <f t="shared" si="14"/>
        <v>0</v>
      </c>
      <c r="F448" t="str">
        <f t="shared" si="13"/>
        <v/>
      </c>
      <c r="G448">
        <f t="shared" si="13"/>
        <v>9.7485189299999997E-2</v>
      </c>
    </row>
    <row r="449" spans="1:7" x14ac:dyDescent="0.2">
      <c r="A449" t="s">
        <v>0</v>
      </c>
      <c r="B449">
        <v>0.1030375672</v>
      </c>
      <c r="C449">
        <v>0</v>
      </c>
      <c r="D449" t="str">
        <f t="shared" si="14"/>
        <v/>
      </c>
      <c r="E449">
        <f t="shared" si="14"/>
        <v>0</v>
      </c>
      <c r="F449" t="str">
        <f t="shared" si="13"/>
        <v/>
      </c>
      <c r="G449">
        <f t="shared" si="13"/>
        <v>0.1030375672</v>
      </c>
    </row>
    <row r="450" spans="1:7" x14ac:dyDescent="0.2">
      <c r="A450" t="s">
        <v>2</v>
      </c>
      <c r="B450">
        <v>0.61616889190000002</v>
      </c>
      <c r="C450">
        <v>1</v>
      </c>
      <c r="D450">
        <f t="shared" si="14"/>
        <v>1</v>
      </c>
      <c r="E450" t="str">
        <f t="shared" si="14"/>
        <v/>
      </c>
      <c r="F450">
        <f t="shared" si="13"/>
        <v>0.61616889190000002</v>
      </c>
      <c r="G450" t="str">
        <f t="shared" si="13"/>
        <v/>
      </c>
    </row>
    <row r="451" spans="1:7" x14ac:dyDescent="0.2">
      <c r="A451" t="s">
        <v>2</v>
      </c>
      <c r="B451">
        <v>0.55279181789999998</v>
      </c>
      <c r="C451">
        <v>0</v>
      </c>
      <c r="D451">
        <f t="shared" si="14"/>
        <v>0</v>
      </c>
      <c r="E451" t="str">
        <f t="shared" si="14"/>
        <v/>
      </c>
      <c r="F451">
        <f t="shared" ref="F451:G514" si="15">IF($A451=F$1,$B451,"")</f>
        <v>0.55279181789999998</v>
      </c>
      <c r="G451" t="str">
        <f t="shared" si="15"/>
        <v/>
      </c>
    </row>
    <row r="452" spans="1:7" x14ac:dyDescent="0.2">
      <c r="A452" t="s">
        <v>0</v>
      </c>
      <c r="B452">
        <v>0.16119789600000001</v>
      </c>
      <c r="C452">
        <v>0</v>
      </c>
      <c r="D452" t="str">
        <f t="shared" si="14"/>
        <v/>
      </c>
      <c r="E452">
        <f t="shared" si="14"/>
        <v>0</v>
      </c>
      <c r="F452" t="str">
        <f t="shared" si="15"/>
        <v/>
      </c>
      <c r="G452">
        <f t="shared" si="15"/>
        <v>0.16119789600000001</v>
      </c>
    </row>
    <row r="453" spans="1:7" x14ac:dyDescent="0.2">
      <c r="A453" t="s">
        <v>2</v>
      </c>
      <c r="B453">
        <v>0.57712864419999998</v>
      </c>
      <c r="C453">
        <v>0</v>
      </c>
      <c r="D453">
        <f t="shared" ref="D453:E516" si="16">IF($A453=D$1,$C453,"")</f>
        <v>0</v>
      </c>
      <c r="E453" t="str">
        <f t="shared" si="16"/>
        <v/>
      </c>
      <c r="F453">
        <f t="shared" si="15"/>
        <v>0.57712864419999998</v>
      </c>
      <c r="G453" t="str">
        <f t="shared" si="15"/>
        <v/>
      </c>
    </row>
    <row r="454" spans="1:7" x14ac:dyDescent="0.2">
      <c r="A454" t="s">
        <v>0</v>
      </c>
      <c r="B454">
        <v>0.19262553969999999</v>
      </c>
      <c r="C454">
        <v>0</v>
      </c>
      <c r="D454" t="str">
        <f t="shared" si="16"/>
        <v/>
      </c>
      <c r="E454">
        <f t="shared" si="16"/>
        <v>0</v>
      </c>
      <c r="F454" t="str">
        <f t="shared" si="15"/>
        <v/>
      </c>
      <c r="G454">
        <f t="shared" si="15"/>
        <v>0.19262553969999999</v>
      </c>
    </row>
    <row r="455" spans="1:7" x14ac:dyDescent="0.2">
      <c r="A455" t="s">
        <v>0</v>
      </c>
      <c r="B455">
        <v>0.1397833218</v>
      </c>
      <c r="C455">
        <v>0</v>
      </c>
      <c r="D455" t="str">
        <f t="shared" si="16"/>
        <v/>
      </c>
      <c r="E455">
        <f t="shared" si="16"/>
        <v>0</v>
      </c>
      <c r="F455" t="str">
        <f t="shared" si="15"/>
        <v/>
      </c>
      <c r="G455">
        <f t="shared" si="15"/>
        <v>0.1397833218</v>
      </c>
    </row>
    <row r="456" spans="1:7" x14ac:dyDescent="0.2">
      <c r="A456" t="s">
        <v>2</v>
      </c>
      <c r="B456">
        <v>0.60610557639999996</v>
      </c>
      <c r="C456">
        <v>0</v>
      </c>
      <c r="D456">
        <f t="shared" si="16"/>
        <v>0</v>
      </c>
      <c r="E456" t="str">
        <f t="shared" si="16"/>
        <v/>
      </c>
      <c r="F456">
        <f t="shared" si="15"/>
        <v>0.60610557639999996</v>
      </c>
      <c r="G456" t="str">
        <f t="shared" si="15"/>
        <v/>
      </c>
    </row>
    <row r="457" spans="1:7" x14ac:dyDescent="0.2">
      <c r="A457" t="s">
        <v>2</v>
      </c>
      <c r="B457">
        <v>0.42350810760000002</v>
      </c>
      <c r="C457">
        <v>0</v>
      </c>
      <c r="D457">
        <f t="shared" si="16"/>
        <v>0</v>
      </c>
      <c r="E457" t="str">
        <f t="shared" si="16"/>
        <v/>
      </c>
      <c r="F457">
        <f t="shared" si="15"/>
        <v>0.42350810760000002</v>
      </c>
      <c r="G457" t="str">
        <f t="shared" si="15"/>
        <v/>
      </c>
    </row>
    <row r="458" spans="1:7" x14ac:dyDescent="0.2">
      <c r="A458" t="s">
        <v>0</v>
      </c>
      <c r="B458">
        <v>0.38188259429999999</v>
      </c>
      <c r="C458">
        <v>1</v>
      </c>
      <c r="D458" t="str">
        <f t="shared" si="16"/>
        <v/>
      </c>
      <c r="E458">
        <f t="shared" si="16"/>
        <v>1</v>
      </c>
      <c r="F458" t="str">
        <f t="shared" si="15"/>
        <v/>
      </c>
      <c r="G458">
        <f t="shared" si="15"/>
        <v>0.38188259429999999</v>
      </c>
    </row>
    <row r="459" spans="1:7" x14ac:dyDescent="0.2">
      <c r="A459" t="s">
        <v>2</v>
      </c>
      <c r="B459">
        <v>0.6145055304</v>
      </c>
      <c r="C459">
        <v>1</v>
      </c>
      <c r="D459">
        <f t="shared" si="16"/>
        <v>1</v>
      </c>
      <c r="E459" t="str">
        <f t="shared" si="16"/>
        <v/>
      </c>
      <c r="F459">
        <f t="shared" si="15"/>
        <v>0.6145055304</v>
      </c>
      <c r="G459" t="str">
        <f t="shared" si="15"/>
        <v/>
      </c>
    </row>
    <row r="460" spans="1:7" x14ac:dyDescent="0.2">
      <c r="A460" t="s">
        <v>2</v>
      </c>
      <c r="B460">
        <v>0.188908723</v>
      </c>
      <c r="C460">
        <v>0</v>
      </c>
      <c r="D460">
        <f t="shared" si="16"/>
        <v>0</v>
      </c>
      <c r="E460" t="str">
        <f t="shared" si="16"/>
        <v/>
      </c>
      <c r="F460">
        <f t="shared" si="15"/>
        <v>0.188908723</v>
      </c>
      <c r="G460" t="str">
        <f t="shared" si="15"/>
        <v/>
      </c>
    </row>
    <row r="461" spans="1:7" x14ac:dyDescent="0.2">
      <c r="A461" t="s">
        <v>2</v>
      </c>
      <c r="B461">
        <v>0.4665819947</v>
      </c>
      <c r="C461">
        <v>0</v>
      </c>
      <c r="D461">
        <f t="shared" si="16"/>
        <v>0</v>
      </c>
      <c r="E461" t="str">
        <f t="shared" si="16"/>
        <v/>
      </c>
      <c r="F461">
        <f t="shared" si="15"/>
        <v>0.4665819947</v>
      </c>
      <c r="G461" t="str">
        <f t="shared" si="15"/>
        <v/>
      </c>
    </row>
    <row r="462" spans="1:7" x14ac:dyDescent="0.2">
      <c r="A462" t="s">
        <v>2</v>
      </c>
      <c r="B462">
        <v>0.48521012470000002</v>
      </c>
      <c r="C462">
        <v>0</v>
      </c>
      <c r="D462">
        <f t="shared" si="16"/>
        <v>0</v>
      </c>
      <c r="E462" t="str">
        <f t="shared" si="16"/>
        <v/>
      </c>
      <c r="F462">
        <f t="shared" si="15"/>
        <v>0.48521012470000002</v>
      </c>
      <c r="G462" t="str">
        <f t="shared" si="15"/>
        <v/>
      </c>
    </row>
    <row r="463" spans="1:7" x14ac:dyDescent="0.2">
      <c r="A463" t="s">
        <v>0</v>
      </c>
      <c r="B463">
        <v>0.65867935560000002</v>
      </c>
      <c r="C463">
        <v>0</v>
      </c>
      <c r="D463" t="str">
        <f t="shared" si="16"/>
        <v/>
      </c>
      <c r="E463">
        <f t="shared" si="16"/>
        <v>0</v>
      </c>
      <c r="F463" t="str">
        <f t="shared" si="15"/>
        <v/>
      </c>
      <c r="G463">
        <f t="shared" si="15"/>
        <v>0.65867935560000002</v>
      </c>
    </row>
    <row r="464" spans="1:7" x14ac:dyDescent="0.2">
      <c r="A464" t="s">
        <v>2</v>
      </c>
      <c r="B464">
        <v>0.29591419670000002</v>
      </c>
      <c r="C464">
        <v>1</v>
      </c>
      <c r="D464">
        <f t="shared" si="16"/>
        <v>1</v>
      </c>
      <c r="E464" t="str">
        <f t="shared" si="16"/>
        <v/>
      </c>
      <c r="F464">
        <f t="shared" si="15"/>
        <v>0.29591419670000002</v>
      </c>
      <c r="G464" t="str">
        <f t="shared" si="15"/>
        <v/>
      </c>
    </row>
    <row r="465" spans="1:7" x14ac:dyDescent="0.2">
      <c r="A465" t="s">
        <v>0</v>
      </c>
      <c r="B465">
        <v>0.1823518026</v>
      </c>
      <c r="C465">
        <v>1</v>
      </c>
      <c r="D465" t="str">
        <f t="shared" si="16"/>
        <v/>
      </c>
      <c r="E465">
        <f t="shared" si="16"/>
        <v>1</v>
      </c>
      <c r="F465" t="str">
        <f t="shared" si="15"/>
        <v/>
      </c>
      <c r="G465">
        <f t="shared" si="15"/>
        <v>0.1823518026</v>
      </c>
    </row>
    <row r="466" spans="1:7" x14ac:dyDescent="0.2">
      <c r="A466" t="s">
        <v>0</v>
      </c>
      <c r="B466">
        <v>0.47063298380000002</v>
      </c>
      <c r="C466">
        <v>1</v>
      </c>
      <c r="D466" t="str">
        <f t="shared" si="16"/>
        <v/>
      </c>
      <c r="E466">
        <f t="shared" si="16"/>
        <v>1</v>
      </c>
      <c r="F466" t="str">
        <f t="shared" si="15"/>
        <v/>
      </c>
      <c r="G466">
        <f t="shared" si="15"/>
        <v>0.47063298380000002</v>
      </c>
    </row>
    <row r="467" spans="1:7" x14ac:dyDescent="0.2">
      <c r="A467" t="s">
        <v>0</v>
      </c>
      <c r="B467">
        <v>0.35227684939999998</v>
      </c>
      <c r="C467">
        <v>1</v>
      </c>
      <c r="D467" t="str">
        <f t="shared" si="16"/>
        <v/>
      </c>
      <c r="E467">
        <f t="shared" si="16"/>
        <v>1</v>
      </c>
      <c r="F467" t="str">
        <f t="shared" si="15"/>
        <v/>
      </c>
      <c r="G467">
        <f t="shared" si="15"/>
        <v>0.35227684939999998</v>
      </c>
    </row>
    <row r="468" spans="1:7" x14ac:dyDescent="0.2">
      <c r="A468" t="s">
        <v>2</v>
      </c>
      <c r="B468">
        <v>0.17852504820000001</v>
      </c>
      <c r="C468">
        <v>0</v>
      </c>
      <c r="D468">
        <f t="shared" si="16"/>
        <v>0</v>
      </c>
      <c r="E468" t="str">
        <f t="shared" si="16"/>
        <v/>
      </c>
      <c r="F468">
        <f t="shared" si="15"/>
        <v>0.17852504820000001</v>
      </c>
      <c r="G468" t="str">
        <f t="shared" si="15"/>
        <v/>
      </c>
    </row>
    <row r="469" spans="1:7" x14ac:dyDescent="0.2">
      <c r="A469" t="s">
        <v>2</v>
      </c>
      <c r="B469">
        <v>0.82996226350000002</v>
      </c>
      <c r="C469">
        <v>1</v>
      </c>
      <c r="D469">
        <f t="shared" si="16"/>
        <v>1</v>
      </c>
      <c r="E469" t="str">
        <f t="shared" si="16"/>
        <v/>
      </c>
      <c r="F469">
        <f t="shared" si="15"/>
        <v>0.82996226350000002</v>
      </c>
      <c r="G469" t="str">
        <f t="shared" si="15"/>
        <v/>
      </c>
    </row>
    <row r="470" spans="1:7" x14ac:dyDescent="0.2">
      <c r="A470" t="s">
        <v>2</v>
      </c>
      <c r="B470">
        <v>0.53876296950000002</v>
      </c>
      <c r="C470">
        <v>0</v>
      </c>
      <c r="D470">
        <f t="shared" si="16"/>
        <v>0</v>
      </c>
      <c r="E470" t="str">
        <f t="shared" si="16"/>
        <v/>
      </c>
      <c r="F470">
        <f t="shared" si="15"/>
        <v>0.53876296950000002</v>
      </c>
      <c r="G470" t="str">
        <f t="shared" si="15"/>
        <v/>
      </c>
    </row>
    <row r="471" spans="1:7" x14ac:dyDescent="0.2">
      <c r="A471" t="s">
        <v>2</v>
      </c>
      <c r="B471">
        <v>9.9346102000000006E-2</v>
      </c>
      <c r="C471">
        <v>0</v>
      </c>
      <c r="D471">
        <f t="shared" si="16"/>
        <v>0</v>
      </c>
      <c r="E471" t="str">
        <f t="shared" si="16"/>
        <v/>
      </c>
      <c r="F471">
        <f t="shared" si="15"/>
        <v>9.9346102000000006E-2</v>
      </c>
      <c r="G471" t="str">
        <f t="shared" si="15"/>
        <v/>
      </c>
    </row>
    <row r="472" spans="1:7" x14ac:dyDescent="0.2">
      <c r="A472" t="s">
        <v>2</v>
      </c>
      <c r="B472">
        <v>0.3158643303</v>
      </c>
      <c r="C472">
        <v>1</v>
      </c>
      <c r="D472">
        <f t="shared" si="16"/>
        <v>1</v>
      </c>
      <c r="E472" t="str">
        <f t="shared" si="16"/>
        <v/>
      </c>
      <c r="F472">
        <f t="shared" si="15"/>
        <v>0.3158643303</v>
      </c>
      <c r="G472" t="str">
        <f t="shared" si="15"/>
        <v/>
      </c>
    </row>
    <row r="473" spans="1:7" x14ac:dyDescent="0.2">
      <c r="A473" t="s">
        <v>0</v>
      </c>
      <c r="B473">
        <v>0.55273285459999999</v>
      </c>
      <c r="C473">
        <v>0</v>
      </c>
      <c r="D473" t="str">
        <f t="shared" si="16"/>
        <v/>
      </c>
      <c r="E473">
        <f t="shared" si="16"/>
        <v>0</v>
      </c>
      <c r="F473" t="str">
        <f t="shared" si="15"/>
        <v/>
      </c>
      <c r="G473">
        <f t="shared" si="15"/>
        <v>0.55273285459999999</v>
      </c>
    </row>
    <row r="474" spans="1:7" x14ac:dyDescent="0.2">
      <c r="A474" t="s">
        <v>2</v>
      </c>
      <c r="B474">
        <v>0.63822999390000001</v>
      </c>
      <c r="C474">
        <v>1</v>
      </c>
      <c r="D474">
        <f t="shared" si="16"/>
        <v>1</v>
      </c>
      <c r="E474" t="str">
        <f t="shared" si="16"/>
        <v/>
      </c>
      <c r="F474">
        <f t="shared" si="15"/>
        <v>0.63822999390000001</v>
      </c>
      <c r="G474" t="str">
        <f t="shared" si="15"/>
        <v/>
      </c>
    </row>
    <row r="475" spans="1:7" x14ac:dyDescent="0.2">
      <c r="A475" t="s">
        <v>0</v>
      </c>
      <c r="B475">
        <v>0.75080788200000004</v>
      </c>
      <c r="C475">
        <v>1</v>
      </c>
      <c r="D475" t="str">
        <f t="shared" si="16"/>
        <v/>
      </c>
      <c r="E475">
        <f t="shared" si="16"/>
        <v>1</v>
      </c>
      <c r="F475" t="str">
        <f t="shared" si="15"/>
        <v/>
      </c>
      <c r="G475">
        <f t="shared" si="15"/>
        <v>0.75080788200000004</v>
      </c>
    </row>
    <row r="476" spans="1:7" x14ac:dyDescent="0.2">
      <c r="A476" t="s">
        <v>2</v>
      </c>
      <c r="B476">
        <v>0.3399441359</v>
      </c>
      <c r="C476">
        <v>0</v>
      </c>
      <c r="D476">
        <f t="shared" si="16"/>
        <v>0</v>
      </c>
      <c r="E476" t="str">
        <f t="shared" si="16"/>
        <v/>
      </c>
      <c r="F476">
        <f t="shared" si="15"/>
        <v>0.3399441359</v>
      </c>
      <c r="G476" t="str">
        <f t="shared" si="15"/>
        <v/>
      </c>
    </row>
    <row r="477" spans="1:7" x14ac:dyDescent="0.2">
      <c r="A477" t="s">
        <v>2</v>
      </c>
      <c r="B477">
        <v>0.31085303600000003</v>
      </c>
      <c r="C477">
        <v>0</v>
      </c>
      <c r="D477">
        <f t="shared" si="16"/>
        <v>0</v>
      </c>
      <c r="E477" t="str">
        <f t="shared" si="16"/>
        <v/>
      </c>
      <c r="F477">
        <f t="shared" si="15"/>
        <v>0.31085303600000003</v>
      </c>
      <c r="G477" t="str">
        <f t="shared" si="15"/>
        <v/>
      </c>
    </row>
    <row r="478" spans="1:7" x14ac:dyDescent="0.2">
      <c r="A478" t="s">
        <v>2</v>
      </c>
      <c r="B478">
        <v>0.1134863309</v>
      </c>
      <c r="C478">
        <v>0</v>
      </c>
      <c r="D478">
        <f t="shared" si="16"/>
        <v>0</v>
      </c>
      <c r="E478" t="str">
        <f t="shared" si="16"/>
        <v/>
      </c>
      <c r="F478">
        <f t="shared" si="15"/>
        <v>0.1134863309</v>
      </c>
      <c r="G478" t="str">
        <f t="shared" si="15"/>
        <v/>
      </c>
    </row>
    <row r="479" spans="1:7" x14ac:dyDescent="0.2">
      <c r="A479" t="s">
        <v>2</v>
      </c>
      <c r="B479">
        <v>0.134366184</v>
      </c>
      <c r="C479">
        <v>0</v>
      </c>
      <c r="D479">
        <f t="shared" si="16"/>
        <v>0</v>
      </c>
      <c r="E479" t="str">
        <f t="shared" si="16"/>
        <v/>
      </c>
      <c r="F479">
        <f t="shared" si="15"/>
        <v>0.134366184</v>
      </c>
      <c r="G479" t="str">
        <f t="shared" si="15"/>
        <v/>
      </c>
    </row>
    <row r="480" spans="1:7" x14ac:dyDescent="0.2">
      <c r="A480" t="s">
        <v>0</v>
      </c>
      <c r="B480">
        <v>0.1670722117</v>
      </c>
      <c r="C480">
        <v>0</v>
      </c>
      <c r="D480" t="str">
        <f t="shared" si="16"/>
        <v/>
      </c>
      <c r="E480">
        <f t="shared" si="16"/>
        <v>0</v>
      </c>
      <c r="F480" t="str">
        <f t="shared" si="15"/>
        <v/>
      </c>
      <c r="G480">
        <f t="shared" si="15"/>
        <v>0.1670722117</v>
      </c>
    </row>
    <row r="481" spans="1:7" x14ac:dyDescent="0.2">
      <c r="A481" t="s">
        <v>2</v>
      </c>
      <c r="B481">
        <v>0.50754136149999995</v>
      </c>
      <c r="C481">
        <v>1</v>
      </c>
      <c r="D481">
        <f t="shared" si="16"/>
        <v>1</v>
      </c>
      <c r="E481" t="str">
        <f t="shared" si="16"/>
        <v/>
      </c>
      <c r="F481">
        <f t="shared" si="15"/>
        <v>0.50754136149999995</v>
      </c>
      <c r="G481" t="str">
        <f t="shared" si="15"/>
        <v/>
      </c>
    </row>
    <row r="482" spans="1:7" x14ac:dyDescent="0.2">
      <c r="A482" t="s">
        <v>0</v>
      </c>
      <c r="B482">
        <v>0.14574040129999999</v>
      </c>
      <c r="C482">
        <v>1</v>
      </c>
      <c r="D482" t="str">
        <f t="shared" si="16"/>
        <v/>
      </c>
      <c r="E482">
        <f t="shared" si="16"/>
        <v>1</v>
      </c>
      <c r="F482" t="str">
        <f t="shared" si="15"/>
        <v/>
      </c>
      <c r="G482">
        <f t="shared" si="15"/>
        <v>0.14574040129999999</v>
      </c>
    </row>
    <row r="483" spans="1:7" x14ac:dyDescent="0.2">
      <c r="A483" t="s">
        <v>2</v>
      </c>
      <c r="B483">
        <v>0.426084884</v>
      </c>
      <c r="C483">
        <v>1</v>
      </c>
      <c r="D483">
        <f t="shared" si="16"/>
        <v>1</v>
      </c>
      <c r="E483" t="str">
        <f t="shared" si="16"/>
        <v/>
      </c>
      <c r="F483">
        <f t="shared" si="15"/>
        <v>0.426084884</v>
      </c>
      <c r="G483" t="str">
        <f t="shared" si="15"/>
        <v/>
      </c>
    </row>
    <row r="484" spans="1:7" x14ac:dyDescent="0.2">
      <c r="A484" t="s">
        <v>2</v>
      </c>
      <c r="B484">
        <v>0.50209601879999999</v>
      </c>
      <c r="C484">
        <v>0</v>
      </c>
      <c r="D484">
        <f t="shared" si="16"/>
        <v>0</v>
      </c>
      <c r="E484" t="str">
        <f t="shared" si="16"/>
        <v/>
      </c>
      <c r="F484">
        <f t="shared" si="15"/>
        <v>0.50209601879999999</v>
      </c>
      <c r="G484" t="str">
        <f t="shared" si="15"/>
        <v/>
      </c>
    </row>
    <row r="485" spans="1:7" x14ac:dyDescent="0.2">
      <c r="A485" t="s">
        <v>2</v>
      </c>
      <c r="B485">
        <v>0.54589439009999996</v>
      </c>
      <c r="C485">
        <v>1</v>
      </c>
      <c r="D485">
        <f t="shared" si="16"/>
        <v>1</v>
      </c>
      <c r="E485" t="str">
        <f t="shared" si="16"/>
        <v/>
      </c>
      <c r="F485">
        <f t="shared" si="15"/>
        <v>0.54589439009999996</v>
      </c>
      <c r="G485" t="str">
        <f t="shared" si="15"/>
        <v/>
      </c>
    </row>
    <row r="486" spans="1:7" x14ac:dyDescent="0.2">
      <c r="A486" t="s">
        <v>2</v>
      </c>
      <c r="B486">
        <v>0.45255025710000002</v>
      </c>
      <c r="C486">
        <v>0</v>
      </c>
      <c r="D486">
        <f t="shared" si="16"/>
        <v>0</v>
      </c>
      <c r="E486" t="str">
        <f t="shared" si="16"/>
        <v/>
      </c>
      <c r="F486">
        <f t="shared" si="15"/>
        <v>0.45255025710000002</v>
      </c>
      <c r="G486" t="str">
        <f t="shared" si="15"/>
        <v/>
      </c>
    </row>
    <row r="487" spans="1:7" x14ac:dyDescent="0.2">
      <c r="A487" t="s">
        <v>0</v>
      </c>
      <c r="B487">
        <v>0.59757764759999998</v>
      </c>
      <c r="C487">
        <v>1</v>
      </c>
      <c r="D487" t="str">
        <f t="shared" si="16"/>
        <v/>
      </c>
      <c r="E487">
        <f t="shared" si="16"/>
        <v>1</v>
      </c>
      <c r="F487" t="str">
        <f t="shared" si="15"/>
        <v/>
      </c>
      <c r="G487">
        <f t="shared" si="15"/>
        <v>0.59757764759999998</v>
      </c>
    </row>
    <row r="488" spans="1:7" x14ac:dyDescent="0.2">
      <c r="A488" t="s">
        <v>0</v>
      </c>
      <c r="B488">
        <v>0.74777944370000005</v>
      </c>
      <c r="C488">
        <v>1</v>
      </c>
      <c r="D488" t="str">
        <f t="shared" si="16"/>
        <v/>
      </c>
      <c r="E488">
        <f t="shared" si="16"/>
        <v>1</v>
      </c>
      <c r="F488" t="str">
        <f t="shared" si="15"/>
        <v/>
      </c>
      <c r="G488">
        <f t="shared" si="15"/>
        <v>0.74777944370000005</v>
      </c>
    </row>
    <row r="489" spans="1:7" x14ac:dyDescent="0.2">
      <c r="A489" t="s">
        <v>0</v>
      </c>
      <c r="B489">
        <v>0.33689081669999998</v>
      </c>
      <c r="C489">
        <v>0</v>
      </c>
      <c r="D489" t="str">
        <f t="shared" si="16"/>
        <v/>
      </c>
      <c r="E489">
        <f t="shared" si="16"/>
        <v>0</v>
      </c>
      <c r="F489" t="str">
        <f t="shared" si="15"/>
        <v/>
      </c>
      <c r="G489">
        <f t="shared" si="15"/>
        <v>0.33689081669999998</v>
      </c>
    </row>
    <row r="490" spans="1:7" x14ac:dyDescent="0.2">
      <c r="A490" t="s">
        <v>2</v>
      </c>
      <c r="B490">
        <v>0.1209773879</v>
      </c>
      <c r="C490">
        <v>0</v>
      </c>
      <c r="D490">
        <f t="shared" si="16"/>
        <v>0</v>
      </c>
      <c r="E490" t="str">
        <f t="shared" si="16"/>
        <v/>
      </c>
      <c r="F490">
        <f t="shared" si="15"/>
        <v>0.1209773879</v>
      </c>
      <c r="G490" t="str">
        <f t="shared" si="15"/>
        <v/>
      </c>
    </row>
    <row r="491" spans="1:7" x14ac:dyDescent="0.2">
      <c r="A491" t="s">
        <v>2</v>
      </c>
      <c r="B491">
        <v>0.63247090139999995</v>
      </c>
      <c r="C491">
        <v>0</v>
      </c>
      <c r="D491">
        <f t="shared" si="16"/>
        <v>0</v>
      </c>
      <c r="E491" t="str">
        <f t="shared" si="16"/>
        <v/>
      </c>
      <c r="F491">
        <f t="shared" si="15"/>
        <v>0.63247090139999995</v>
      </c>
      <c r="G491" t="str">
        <f t="shared" si="15"/>
        <v/>
      </c>
    </row>
    <row r="492" spans="1:7" x14ac:dyDescent="0.2">
      <c r="A492" t="s">
        <v>2</v>
      </c>
      <c r="B492">
        <v>0.7259707125</v>
      </c>
      <c r="C492">
        <v>1</v>
      </c>
      <c r="D492">
        <f t="shared" si="16"/>
        <v>1</v>
      </c>
      <c r="E492" t="str">
        <f t="shared" si="16"/>
        <v/>
      </c>
      <c r="F492">
        <f t="shared" si="15"/>
        <v>0.7259707125</v>
      </c>
      <c r="G492" t="str">
        <f t="shared" si="15"/>
        <v/>
      </c>
    </row>
    <row r="493" spans="1:7" x14ac:dyDescent="0.2">
      <c r="A493" t="s">
        <v>2</v>
      </c>
      <c r="B493">
        <v>0.31333782929999998</v>
      </c>
      <c r="C493">
        <v>0</v>
      </c>
      <c r="D493">
        <f t="shared" si="16"/>
        <v>0</v>
      </c>
      <c r="E493" t="str">
        <f t="shared" si="16"/>
        <v/>
      </c>
      <c r="F493">
        <f t="shared" si="15"/>
        <v>0.31333782929999998</v>
      </c>
      <c r="G493" t="str">
        <f t="shared" si="15"/>
        <v/>
      </c>
    </row>
    <row r="494" spans="1:7" x14ac:dyDescent="0.2">
      <c r="A494" t="s">
        <v>0</v>
      </c>
      <c r="B494">
        <v>0.2379690196</v>
      </c>
      <c r="C494">
        <v>0</v>
      </c>
      <c r="D494" t="str">
        <f t="shared" si="16"/>
        <v/>
      </c>
      <c r="E494">
        <f t="shared" si="16"/>
        <v>0</v>
      </c>
      <c r="F494" t="str">
        <f t="shared" si="15"/>
        <v/>
      </c>
      <c r="G494">
        <f t="shared" si="15"/>
        <v>0.2379690196</v>
      </c>
    </row>
    <row r="495" spans="1:7" x14ac:dyDescent="0.2">
      <c r="A495" t="s">
        <v>0</v>
      </c>
      <c r="B495">
        <v>0.80401802600000005</v>
      </c>
      <c r="C495">
        <v>1</v>
      </c>
      <c r="D495" t="str">
        <f t="shared" si="16"/>
        <v/>
      </c>
      <c r="E495">
        <f t="shared" si="16"/>
        <v>1</v>
      </c>
      <c r="F495" t="str">
        <f t="shared" si="15"/>
        <v/>
      </c>
      <c r="G495">
        <f t="shared" si="15"/>
        <v>0.80401802600000005</v>
      </c>
    </row>
    <row r="496" spans="1:7" x14ac:dyDescent="0.2">
      <c r="A496" t="s">
        <v>2</v>
      </c>
      <c r="B496">
        <v>0.54774458100000001</v>
      </c>
      <c r="C496">
        <v>1</v>
      </c>
      <c r="D496">
        <f t="shared" si="16"/>
        <v>1</v>
      </c>
      <c r="E496" t="str">
        <f t="shared" si="16"/>
        <v/>
      </c>
      <c r="F496">
        <f t="shared" si="15"/>
        <v>0.54774458100000001</v>
      </c>
      <c r="G496" t="str">
        <f t="shared" si="15"/>
        <v/>
      </c>
    </row>
    <row r="497" spans="1:7" x14ac:dyDescent="0.2">
      <c r="A497" t="s">
        <v>2</v>
      </c>
      <c r="B497">
        <v>0.38188259429999999</v>
      </c>
      <c r="C497">
        <v>1</v>
      </c>
      <c r="D497">
        <f t="shared" si="16"/>
        <v>1</v>
      </c>
      <c r="E497" t="str">
        <f t="shared" si="16"/>
        <v/>
      </c>
      <c r="F497">
        <f t="shared" si="15"/>
        <v>0.38188259429999999</v>
      </c>
      <c r="G497" t="str">
        <f t="shared" si="15"/>
        <v/>
      </c>
    </row>
    <row r="498" spans="1:7" x14ac:dyDescent="0.2">
      <c r="A498" t="s">
        <v>2</v>
      </c>
      <c r="B498">
        <v>0.81197238589999998</v>
      </c>
      <c r="C498">
        <v>1</v>
      </c>
      <c r="D498">
        <f t="shared" si="16"/>
        <v>1</v>
      </c>
      <c r="E498" t="str">
        <f t="shared" si="16"/>
        <v/>
      </c>
      <c r="F498">
        <f t="shared" si="15"/>
        <v>0.81197238589999998</v>
      </c>
      <c r="G498" t="str">
        <f t="shared" si="15"/>
        <v/>
      </c>
    </row>
    <row r="499" spans="1:7" x14ac:dyDescent="0.2">
      <c r="A499" t="s">
        <v>0</v>
      </c>
      <c r="B499">
        <v>0.55772604370000001</v>
      </c>
      <c r="C499">
        <v>0</v>
      </c>
      <c r="D499" t="str">
        <f t="shared" si="16"/>
        <v/>
      </c>
      <c r="E499">
        <f t="shared" si="16"/>
        <v>0</v>
      </c>
      <c r="F499" t="str">
        <f t="shared" si="15"/>
        <v/>
      </c>
      <c r="G499">
        <f t="shared" si="15"/>
        <v>0.55772604370000001</v>
      </c>
    </row>
    <row r="500" spans="1:7" x14ac:dyDescent="0.2">
      <c r="A500" t="s">
        <v>2</v>
      </c>
      <c r="B500">
        <v>0.73255160669999997</v>
      </c>
      <c r="C500">
        <v>0</v>
      </c>
      <c r="D500">
        <f t="shared" si="16"/>
        <v>0</v>
      </c>
      <c r="E500" t="str">
        <f t="shared" si="16"/>
        <v/>
      </c>
      <c r="F500">
        <f t="shared" si="15"/>
        <v>0.73255160669999997</v>
      </c>
      <c r="G500" t="str">
        <f t="shared" si="15"/>
        <v/>
      </c>
    </row>
    <row r="501" spans="1:7" x14ac:dyDescent="0.2">
      <c r="A501" t="s">
        <v>2</v>
      </c>
      <c r="B501">
        <v>0.52885815270000003</v>
      </c>
      <c r="C501">
        <v>1</v>
      </c>
      <c r="D501">
        <f t="shared" si="16"/>
        <v>1</v>
      </c>
      <c r="E501" t="str">
        <f t="shared" si="16"/>
        <v/>
      </c>
      <c r="F501">
        <f t="shared" si="15"/>
        <v>0.52885815270000003</v>
      </c>
      <c r="G501" t="str">
        <f t="shared" si="15"/>
        <v/>
      </c>
    </row>
    <row r="502" spans="1:7" x14ac:dyDescent="0.2">
      <c r="A502" t="s">
        <v>2</v>
      </c>
      <c r="B502">
        <v>0.61642299779999998</v>
      </c>
      <c r="C502">
        <v>0</v>
      </c>
      <c r="D502">
        <f t="shared" si="16"/>
        <v>0</v>
      </c>
      <c r="E502" t="str">
        <f t="shared" si="16"/>
        <v/>
      </c>
      <c r="F502">
        <f t="shared" si="15"/>
        <v>0.61642299779999998</v>
      </c>
      <c r="G502" t="str">
        <f t="shared" si="15"/>
        <v/>
      </c>
    </row>
    <row r="503" spans="1:7" x14ac:dyDescent="0.2">
      <c r="A503" t="s">
        <v>0</v>
      </c>
      <c r="B503">
        <v>0.48558572160000002</v>
      </c>
      <c r="C503">
        <v>0</v>
      </c>
      <c r="D503" t="str">
        <f t="shared" si="16"/>
        <v/>
      </c>
      <c r="E503">
        <f t="shared" si="16"/>
        <v>0</v>
      </c>
      <c r="F503" t="str">
        <f t="shared" si="15"/>
        <v/>
      </c>
      <c r="G503">
        <f t="shared" si="15"/>
        <v>0.48558572160000002</v>
      </c>
    </row>
    <row r="504" spans="1:7" x14ac:dyDescent="0.2">
      <c r="A504" t="s">
        <v>2</v>
      </c>
      <c r="B504">
        <v>0.69562312309999996</v>
      </c>
      <c r="C504">
        <v>1</v>
      </c>
      <c r="D504">
        <f t="shared" si="16"/>
        <v>1</v>
      </c>
      <c r="E504" t="str">
        <f t="shared" si="16"/>
        <v/>
      </c>
      <c r="F504">
        <f t="shared" si="15"/>
        <v>0.69562312309999996</v>
      </c>
      <c r="G504" t="str">
        <f t="shared" si="15"/>
        <v/>
      </c>
    </row>
    <row r="505" spans="1:7" x14ac:dyDescent="0.2">
      <c r="A505" t="s">
        <v>0</v>
      </c>
      <c r="B505">
        <v>0.47204731370000003</v>
      </c>
      <c r="C505">
        <v>0</v>
      </c>
      <c r="D505" t="str">
        <f t="shared" si="16"/>
        <v/>
      </c>
      <c r="E505">
        <f t="shared" si="16"/>
        <v>0</v>
      </c>
      <c r="F505" t="str">
        <f t="shared" si="15"/>
        <v/>
      </c>
      <c r="G505">
        <f t="shared" si="15"/>
        <v>0.47204731370000003</v>
      </c>
    </row>
    <row r="506" spans="1:7" x14ac:dyDescent="0.2">
      <c r="A506" t="s">
        <v>2</v>
      </c>
      <c r="B506">
        <v>0.5406601593</v>
      </c>
      <c r="C506">
        <v>0</v>
      </c>
      <c r="D506">
        <f t="shared" si="16"/>
        <v>0</v>
      </c>
      <c r="E506" t="str">
        <f t="shared" si="16"/>
        <v/>
      </c>
      <c r="F506">
        <f t="shared" si="15"/>
        <v>0.5406601593</v>
      </c>
      <c r="G506" t="str">
        <f t="shared" si="15"/>
        <v/>
      </c>
    </row>
    <row r="507" spans="1:7" x14ac:dyDescent="0.2">
      <c r="A507" t="s">
        <v>0</v>
      </c>
      <c r="B507">
        <v>0.1041414797</v>
      </c>
      <c r="C507">
        <v>0</v>
      </c>
      <c r="D507" t="str">
        <f t="shared" si="16"/>
        <v/>
      </c>
      <c r="E507">
        <f t="shared" si="16"/>
        <v>0</v>
      </c>
      <c r="F507" t="str">
        <f t="shared" si="15"/>
        <v/>
      </c>
      <c r="G507">
        <f t="shared" si="15"/>
        <v>0.1041414797</v>
      </c>
    </row>
    <row r="508" spans="1:7" x14ac:dyDescent="0.2">
      <c r="A508" t="s">
        <v>0</v>
      </c>
      <c r="B508">
        <v>0.1552677079</v>
      </c>
      <c r="C508">
        <v>0</v>
      </c>
      <c r="D508" t="str">
        <f t="shared" si="16"/>
        <v/>
      </c>
      <c r="E508">
        <f t="shared" si="16"/>
        <v>0</v>
      </c>
      <c r="F508" t="str">
        <f t="shared" si="15"/>
        <v/>
      </c>
      <c r="G508">
        <f t="shared" si="15"/>
        <v>0.1552677079</v>
      </c>
    </row>
    <row r="509" spans="1:7" x14ac:dyDescent="0.2">
      <c r="A509" t="s">
        <v>2</v>
      </c>
      <c r="B509">
        <v>0.50036600740000003</v>
      </c>
      <c r="C509">
        <v>0</v>
      </c>
      <c r="D509">
        <f t="shared" si="16"/>
        <v>0</v>
      </c>
      <c r="E509" t="str">
        <f t="shared" si="16"/>
        <v/>
      </c>
      <c r="F509">
        <f t="shared" si="15"/>
        <v>0.50036600740000003</v>
      </c>
      <c r="G509" t="str">
        <f t="shared" si="15"/>
        <v/>
      </c>
    </row>
    <row r="510" spans="1:7" x14ac:dyDescent="0.2">
      <c r="A510" t="s">
        <v>2</v>
      </c>
      <c r="B510">
        <v>0.63175922039999999</v>
      </c>
      <c r="C510">
        <v>1</v>
      </c>
      <c r="D510">
        <f t="shared" si="16"/>
        <v>1</v>
      </c>
      <c r="E510" t="str">
        <f t="shared" si="16"/>
        <v/>
      </c>
      <c r="F510">
        <f t="shared" si="15"/>
        <v>0.63175922039999999</v>
      </c>
      <c r="G510" t="str">
        <f t="shared" si="15"/>
        <v/>
      </c>
    </row>
    <row r="511" spans="1:7" x14ac:dyDescent="0.2">
      <c r="A511" t="s">
        <v>2</v>
      </c>
      <c r="B511">
        <v>0.60666206359999997</v>
      </c>
      <c r="C511">
        <v>1</v>
      </c>
      <c r="D511">
        <f t="shared" si="16"/>
        <v>1</v>
      </c>
      <c r="E511" t="str">
        <f t="shared" si="16"/>
        <v/>
      </c>
      <c r="F511">
        <f t="shared" si="15"/>
        <v>0.60666206359999997</v>
      </c>
      <c r="G511" t="str">
        <f t="shared" si="15"/>
        <v/>
      </c>
    </row>
    <row r="512" spans="1:7" x14ac:dyDescent="0.2">
      <c r="A512" t="s">
        <v>0</v>
      </c>
      <c r="B512">
        <v>0.3820377902</v>
      </c>
      <c r="C512">
        <v>0</v>
      </c>
      <c r="D512" t="str">
        <f t="shared" si="16"/>
        <v/>
      </c>
      <c r="E512">
        <f t="shared" si="16"/>
        <v>0</v>
      </c>
      <c r="F512" t="str">
        <f t="shared" si="15"/>
        <v/>
      </c>
      <c r="G512">
        <f t="shared" si="15"/>
        <v>0.3820377902</v>
      </c>
    </row>
    <row r="513" spans="1:7" x14ac:dyDescent="0.2">
      <c r="A513" t="s">
        <v>2</v>
      </c>
      <c r="B513">
        <v>0.74375335350000005</v>
      </c>
      <c r="C513">
        <v>1</v>
      </c>
      <c r="D513">
        <f t="shared" si="16"/>
        <v>1</v>
      </c>
      <c r="E513" t="str">
        <f t="shared" si="16"/>
        <v/>
      </c>
      <c r="F513">
        <f t="shared" si="15"/>
        <v>0.74375335350000005</v>
      </c>
      <c r="G513" t="str">
        <f t="shared" si="15"/>
        <v/>
      </c>
    </row>
    <row r="514" spans="1:7" x14ac:dyDescent="0.2">
      <c r="A514" t="s">
        <v>2</v>
      </c>
      <c r="B514">
        <v>0.18868115620000001</v>
      </c>
      <c r="C514">
        <v>0</v>
      </c>
      <c r="D514">
        <f t="shared" si="16"/>
        <v>0</v>
      </c>
      <c r="E514" t="str">
        <f t="shared" si="16"/>
        <v/>
      </c>
      <c r="F514">
        <f t="shared" si="15"/>
        <v>0.18868115620000001</v>
      </c>
      <c r="G514" t="str">
        <f t="shared" si="15"/>
        <v/>
      </c>
    </row>
    <row r="515" spans="1:7" x14ac:dyDescent="0.2">
      <c r="A515" t="s">
        <v>2</v>
      </c>
      <c r="B515">
        <v>0.19749235239999999</v>
      </c>
      <c r="C515">
        <v>0</v>
      </c>
      <c r="D515">
        <f t="shared" si="16"/>
        <v>0</v>
      </c>
      <c r="E515" t="str">
        <f t="shared" si="16"/>
        <v/>
      </c>
      <c r="F515">
        <f t="shared" ref="F515:G578" si="17">IF($A515=F$1,$B515,"")</f>
        <v>0.19749235239999999</v>
      </c>
      <c r="G515" t="str">
        <f t="shared" si="17"/>
        <v/>
      </c>
    </row>
    <row r="516" spans="1:7" x14ac:dyDescent="0.2">
      <c r="A516" t="s">
        <v>0</v>
      </c>
      <c r="B516">
        <v>0.4993437624</v>
      </c>
      <c r="C516">
        <v>0</v>
      </c>
      <c r="D516" t="str">
        <f t="shared" si="16"/>
        <v/>
      </c>
      <c r="E516">
        <f t="shared" si="16"/>
        <v>0</v>
      </c>
      <c r="F516" t="str">
        <f t="shared" si="17"/>
        <v/>
      </c>
      <c r="G516">
        <f t="shared" si="17"/>
        <v>0.4993437624</v>
      </c>
    </row>
    <row r="517" spans="1:7" x14ac:dyDescent="0.2">
      <c r="A517" t="s">
        <v>0</v>
      </c>
      <c r="B517">
        <v>0.25982472779999999</v>
      </c>
      <c r="C517">
        <v>1</v>
      </c>
      <c r="D517" t="str">
        <f t="shared" ref="D517:E580" si="18">IF($A517=D$1,$C517,"")</f>
        <v/>
      </c>
      <c r="E517">
        <f t="shared" si="18"/>
        <v>1</v>
      </c>
      <c r="F517" t="str">
        <f t="shared" si="17"/>
        <v/>
      </c>
      <c r="G517">
        <f t="shared" si="17"/>
        <v>0.25982472779999999</v>
      </c>
    </row>
    <row r="518" spans="1:7" x14ac:dyDescent="0.2">
      <c r="A518" t="s">
        <v>0</v>
      </c>
      <c r="B518">
        <v>0.1205250083</v>
      </c>
      <c r="C518">
        <v>0</v>
      </c>
      <c r="D518" t="str">
        <f t="shared" si="18"/>
        <v/>
      </c>
      <c r="E518">
        <f t="shared" si="18"/>
        <v>0</v>
      </c>
      <c r="F518" t="str">
        <f t="shared" si="17"/>
        <v/>
      </c>
      <c r="G518">
        <f t="shared" si="17"/>
        <v>0.1205250083</v>
      </c>
    </row>
    <row r="519" spans="1:7" x14ac:dyDescent="0.2">
      <c r="A519" t="s">
        <v>2</v>
      </c>
      <c r="B519">
        <v>0.65201723</v>
      </c>
      <c r="C519">
        <v>1</v>
      </c>
      <c r="D519">
        <f t="shared" si="18"/>
        <v>1</v>
      </c>
      <c r="E519" t="str">
        <f t="shared" si="18"/>
        <v/>
      </c>
      <c r="F519">
        <f t="shared" si="17"/>
        <v>0.65201723</v>
      </c>
      <c r="G519" t="str">
        <f t="shared" si="17"/>
        <v/>
      </c>
    </row>
    <row r="520" spans="1:7" x14ac:dyDescent="0.2">
      <c r="A520" t="s">
        <v>0</v>
      </c>
      <c r="B520">
        <v>0.14945339569999999</v>
      </c>
      <c r="C520">
        <v>0</v>
      </c>
      <c r="D520" t="str">
        <f t="shared" si="18"/>
        <v/>
      </c>
      <c r="E520">
        <f t="shared" si="18"/>
        <v>0</v>
      </c>
      <c r="F520" t="str">
        <f t="shared" si="17"/>
        <v/>
      </c>
      <c r="G520">
        <f t="shared" si="17"/>
        <v>0.14945339569999999</v>
      </c>
    </row>
    <row r="521" spans="1:7" x14ac:dyDescent="0.2">
      <c r="A521" t="s">
        <v>2</v>
      </c>
      <c r="B521">
        <v>0.74971394599999996</v>
      </c>
      <c r="C521">
        <v>0</v>
      </c>
      <c r="D521">
        <f t="shared" si="18"/>
        <v>0</v>
      </c>
      <c r="E521" t="str">
        <f t="shared" si="18"/>
        <v/>
      </c>
      <c r="F521">
        <f t="shared" si="17"/>
        <v>0.74971394599999996</v>
      </c>
      <c r="G521" t="str">
        <f t="shared" si="17"/>
        <v/>
      </c>
    </row>
    <row r="522" spans="1:7" x14ac:dyDescent="0.2">
      <c r="A522" t="s">
        <v>2</v>
      </c>
      <c r="B522">
        <v>0.19339923489999999</v>
      </c>
      <c r="C522">
        <v>0</v>
      </c>
      <c r="D522">
        <f t="shared" si="18"/>
        <v>0</v>
      </c>
      <c r="E522" t="str">
        <f t="shared" si="18"/>
        <v/>
      </c>
      <c r="F522">
        <f t="shared" si="17"/>
        <v>0.19339923489999999</v>
      </c>
      <c r="G522" t="str">
        <f t="shared" si="17"/>
        <v/>
      </c>
    </row>
    <row r="523" spans="1:7" x14ac:dyDescent="0.2">
      <c r="A523" t="s">
        <v>0</v>
      </c>
      <c r="B523">
        <v>0.19587031830000001</v>
      </c>
      <c r="C523">
        <v>0</v>
      </c>
      <c r="D523" t="str">
        <f t="shared" si="18"/>
        <v/>
      </c>
      <c r="E523">
        <f t="shared" si="18"/>
        <v>0</v>
      </c>
      <c r="F523" t="str">
        <f t="shared" si="17"/>
        <v/>
      </c>
      <c r="G523">
        <f t="shared" si="17"/>
        <v>0.19587031830000001</v>
      </c>
    </row>
    <row r="524" spans="1:7" x14ac:dyDescent="0.2">
      <c r="A524" t="s">
        <v>0</v>
      </c>
      <c r="B524">
        <v>0.52459161710000002</v>
      </c>
      <c r="C524">
        <v>0</v>
      </c>
      <c r="D524" t="str">
        <f t="shared" si="18"/>
        <v/>
      </c>
      <c r="E524">
        <f t="shared" si="18"/>
        <v>0</v>
      </c>
      <c r="F524" t="str">
        <f t="shared" si="17"/>
        <v/>
      </c>
      <c r="G524">
        <f t="shared" si="17"/>
        <v>0.52459161710000002</v>
      </c>
    </row>
    <row r="525" spans="1:7" x14ac:dyDescent="0.2">
      <c r="A525" t="s">
        <v>2</v>
      </c>
      <c r="B525">
        <v>0.51550868510000003</v>
      </c>
      <c r="C525">
        <v>1</v>
      </c>
      <c r="D525">
        <f t="shared" si="18"/>
        <v>1</v>
      </c>
      <c r="E525" t="str">
        <f t="shared" si="18"/>
        <v/>
      </c>
      <c r="F525">
        <f t="shared" si="17"/>
        <v>0.51550868510000003</v>
      </c>
      <c r="G525" t="str">
        <f t="shared" si="17"/>
        <v/>
      </c>
    </row>
    <row r="526" spans="1:7" x14ac:dyDescent="0.2">
      <c r="A526" t="s">
        <v>0</v>
      </c>
      <c r="B526">
        <v>0.40671028250000002</v>
      </c>
      <c r="C526">
        <v>0</v>
      </c>
      <c r="D526" t="str">
        <f t="shared" si="18"/>
        <v/>
      </c>
      <c r="E526">
        <f t="shared" si="18"/>
        <v>0</v>
      </c>
      <c r="F526" t="str">
        <f t="shared" si="17"/>
        <v/>
      </c>
      <c r="G526">
        <f t="shared" si="17"/>
        <v>0.40671028250000002</v>
      </c>
    </row>
    <row r="527" spans="1:7" x14ac:dyDescent="0.2">
      <c r="A527" t="s">
        <v>0</v>
      </c>
      <c r="B527">
        <v>0.47883329409999997</v>
      </c>
      <c r="C527">
        <v>0</v>
      </c>
      <c r="D527" t="str">
        <f t="shared" si="18"/>
        <v/>
      </c>
      <c r="E527">
        <f t="shared" si="18"/>
        <v>0</v>
      </c>
      <c r="F527" t="str">
        <f t="shared" si="17"/>
        <v/>
      </c>
      <c r="G527">
        <f t="shared" si="17"/>
        <v>0.47883329409999997</v>
      </c>
    </row>
    <row r="528" spans="1:7" x14ac:dyDescent="0.2">
      <c r="A528" t="s">
        <v>0</v>
      </c>
      <c r="B528">
        <v>0.3654460276</v>
      </c>
      <c r="C528">
        <v>0</v>
      </c>
      <c r="D528" t="str">
        <f t="shared" si="18"/>
        <v/>
      </c>
      <c r="E528">
        <f t="shared" si="18"/>
        <v>0</v>
      </c>
      <c r="F528" t="str">
        <f t="shared" si="17"/>
        <v/>
      </c>
      <c r="G528">
        <f t="shared" si="17"/>
        <v>0.3654460276</v>
      </c>
    </row>
    <row r="529" spans="1:7" x14ac:dyDescent="0.2">
      <c r="A529" t="s">
        <v>2</v>
      </c>
      <c r="B529">
        <v>0.78715349820000002</v>
      </c>
      <c r="C529">
        <v>1</v>
      </c>
      <c r="D529">
        <f t="shared" si="18"/>
        <v>1</v>
      </c>
      <c r="E529" t="str">
        <f t="shared" si="18"/>
        <v/>
      </c>
      <c r="F529">
        <f t="shared" si="17"/>
        <v>0.78715349820000002</v>
      </c>
      <c r="G529" t="str">
        <f t="shared" si="17"/>
        <v/>
      </c>
    </row>
    <row r="530" spans="1:7" x14ac:dyDescent="0.2">
      <c r="A530" t="s">
        <v>0</v>
      </c>
      <c r="B530">
        <v>0.86207039249999995</v>
      </c>
      <c r="C530">
        <v>1</v>
      </c>
      <c r="D530" t="str">
        <f t="shared" si="18"/>
        <v/>
      </c>
      <c r="E530">
        <f t="shared" si="18"/>
        <v>1</v>
      </c>
      <c r="F530" t="str">
        <f t="shared" si="17"/>
        <v/>
      </c>
      <c r="G530">
        <f t="shared" si="17"/>
        <v>0.86207039249999995</v>
      </c>
    </row>
    <row r="531" spans="1:7" x14ac:dyDescent="0.2">
      <c r="A531" t="s">
        <v>2</v>
      </c>
      <c r="B531">
        <v>0.34418287289999999</v>
      </c>
      <c r="C531">
        <v>1</v>
      </c>
      <c r="D531">
        <f t="shared" si="18"/>
        <v>1</v>
      </c>
      <c r="E531" t="str">
        <f t="shared" si="18"/>
        <v/>
      </c>
      <c r="F531">
        <f t="shared" si="17"/>
        <v>0.34418287289999999</v>
      </c>
      <c r="G531" t="str">
        <f t="shared" si="17"/>
        <v/>
      </c>
    </row>
    <row r="532" spans="1:7" x14ac:dyDescent="0.2">
      <c r="A532" t="s">
        <v>2</v>
      </c>
      <c r="B532">
        <v>0.1754094887</v>
      </c>
      <c r="C532">
        <v>0</v>
      </c>
      <c r="D532">
        <f t="shared" si="18"/>
        <v>0</v>
      </c>
      <c r="E532" t="str">
        <f t="shared" si="18"/>
        <v/>
      </c>
      <c r="F532">
        <f t="shared" si="17"/>
        <v>0.1754094887</v>
      </c>
      <c r="G532" t="str">
        <f t="shared" si="17"/>
        <v/>
      </c>
    </row>
    <row r="533" spans="1:7" x14ac:dyDescent="0.2">
      <c r="A533" t="s">
        <v>0</v>
      </c>
      <c r="B533">
        <v>0.1744958543</v>
      </c>
      <c r="C533">
        <v>0</v>
      </c>
      <c r="D533" t="str">
        <f t="shared" si="18"/>
        <v/>
      </c>
      <c r="E533">
        <f t="shared" si="18"/>
        <v>0</v>
      </c>
      <c r="F533" t="str">
        <f t="shared" si="17"/>
        <v/>
      </c>
      <c r="G533">
        <f t="shared" si="17"/>
        <v>0.1744958543</v>
      </c>
    </row>
    <row r="534" spans="1:7" x14ac:dyDescent="0.2">
      <c r="A534" t="s">
        <v>2</v>
      </c>
      <c r="B534">
        <v>0.22777130349999999</v>
      </c>
      <c r="C534">
        <v>0</v>
      </c>
      <c r="D534">
        <f t="shared" si="18"/>
        <v>0</v>
      </c>
      <c r="E534" t="str">
        <f t="shared" si="18"/>
        <v/>
      </c>
      <c r="F534">
        <f t="shared" si="17"/>
        <v>0.22777130349999999</v>
      </c>
      <c r="G534" t="str">
        <f t="shared" si="17"/>
        <v/>
      </c>
    </row>
    <row r="535" spans="1:7" x14ac:dyDescent="0.2">
      <c r="A535" t="s">
        <v>2</v>
      </c>
      <c r="B535">
        <v>0.37477886100000002</v>
      </c>
      <c r="C535">
        <v>0</v>
      </c>
      <c r="D535">
        <f t="shared" si="18"/>
        <v>0</v>
      </c>
      <c r="E535" t="str">
        <f t="shared" si="18"/>
        <v/>
      </c>
      <c r="F535">
        <f t="shared" si="17"/>
        <v>0.37477886100000002</v>
      </c>
      <c r="G535" t="str">
        <f t="shared" si="17"/>
        <v/>
      </c>
    </row>
    <row r="536" spans="1:7" x14ac:dyDescent="0.2">
      <c r="A536" t="s">
        <v>2</v>
      </c>
      <c r="B536">
        <v>0.54774458100000001</v>
      </c>
      <c r="C536">
        <v>1</v>
      </c>
      <c r="D536">
        <f t="shared" si="18"/>
        <v>1</v>
      </c>
      <c r="E536" t="str">
        <f t="shared" si="18"/>
        <v/>
      </c>
      <c r="F536">
        <f t="shared" si="17"/>
        <v>0.54774458100000001</v>
      </c>
      <c r="G536" t="str">
        <f t="shared" si="17"/>
        <v/>
      </c>
    </row>
    <row r="537" spans="1:7" x14ac:dyDescent="0.2">
      <c r="A537" t="s">
        <v>0</v>
      </c>
      <c r="B537">
        <v>0.20610774849999999</v>
      </c>
      <c r="C537">
        <v>1</v>
      </c>
      <c r="D537" t="str">
        <f t="shared" si="18"/>
        <v/>
      </c>
      <c r="E537">
        <f t="shared" si="18"/>
        <v>1</v>
      </c>
      <c r="F537" t="str">
        <f t="shared" si="17"/>
        <v/>
      </c>
      <c r="G537">
        <f t="shared" si="17"/>
        <v>0.20610774849999999</v>
      </c>
    </row>
    <row r="538" spans="1:7" x14ac:dyDescent="0.2">
      <c r="A538" t="s">
        <v>2</v>
      </c>
      <c r="B538">
        <v>0.40284177630000001</v>
      </c>
      <c r="C538">
        <v>0</v>
      </c>
      <c r="D538">
        <f t="shared" si="18"/>
        <v>0</v>
      </c>
      <c r="E538" t="str">
        <f t="shared" si="18"/>
        <v/>
      </c>
      <c r="F538">
        <f t="shared" si="17"/>
        <v>0.40284177630000001</v>
      </c>
      <c r="G538" t="str">
        <f t="shared" si="17"/>
        <v/>
      </c>
    </row>
    <row r="539" spans="1:7" x14ac:dyDescent="0.2">
      <c r="A539" t="s">
        <v>2</v>
      </c>
      <c r="B539">
        <v>0.17937721579999999</v>
      </c>
      <c r="C539">
        <v>0</v>
      </c>
      <c r="D539">
        <f t="shared" si="18"/>
        <v>0</v>
      </c>
      <c r="E539" t="str">
        <f t="shared" si="18"/>
        <v/>
      </c>
      <c r="F539">
        <f t="shared" si="17"/>
        <v>0.17937721579999999</v>
      </c>
      <c r="G539" t="str">
        <f t="shared" si="17"/>
        <v/>
      </c>
    </row>
    <row r="540" spans="1:7" x14ac:dyDescent="0.2">
      <c r="A540" t="s">
        <v>2</v>
      </c>
      <c r="B540">
        <v>0.30368205619999999</v>
      </c>
      <c r="C540">
        <v>0</v>
      </c>
      <c r="D540">
        <f t="shared" si="18"/>
        <v>0</v>
      </c>
      <c r="E540" t="str">
        <f t="shared" si="18"/>
        <v/>
      </c>
      <c r="F540">
        <f t="shared" si="17"/>
        <v>0.30368205619999999</v>
      </c>
      <c r="G540" t="str">
        <f t="shared" si="17"/>
        <v/>
      </c>
    </row>
    <row r="541" spans="1:7" x14ac:dyDescent="0.2">
      <c r="A541" t="s">
        <v>2</v>
      </c>
      <c r="B541">
        <v>0.26572408289999999</v>
      </c>
      <c r="C541">
        <v>0</v>
      </c>
      <c r="D541">
        <f t="shared" si="18"/>
        <v>0</v>
      </c>
      <c r="E541" t="str">
        <f t="shared" si="18"/>
        <v/>
      </c>
      <c r="F541">
        <f t="shared" si="17"/>
        <v>0.26572408289999999</v>
      </c>
      <c r="G541" t="str">
        <f t="shared" si="17"/>
        <v/>
      </c>
    </row>
    <row r="542" spans="1:7" x14ac:dyDescent="0.2">
      <c r="A542" t="s">
        <v>0</v>
      </c>
      <c r="B542">
        <v>0.38221318659999998</v>
      </c>
      <c r="C542">
        <v>1</v>
      </c>
      <c r="D542" t="str">
        <f t="shared" si="18"/>
        <v/>
      </c>
      <c r="E542">
        <f t="shared" si="18"/>
        <v>1</v>
      </c>
      <c r="F542" t="str">
        <f t="shared" si="17"/>
        <v/>
      </c>
      <c r="G542">
        <f t="shared" si="17"/>
        <v>0.38221318659999998</v>
      </c>
    </row>
    <row r="543" spans="1:7" x14ac:dyDescent="0.2">
      <c r="A543" t="s">
        <v>2</v>
      </c>
      <c r="B543">
        <v>0.51157223549999997</v>
      </c>
      <c r="C543">
        <v>0</v>
      </c>
      <c r="D543">
        <f t="shared" si="18"/>
        <v>0</v>
      </c>
      <c r="E543" t="str">
        <f t="shared" si="18"/>
        <v/>
      </c>
      <c r="F543">
        <f t="shared" si="17"/>
        <v>0.51157223549999997</v>
      </c>
      <c r="G543" t="str">
        <f t="shared" si="17"/>
        <v/>
      </c>
    </row>
    <row r="544" spans="1:7" x14ac:dyDescent="0.2">
      <c r="A544" t="s">
        <v>2</v>
      </c>
      <c r="B544">
        <v>0.13712402809999999</v>
      </c>
      <c r="C544">
        <v>1</v>
      </c>
      <c r="D544">
        <f t="shared" si="18"/>
        <v>1</v>
      </c>
      <c r="E544" t="str">
        <f t="shared" si="18"/>
        <v/>
      </c>
      <c r="F544">
        <f t="shared" si="17"/>
        <v>0.13712402809999999</v>
      </c>
      <c r="G544" t="str">
        <f t="shared" si="17"/>
        <v/>
      </c>
    </row>
    <row r="545" spans="1:7" x14ac:dyDescent="0.2">
      <c r="A545" t="s">
        <v>2</v>
      </c>
      <c r="B545">
        <v>0.14282523529999999</v>
      </c>
      <c r="C545">
        <v>1</v>
      </c>
      <c r="D545">
        <f t="shared" si="18"/>
        <v>1</v>
      </c>
      <c r="E545" t="str">
        <f t="shared" si="18"/>
        <v/>
      </c>
      <c r="F545">
        <f t="shared" si="17"/>
        <v>0.14282523529999999</v>
      </c>
      <c r="G545" t="str">
        <f t="shared" si="17"/>
        <v/>
      </c>
    </row>
    <row r="546" spans="1:7" x14ac:dyDescent="0.2">
      <c r="A546" t="s">
        <v>2</v>
      </c>
      <c r="B546">
        <v>0.82931486050000003</v>
      </c>
      <c r="C546">
        <v>1</v>
      </c>
      <c r="D546">
        <f t="shared" si="18"/>
        <v>1</v>
      </c>
      <c r="E546" t="str">
        <f t="shared" si="18"/>
        <v/>
      </c>
      <c r="F546">
        <f t="shared" si="17"/>
        <v>0.82931486050000003</v>
      </c>
      <c r="G546" t="str">
        <f t="shared" si="17"/>
        <v/>
      </c>
    </row>
    <row r="547" spans="1:7" x14ac:dyDescent="0.2">
      <c r="A547" t="s">
        <v>2</v>
      </c>
      <c r="B547">
        <v>0.105698575</v>
      </c>
      <c r="C547">
        <v>0</v>
      </c>
      <c r="D547">
        <f t="shared" si="18"/>
        <v>0</v>
      </c>
      <c r="E547" t="str">
        <f t="shared" si="18"/>
        <v/>
      </c>
      <c r="F547">
        <f t="shared" si="17"/>
        <v>0.105698575</v>
      </c>
      <c r="G547" t="str">
        <f t="shared" si="17"/>
        <v/>
      </c>
    </row>
    <row r="548" spans="1:7" x14ac:dyDescent="0.2">
      <c r="A548" t="s">
        <v>2</v>
      </c>
      <c r="B548">
        <v>0.51550868510000003</v>
      </c>
      <c r="C548">
        <v>1</v>
      </c>
      <c r="D548">
        <f t="shared" si="18"/>
        <v>1</v>
      </c>
      <c r="E548" t="str">
        <f t="shared" si="18"/>
        <v/>
      </c>
      <c r="F548">
        <f t="shared" si="17"/>
        <v>0.51550868510000003</v>
      </c>
      <c r="G548" t="str">
        <f t="shared" si="17"/>
        <v/>
      </c>
    </row>
    <row r="549" spans="1:7" x14ac:dyDescent="0.2">
      <c r="A549" t="s">
        <v>0</v>
      </c>
      <c r="B549">
        <v>0.43326079169999998</v>
      </c>
      <c r="C549">
        <v>1</v>
      </c>
      <c r="D549" t="str">
        <f t="shared" si="18"/>
        <v/>
      </c>
      <c r="E549">
        <f t="shared" si="18"/>
        <v>1</v>
      </c>
      <c r="F549" t="str">
        <f t="shared" si="17"/>
        <v/>
      </c>
      <c r="G549">
        <f t="shared" si="17"/>
        <v>0.43326079169999998</v>
      </c>
    </row>
    <row r="550" spans="1:7" x14ac:dyDescent="0.2">
      <c r="A550" t="s">
        <v>2</v>
      </c>
      <c r="B550">
        <v>0.49203747149999999</v>
      </c>
      <c r="C550">
        <v>1</v>
      </c>
      <c r="D550">
        <f t="shared" si="18"/>
        <v>1</v>
      </c>
      <c r="E550" t="str">
        <f t="shared" si="18"/>
        <v/>
      </c>
      <c r="F550">
        <f t="shared" si="17"/>
        <v>0.49203747149999999</v>
      </c>
      <c r="G550" t="str">
        <f t="shared" si="17"/>
        <v/>
      </c>
    </row>
    <row r="551" spans="1:7" x14ac:dyDescent="0.2">
      <c r="A551" t="s">
        <v>2</v>
      </c>
      <c r="B551">
        <v>0.2147435999</v>
      </c>
      <c r="C551">
        <v>0</v>
      </c>
      <c r="D551">
        <f t="shared" si="18"/>
        <v>0</v>
      </c>
      <c r="E551" t="str">
        <f t="shared" si="18"/>
        <v/>
      </c>
      <c r="F551">
        <f t="shared" si="17"/>
        <v>0.2147435999</v>
      </c>
      <c r="G551" t="str">
        <f t="shared" si="17"/>
        <v/>
      </c>
    </row>
    <row r="552" spans="1:7" x14ac:dyDescent="0.2">
      <c r="A552" t="s">
        <v>2</v>
      </c>
      <c r="B552">
        <v>0.35719707960000002</v>
      </c>
      <c r="C552">
        <v>1</v>
      </c>
      <c r="D552">
        <f t="shared" si="18"/>
        <v>1</v>
      </c>
      <c r="E552" t="str">
        <f t="shared" si="18"/>
        <v/>
      </c>
      <c r="F552">
        <f t="shared" si="17"/>
        <v>0.35719707960000002</v>
      </c>
      <c r="G552" t="str">
        <f t="shared" si="17"/>
        <v/>
      </c>
    </row>
    <row r="553" spans="1:7" x14ac:dyDescent="0.2">
      <c r="A553" t="s">
        <v>2</v>
      </c>
      <c r="B553">
        <v>0.55782520030000005</v>
      </c>
      <c r="C553">
        <v>1</v>
      </c>
      <c r="D553">
        <f t="shared" si="18"/>
        <v>1</v>
      </c>
      <c r="E553" t="str">
        <f t="shared" si="18"/>
        <v/>
      </c>
      <c r="F553">
        <f t="shared" si="17"/>
        <v>0.55782520030000005</v>
      </c>
      <c r="G553" t="str">
        <f t="shared" si="17"/>
        <v/>
      </c>
    </row>
    <row r="554" spans="1:7" x14ac:dyDescent="0.2">
      <c r="A554" t="s">
        <v>0</v>
      </c>
      <c r="B554">
        <v>0.67754690699999998</v>
      </c>
      <c r="C554">
        <v>0</v>
      </c>
      <c r="D554" t="str">
        <f t="shared" si="18"/>
        <v/>
      </c>
      <c r="E554">
        <f t="shared" si="18"/>
        <v>0</v>
      </c>
      <c r="F554" t="str">
        <f t="shared" si="17"/>
        <v/>
      </c>
      <c r="G554">
        <f t="shared" si="17"/>
        <v>0.67754690699999998</v>
      </c>
    </row>
    <row r="555" spans="1:7" x14ac:dyDescent="0.2">
      <c r="A555" t="s">
        <v>2</v>
      </c>
      <c r="B555">
        <v>0.15477823390000001</v>
      </c>
      <c r="C555">
        <v>1</v>
      </c>
      <c r="D555">
        <f t="shared" si="18"/>
        <v>1</v>
      </c>
      <c r="E555" t="str">
        <f t="shared" si="18"/>
        <v/>
      </c>
      <c r="F555">
        <f t="shared" si="17"/>
        <v>0.15477823390000001</v>
      </c>
      <c r="G555" t="str">
        <f t="shared" si="17"/>
        <v/>
      </c>
    </row>
    <row r="556" spans="1:7" x14ac:dyDescent="0.2">
      <c r="A556" t="s">
        <v>2</v>
      </c>
      <c r="B556">
        <v>0.61616889190000002</v>
      </c>
      <c r="C556">
        <v>1</v>
      </c>
      <c r="D556">
        <f t="shared" si="18"/>
        <v>1</v>
      </c>
      <c r="E556" t="str">
        <f t="shared" si="18"/>
        <v/>
      </c>
      <c r="F556">
        <f t="shared" si="17"/>
        <v>0.61616889190000002</v>
      </c>
      <c r="G556" t="str">
        <f t="shared" si="17"/>
        <v/>
      </c>
    </row>
    <row r="557" spans="1:7" x14ac:dyDescent="0.2">
      <c r="A557" t="s">
        <v>2</v>
      </c>
      <c r="B557">
        <v>0.48167950110000002</v>
      </c>
      <c r="C557">
        <v>1</v>
      </c>
      <c r="D557">
        <f t="shared" si="18"/>
        <v>1</v>
      </c>
      <c r="E557" t="str">
        <f t="shared" si="18"/>
        <v/>
      </c>
      <c r="F557">
        <f t="shared" si="17"/>
        <v>0.48167950110000002</v>
      </c>
      <c r="G557" t="str">
        <f t="shared" si="17"/>
        <v/>
      </c>
    </row>
    <row r="558" spans="1:7" x14ac:dyDescent="0.2">
      <c r="A558" t="s">
        <v>2</v>
      </c>
      <c r="B558">
        <v>0.15705201790000001</v>
      </c>
      <c r="C558">
        <v>1</v>
      </c>
      <c r="D558">
        <f t="shared" si="18"/>
        <v>1</v>
      </c>
      <c r="E558" t="str">
        <f t="shared" si="18"/>
        <v/>
      </c>
      <c r="F558">
        <f t="shared" si="17"/>
        <v>0.15705201790000001</v>
      </c>
      <c r="G558" t="str">
        <f t="shared" si="17"/>
        <v/>
      </c>
    </row>
    <row r="559" spans="1:7" x14ac:dyDescent="0.2">
      <c r="A559" t="s">
        <v>2</v>
      </c>
      <c r="B559">
        <v>0.20109835140000001</v>
      </c>
      <c r="C559">
        <v>0</v>
      </c>
      <c r="D559">
        <f t="shared" si="18"/>
        <v>0</v>
      </c>
      <c r="E559" t="str">
        <f t="shared" si="18"/>
        <v/>
      </c>
      <c r="F559">
        <f t="shared" si="17"/>
        <v>0.20109835140000001</v>
      </c>
      <c r="G559" t="str">
        <f t="shared" si="17"/>
        <v/>
      </c>
    </row>
    <row r="560" spans="1:7" x14ac:dyDescent="0.2">
      <c r="A560" t="s">
        <v>0</v>
      </c>
      <c r="B560">
        <v>0.70621993829999996</v>
      </c>
      <c r="C560">
        <v>1</v>
      </c>
      <c r="D560" t="str">
        <f t="shared" si="18"/>
        <v/>
      </c>
      <c r="E560">
        <f t="shared" si="18"/>
        <v>1</v>
      </c>
      <c r="F560" t="str">
        <f t="shared" si="17"/>
        <v/>
      </c>
      <c r="G560">
        <f t="shared" si="17"/>
        <v>0.70621993829999996</v>
      </c>
    </row>
    <row r="561" spans="1:7" x14ac:dyDescent="0.2">
      <c r="A561" t="s">
        <v>0</v>
      </c>
      <c r="B561">
        <v>0.44553927500000001</v>
      </c>
      <c r="C561">
        <v>1</v>
      </c>
      <c r="D561" t="str">
        <f t="shared" si="18"/>
        <v/>
      </c>
      <c r="E561">
        <f t="shared" si="18"/>
        <v>1</v>
      </c>
      <c r="F561" t="str">
        <f t="shared" si="17"/>
        <v/>
      </c>
      <c r="G561">
        <f t="shared" si="17"/>
        <v>0.44553927500000001</v>
      </c>
    </row>
    <row r="562" spans="1:7" x14ac:dyDescent="0.2">
      <c r="A562" t="s">
        <v>0</v>
      </c>
      <c r="B562">
        <v>0.38255329850000003</v>
      </c>
      <c r="C562">
        <v>0</v>
      </c>
      <c r="D562" t="str">
        <f t="shared" si="18"/>
        <v/>
      </c>
      <c r="E562">
        <f t="shared" si="18"/>
        <v>0</v>
      </c>
      <c r="F562" t="str">
        <f t="shared" si="17"/>
        <v/>
      </c>
      <c r="G562">
        <f t="shared" si="17"/>
        <v>0.38255329850000003</v>
      </c>
    </row>
    <row r="563" spans="1:7" x14ac:dyDescent="0.2">
      <c r="A563" t="s">
        <v>2</v>
      </c>
      <c r="B563">
        <v>0.83873738630000005</v>
      </c>
      <c r="C563">
        <v>1</v>
      </c>
      <c r="D563">
        <f t="shared" si="18"/>
        <v>1</v>
      </c>
      <c r="E563" t="str">
        <f t="shared" si="18"/>
        <v/>
      </c>
      <c r="F563">
        <f t="shared" si="17"/>
        <v>0.83873738630000005</v>
      </c>
      <c r="G563" t="str">
        <f t="shared" si="17"/>
        <v/>
      </c>
    </row>
    <row r="564" spans="1:7" x14ac:dyDescent="0.2">
      <c r="A564" t="s">
        <v>2</v>
      </c>
      <c r="B564">
        <v>0.21864575110000001</v>
      </c>
      <c r="C564">
        <v>0</v>
      </c>
      <c r="D564">
        <f t="shared" si="18"/>
        <v>0</v>
      </c>
      <c r="E564" t="str">
        <f t="shared" si="18"/>
        <v/>
      </c>
      <c r="F564">
        <f t="shared" si="17"/>
        <v>0.21864575110000001</v>
      </c>
      <c r="G564" t="str">
        <f t="shared" si="17"/>
        <v/>
      </c>
    </row>
    <row r="565" spans="1:7" x14ac:dyDescent="0.2">
      <c r="A565" t="s">
        <v>0</v>
      </c>
      <c r="B565">
        <v>0.49203747149999999</v>
      </c>
      <c r="C565">
        <v>1</v>
      </c>
      <c r="D565" t="str">
        <f t="shared" si="18"/>
        <v/>
      </c>
      <c r="E565">
        <f t="shared" si="18"/>
        <v>1</v>
      </c>
      <c r="F565" t="str">
        <f t="shared" si="17"/>
        <v/>
      </c>
      <c r="G565">
        <f t="shared" si="17"/>
        <v>0.49203747149999999</v>
      </c>
    </row>
    <row r="566" spans="1:7" x14ac:dyDescent="0.2">
      <c r="A566" t="s">
        <v>0</v>
      </c>
      <c r="B566">
        <v>0.77494236130000005</v>
      </c>
      <c r="C566">
        <v>0</v>
      </c>
      <c r="D566" t="str">
        <f t="shared" si="18"/>
        <v/>
      </c>
      <c r="E566">
        <f t="shared" si="18"/>
        <v>0</v>
      </c>
      <c r="F566" t="str">
        <f t="shared" si="17"/>
        <v/>
      </c>
      <c r="G566">
        <f t="shared" si="17"/>
        <v>0.77494236130000005</v>
      </c>
    </row>
    <row r="567" spans="1:7" x14ac:dyDescent="0.2">
      <c r="A567" t="s">
        <v>0</v>
      </c>
      <c r="B567">
        <v>0.34418287289999999</v>
      </c>
      <c r="C567">
        <v>1</v>
      </c>
      <c r="D567" t="str">
        <f t="shared" si="18"/>
        <v/>
      </c>
      <c r="E567">
        <f t="shared" si="18"/>
        <v>1</v>
      </c>
      <c r="F567" t="str">
        <f t="shared" si="17"/>
        <v/>
      </c>
      <c r="G567">
        <f t="shared" si="17"/>
        <v>0.34418287289999999</v>
      </c>
    </row>
    <row r="568" spans="1:7" x14ac:dyDescent="0.2">
      <c r="A568" t="s">
        <v>2</v>
      </c>
      <c r="B568">
        <v>9.8488729799999994E-2</v>
      </c>
      <c r="C568">
        <v>0</v>
      </c>
      <c r="D568">
        <f t="shared" si="18"/>
        <v>0</v>
      </c>
      <c r="E568" t="str">
        <f t="shared" si="18"/>
        <v/>
      </c>
      <c r="F568">
        <f t="shared" si="17"/>
        <v>9.8488729799999994E-2</v>
      </c>
      <c r="G568" t="str">
        <f t="shared" si="17"/>
        <v/>
      </c>
    </row>
    <row r="569" spans="1:7" x14ac:dyDescent="0.2">
      <c r="A569" t="s">
        <v>0</v>
      </c>
      <c r="B569">
        <v>0.27087982840000002</v>
      </c>
      <c r="C569">
        <v>0</v>
      </c>
      <c r="D569" t="str">
        <f t="shared" si="18"/>
        <v/>
      </c>
      <c r="E569">
        <f t="shared" si="18"/>
        <v>0</v>
      </c>
      <c r="F569" t="str">
        <f t="shared" si="17"/>
        <v/>
      </c>
      <c r="G569">
        <f t="shared" si="17"/>
        <v>0.27087982840000002</v>
      </c>
    </row>
    <row r="570" spans="1:7" x14ac:dyDescent="0.2">
      <c r="A570" t="s">
        <v>2</v>
      </c>
      <c r="B570">
        <v>0.25234200880000002</v>
      </c>
      <c r="C570">
        <v>1</v>
      </c>
      <c r="D570">
        <f t="shared" si="18"/>
        <v>1</v>
      </c>
      <c r="E570" t="str">
        <f t="shared" si="18"/>
        <v/>
      </c>
      <c r="F570">
        <f t="shared" si="17"/>
        <v>0.25234200880000002</v>
      </c>
      <c r="G570" t="str">
        <f t="shared" si="17"/>
        <v/>
      </c>
    </row>
    <row r="571" spans="1:7" x14ac:dyDescent="0.2">
      <c r="A571" t="s">
        <v>2</v>
      </c>
      <c r="B571">
        <v>9.4370833900000006E-2</v>
      </c>
      <c r="C571">
        <v>0</v>
      </c>
      <c r="D571">
        <f t="shared" si="18"/>
        <v>0</v>
      </c>
      <c r="E571" t="str">
        <f t="shared" si="18"/>
        <v/>
      </c>
      <c r="F571">
        <f t="shared" si="17"/>
        <v>9.4370833900000006E-2</v>
      </c>
      <c r="G571" t="str">
        <f t="shared" si="17"/>
        <v/>
      </c>
    </row>
    <row r="572" spans="1:7" x14ac:dyDescent="0.2">
      <c r="A572" t="s">
        <v>2</v>
      </c>
      <c r="B572">
        <v>0.27080026419999997</v>
      </c>
      <c r="C572">
        <v>0</v>
      </c>
      <c r="D572">
        <f t="shared" si="18"/>
        <v>0</v>
      </c>
      <c r="E572" t="str">
        <f t="shared" si="18"/>
        <v/>
      </c>
      <c r="F572">
        <f t="shared" si="17"/>
        <v>0.27080026419999997</v>
      </c>
      <c r="G572" t="str">
        <f t="shared" si="17"/>
        <v/>
      </c>
    </row>
    <row r="573" spans="1:7" x14ac:dyDescent="0.2">
      <c r="A573" t="s">
        <v>0</v>
      </c>
      <c r="B573">
        <v>0.45245418980000002</v>
      </c>
      <c r="C573">
        <v>1</v>
      </c>
      <c r="D573" t="str">
        <f t="shared" si="18"/>
        <v/>
      </c>
      <c r="E573">
        <f t="shared" si="18"/>
        <v>1</v>
      </c>
      <c r="F573" t="str">
        <f t="shared" si="17"/>
        <v/>
      </c>
      <c r="G573">
        <f t="shared" si="17"/>
        <v>0.45245418980000002</v>
      </c>
    </row>
    <row r="574" spans="1:7" x14ac:dyDescent="0.2">
      <c r="A574" t="s">
        <v>0</v>
      </c>
      <c r="B574">
        <v>0.4930226915</v>
      </c>
      <c r="C574">
        <v>1</v>
      </c>
      <c r="D574" t="str">
        <f t="shared" si="18"/>
        <v/>
      </c>
      <c r="E574">
        <f t="shared" si="18"/>
        <v>1</v>
      </c>
      <c r="F574" t="str">
        <f t="shared" si="17"/>
        <v/>
      </c>
      <c r="G574">
        <f t="shared" si="17"/>
        <v>0.4930226915</v>
      </c>
    </row>
    <row r="575" spans="1:7" x14ac:dyDescent="0.2">
      <c r="A575" t="s">
        <v>0</v>
      </c>
      <c r="B575">
        <v>0.51031693339999995</v>
      </c>
      <c r="C575">
        <v>0</v>
      </c>
      <c r="D575" t="str">
        <f t="shared" si="18"/>
        <v/>
      </c>
      <c r="E575">
        <f t="shared" si="18"/>
        <v>0</v>
      </c>
      <c r="F575" t="str">
        <f t="shared" si="17"/>
        <v/>
      </c>
      <c r="G575">
        <f t="shared" si="17"/>
        <v>0.51031693339999995</v>
      </c>
    </row>
    <row r="576" spans="1:7" x14ac:dyDescent="0.2">
      <c r="A576" t="s">
        <v>2</v>
      </c>
      <c r="B576">
        <v>0.71339185159999996</v>
      </c>
      <c r="C576">
        <v>1</v>
      </c>
      <c r="D576">
        <f t="shared" si="18"/>
        <v>1</v>
      </c>
      <c r="E576" t="str">
        <f t="shared" si="18"/>
        <v/>
      </c>
      <c r="F576">
        <f t="shared" si="17"/>
        <v>0.71339185159999996</v>
      </c>
      <c r="G576" t="str">
        <f t="shared" si="17"/>
        <v/>
      </c>
    </row>
    <row r="577" spans="1:7" x14ac:dyDescent="0.2">
      <c r="A577" t="s">
        <v>2</v>
      </c>
      <c r="B577">
        <v>0.53219516619999996</v>
      </c>
      <c r="C577">
        <v>0</v>
      </c>
      <c r="D577">
        <f t="shared" si="18"/>
        <v>0</v>
      </c>
      <c r="E577" t="str">
        <f t="shared" si="18"/>
        <v/>
      </c>
      <c r="F577">
        <f t="shared" si="17"/>
        <v>0.53219516619999996</v>
      </c>
      <c r="G577" t="str">
        <f t="shared" si="17"/>
        <v/>
      </c>
    </row>
    <row r="578" spans="1:7" x14ac:dyDescent="0.2">
      <c r="A578" t="s">
        <v>2</v>
      </c>
      <c r="B578">
        <v>0.42380204690000001</v>
      </c>
      <c r="C578">
        <v>0</v>
      </c>
      <c r="D578">
        <f t="shared" si="18"/>
        <v>0</v>
      </c>
      <c r="E578" t="str">
        <f t="shared" si="18"/>
        <v/>
      </c>
      <c r="F578">
        <f t="shared" si="17"/>
        <v>0.42380204690000001</v>
      </c>
      <c r="G578" t="str">
        <f t="shared" si="17"/>
        <v/>
      </c>
    </row>
    <row r="579" spans="1:7" x14ac:dyDescent="0.2">
      <c r="A579" t="s">
        <v>2</v>
      </c>
      <c r="B579">
        <v>0.69267852500000004</v>
      </c>
      <c r="C579">
        <v>1</v>
      </c>
      <c r="D579">
        <f t="shared" si="18"/>
        <v>1</v>
      </c>
      <c r="E579" t="str">
        <f t="shared" si="18"/>
        <v/>
      </c>
      <c r="F579">
        <f t="shared" ref="F579:G642" si="19">IF($A579=F$1,$B579,"")</f>
        <v>0.69267852500000004</v>
      </c>
      <c r="G579" t="str">
        <f t="shared" si="19"/>
        <v/>
      </c>
    </row>
    <row r="580" spans="1:7" x14ac:dyDescent="0.2">
      <c r="A580" t="s">
        <v>2</v>
      </c>
      <c r="B580">
        <v>9.5251103599999998E-2</v>
      </c>
      <c r="C580">
        <v>0</v>
      </c>
      <c r="D580">
        <f t="shared" si="18"/>
        <v>0</v>
      </c>
      <c r="E580" t="str">
        <f t="shared" si="18"/>
        <v/>
      </c>
      <c r="F580">
        <f t="shared" si="19"/>
        <v>9.5251103599999998E-2</v>
      </c>
      <c r="G580" t="str">
        <f t="shared" si="19"/>
        <v/>
      </c>
    </row>
    <row r="581" spans="1:7" x14ac:dyDescent="0.2">
      <c r="A581" t="s">
        <v>0</v>
      </c>
      <c r="B581">
        <v>0.30936782439999999</v>
      </c>
      <c r="C581">
        <v>1</v>
      </c>
      <c r="D581" t="str">
        <f t="shared" ref="D581:E644" si="20">IF($A581=D$1,$C581,"")</f>
        <v/>
      </c>
      <c r="E581">
        <f t="shared" si="20"/>
        <v>1</v>
      </c>
      <c r="F581" t="str">
        <f t="shared" si="19"/>
        <v/>
      </c>
      <c r="G581">
        <f t="shared" si="19"/>
        <v>0.30936782439999999</v>
      </c>
    </row>
    <row r="582" spans="1:7" x14ac:dyDescent="0.2">
      <c r="A582" t="s">
        <v>2</v>
      </c>
      <c r="B582">
        <v>0.50100278659999997</v>
      </c>
      <c r="C582">
        <v>1</v>
      </c>
      <c r="D582">
        <f t="shared" si="20"/>
        <v>1</v>
      </c>
      <c r="E582" t="str">
        <f t="shared" si="20"/>
        <v/>
      </c>
      <c r="F582">
        <f t="shared" si="19"/>
        <v>0.50100278659999997</v>
      </c>
      <c r="G582" t="str">
        <f t="shared" si="19"/>
        <v/>
      </c>
    </row>
    <row r="583" spans="1:7" x14ac:dyDescent="0.2">
      <c r="A583" t="s">
        <v>2</v>
      </c>
      <c r="B583">
        <v>0.86077949399999998</v>
      </c>
      <c r="C583">
        <v>1</v>
      </c>
      <c r="D583">
        <f t="shared" si="20"/>
        <v>1</v>
      </c>
      <c r="E583" t="str">
        <f t="shared" si="20"/>
        <v/>
      </c>
      <c r="F583">
        <f t="shared" si="19"/>
        <v>0.86077949399999998</v>
      </c>
      <c r="G583" t="str">
        <f t="shared" si="19"/>
        <v/>
      </c>
    </row>
    <row r="584" spans="1:7" x14ac:dyDescent="0.2">
      <c r="A584" t="s">
        <v>0</v>
      </c>
      <c r="B584">
        <v>0.55718726679999997</v>
      </c>
      <c r="C584">
        <v>0</v>
      </c>
      <c r="D584" t="str">
        <f t="shared" si="20"/>
        <v/>
      </c>
      <c r="E584">
        <f t="shared" si="20"/>
        <v>0</v>
      </c>
      <c r="F584" t="str">
        <f t="shared" si="19"/>
        <v/>
      </c>
      <c r="G584">
        <f t="shared" si="19"/>
        <v>0.55718726679999997</v>
      </c>
    </row>
    <row r="585" spans="1:7" x14ac:dyDescent="0.2">
      <c r="A585" t="s">
        <v>2</v>
      </c>
      <c r="B585">
        <v>0.18483619070000001</v>
      </c>
      <c r="C585">
        <v>0</v>
      </c>
      <c r="D585">
        <f t="shared" si="20"/>
        <v>0</v>
      </c>
      <c r="E585" t="str">
        <f t="shared" si="20"/>
        <v/>
      </c>
      <c r="F585">
        <f t="shared" si="19"/>
        <v>0.18483619070000001</v>
      </c>
      <c r="G585" t="str">
        <f t="shared" si="19"/>
        <v/>
      </c>
    </row>
    <row r="586" spans="1:7" x14ac:dyDescent="0.2">
      <c r="A586" t="s">
        <v>2</v>
      </c>
      <c r="B586">
        <v>0.69899904469999996</v>
      </c>
      <c r="C586">
        <v>1</v>
      </c>
      <c r="D586">
        <f t="shared" si="20"/>
        <v>1</v>
      </c>
      <c r="E586" t="str">
        <f t="shared" si="20"/>
        <v/>
      </c>
      <c r="F586">
        <f t="shared" si="19"/>
        <v>0.69899904469999996</v>
      </c>
      <c r="G586" t="str">
        <f t="shared" si="19"/>
        <v/>
      </c>
    </row>
    <row r="587" spans="1:7" x14ac:dyDescent="0.2">
      <c r="A587" t="s">
        <v>2</v>
      </c>
      <c r="B587">
        <v>0.47363186239999999</v>
      </c>
      <c r="C587">
        <v>0</v>
      </c>
      <c r="D587">
        <f t="shared" si="20"/>
        <v>0</v>
      </c>
      <c r="E587" t="str">
        <f t="shared" si="20"/>
        <v/>
      </c>
      <c r="F587">
        <f t="shared" si="19"/>
        <v>0.47363186239999999</v>
      </c>
      <c r="G587" t="str">
        <f t="shared" si="19"/>
        <v/>
      </c>
    </row>
    <row r="588" spans="1:7" x14ac:dyDescent="0.2">
      <c r="A588" t="s">
        <v>0</v>
      </c>
      <c r="B588">
        <v>0.45882434529999999</v>
      </c>
      <c r="C588">
        <v>1</v>
      </c>
      <c r="D588" t="str">
        <f t="shared" si="20"/>
        <v/>
      </c>
      <c r="E588">
        <f t="shared" si="20"/>
        <v>1</v>
      </c>
      <c r="F588" t="str">
        <f t="shared" si="19"/>
        <v/>
      </c>
      <c r="G588">
        <f t="shared" si="19"/>
        <v>0.45882434529999999</v>
      </c>
    </row>
    <row r="589" spans="1:7" x14ac:dyDescent="0.2">
      <c r="A589" t="s">
        <v>2</v>
      </c>
      <c r="B589">
        <v>0.82593346069999996</v>
      </c>
      <c r="C589">
        <v>1</v>
      </c>
      <c r="D589">
        <f t="shared" si="20"/>
        <v>1</v>
      </c>
      <c r="E589" t="str">
        <f t="shared" si="20"/>
        <v/>
      </c>
      <c r="F589">
        <f t="shared" si="19"/>
        <v>0.82593346069999996</v>
      </c>
      <c r="G589" t="str">
        <f t="shared" si="19"/>
        <v/>
      </c>
    </row>
    <row r="590" spans="1:7" x14ac:dyDescent="0.2">
      <c r="A590" t="s">
        <v>2</v>
      </c>
      <c r="B590">
        <v>0.62083517389999998</v>
      </c>
      <c r="C590">
        <v>1</v>
      </c>
      <c r="D590">
        <f t="shared" si="20"/>
        <v>1</v>
      </c>
      <c r="E590" t="str">
        <f t="shared" si="20"/>
        <v/>
      </c>
      <c r="F590">
        <f t="shared" si="19"/>
        <v>0.62083517389999998</v>
      </c>
      <c r="G590" t="str">
        <f t="shared" si="19"/>
        <v/>
      </c>
    </row>
    <row r="591" spans="1:7" x14ac:dyDescent="0.2">
      <c r="A591" t="s">
        <v>2</v>
      </c>
      <c r="B591">
        <v>0.1114459552</v>
      </c>
      <c r="C591">
        <v>0</v>
      </c>
      <c r="D591">
        <f t="shared" si="20"/>
        <v>0</v>
      </c>
      <c r="E591" t="str">
        <f t="shared" si="20"/>
        <v/>
      </c>
      <c r="F591">
        <f t="shared" si="19"/>
        <v>0.1114459552</v>
      </c>
      <c r="G591" t="str">
        <f t="shared" si="19"/>
        <v/>
      </c>
    </row>
    <row r="592" spans="1:7" x14ac:dyDescent="0.2">
      <c r="A592" t="s">
        <v>2</v>
      </c>
      <c r="B592">
        <v>0.56789626589999997</v>
      </c>
      <c r="C592">
        <v>0</v>
      </c>
      <c r="D592">
        <f t="shared" si="20"/>
        <v>0</v>
      </c>
      <c r="E592" t="str">
        <f t="shared" si="20"/>
        <v/>
      </c>
      <c r="F592">
        <f t="shared" si="19"/>
        <v>0.56789626589999997</v>
      </c>
      <c r="G592" t="str">
        <f t="shared" si="19"/>
        <v/>
      </c>
    </row>
    <row r="593" spans="1:7" x14ac:dyDescent="0.2">
      <c r="A593" t="s">
        <v>0</v>
      </c>
      <c r="B593">
        <v>0.21551875130000001</v>
      </c>
      <c r="C593">
        <v>0</v>
      </c>
      <c r="D593" t="str">
        <f t="shared" si="20"/>
        <v/>
      </c>
      <c r="E593">
        <f t="shared" si="20"/>
        <v>0</v>
      </c>
      <c r="F593" t="str">
        <f t="shared" si="19"/>
        <v/>
      </c>
      <c r="G593">
        <f t="shared" si="19"/>
        <v>0.21551875130000001</v>
      </c>
    </row>
    <row r="594" spans="1:7" x14ac:dyDescent="0.2">
      <c r="A594" t="s">
        <v>0</v>
      </c>
      <c r="B594">
        <v>0.17864221929999999</v>
      </c>
      <c r="C594">
        <v>0</v>
      </c>
      <c r="D594" t="str">
        <f t="shared" si="20"/>
        <v/>
      </c>
      <c r="E594">
        <f t="shared" si="20"/>
        <v>0</v>
      </c>
      <c r="F594" t="str">
        <f t="shared" si="19"/>
        <v/>
      </c>
      <c r="G594">
        <f t="shared" si="19"/>
        <v>0.17864221929999999</v>
      </c>
    </row>
    <row r="595" spans="1:7" x14ac:dyDescent="0.2">
      <c r="A595" t="s">
        <v>0</v>
      </c>
      <c r="B595">
        <v>0.5975442769</v>
      </c>
      <c r="C595">
        <v>1</v>
      </c>
      <c r="D595" t="str">
        <f t="shared" si="20"/>
        <v/>
      </c>
      <c r="E595">
        <f t="shared" si="20"/>
        <v>1</v>
      </c>
      <c r="F595" t="str">
        <f t="shared" si="19"/>
        <v/>
      </c>
      <c r="G595">
        <f t="shared" si="19"/>
        <v>0.5975442769</v>
      </c>
    </row>
    <row r="596" spans="1:7" x14ac:dyDescent="0.2">
      <c r="A596" t="s">
        <v>2</v>
      </c>
      <c r="B596">
        <v>0.65849096920000005</v>
      </c>
      <c r="C596">
        <v>1</v>
      </c>
      <c r="D596">
        <f t="shared" si="20"/>
        <v>1</v>
      </c>
      <c r="E596" t="str">
        <f t="shared" si="20"/>
        <v/>
      </c>
      <c r="F596">
        <f t="shared" si="19"/>
        <v>0.65849096920000005</v>
      </c>
      <c r="G596" t="str">
        <f t="shared" si="19"/>
        <v/>
      </c>
    </row>
    <row r="597" spans="1:7" x14ac:dyDescent="0.2">
      <c r="A597" t="s">
        <v>2</v>
      </c>
      <c r="B597">
        <v>0.26763869359999998</v>
      </c>
      <c r="C597">
        <v>0</v>
      </c>
      <c r="D597">
        <f t="shared" si="20"/>
        <v>0</v>
      </c>
      <c r="E597" t="str">
        <f t="shared" si="20"/>
        <v/>
      </c>
      <c r="F597">
        <f t="shared" si="19"/>
        <v>0.26763869359999998</v>
      </c>
      <c r="G597" t="str">
        <f t="shared" si="19"/>
        <v/>
      </c>
    </row>
    <row r="598" spans="1:7" x14ac:dyDescent="0.2">
      <c r="A598" t="s">
        <v>2</v>
      </c>
      <c r="B598">
        <v>0.53497689920000002</v>
      </c>
      <c r="C598">
        <v>0</v>
      </c>
      <c r="D598">
        <f t="shared" si="20"/>
        <v>0</v>
      </c>
      <c r="E598" t="str">
        <f t="shared" si="20"/>
        <v/>
      </c>
      <c r="F598">
        <f t="shared" si="19"/>
        <v>0.53497689920000002</v>
      </c>
      <c r="G598" t="str">
        <f t="shared" si="19"/>
        <v/>
      </c>
    </row>
    <row r="599" spans="1:7" x14ac:dyDescent="0.2">
      <c r="A599" t="s">
        <v>0</v>
      </c>
      <c r="B599">
        <v>0.20417484350000001</v>
      </c>
      <c r="C599">
        <v>0</v>
      </c>
      <c r="D599" t="str">
        <f t="shared" si="20"/>
        <v/>
      </c>
      <c r="E599">
        <f t="shared" si="20"/>
        <v>0</v>
      </c>
      <c r="F599" t="str">
        <f t="shared" si="19"/>
        <v/>
      </c>
      <c r="G599">
        <f t="shared" si="19"/>
        <v>0.20417484350000001</v>
      </c>
    </row>
    <row r="600" spans="1:7" x14ac:dyDescent="0.2">
      <c r="A600" t="s">
        <v>2</v>
      </c>
      <c r="B600">
        <v>0.83020506390000004</v>
      </c>
      <c r="C600">
        <v>1</v>
      </c>
      <c r="D600">
        <f t="shared" si="20"/>
        <v>1</v>
      </c>
      <c r="E600" t="str">
        <f t="shared" si="20"/>
        <v/>
      </c>
      <c r="F600">
        <f t="shared" si="19"/>
        <v>0.83020506390000004</v>
      </c>
      <c r="G600" t="str">
        <f t="shared" si="19"/>
        <v/>
      </c>
    </row>
    <row r="601" spans="1:7" x14ac:dyDescent="0.2">
      <c r="A601" t="s">
        <v>2</v>
      </c>
      <c r="B601">
        <v>0.26491461220000001</v>
      </c>
      <c r="C601">
        <v>0</v>
      </c>
      <c r="D601">
        <f t="shared" si="20"/>
        <v>0</v>
      </c>
      <c r="E601" t="str">
        <f t="shared" si="20"/>
        <v/>
      </c>
      <c r="F601">
        <f t="shared" si="19"/>
        <v>0.26491461220000001</v>
      </c>
      <c r="G601" t="str">
        <f t="shared" si="19"/>
        <v/>
      </c>
    </row>
    <row r="602" spans="1:7" x14ac:dyDescent="0.2">
      <c r="A602" t="s">
        <v>2</v>
      </c>
      <c r="B602">
        <v>0.59834535330000005</v>
      </c>
      <c r="C602">
        <v>0</v>
      </c>
      <c r="D602">
        <f t="shared" si="20"/>
        <v>0</v>
      </c>
      <c r="E602" t="str">
        <f t="shared" si="20"/>
        <v/>
      </c>
      <c r="F602">
        <f t="shared" si="19"/>
        <v>0.59834535330000005</v>
      </c>
      <c r="G602" t="str">
        <f t="shared" si="19"/>
        <v/>
      </c>
    </row>
    <row r="603" spans="1:7" x14ac:dyDescent="0.2">
      <c r="A603" t="s">
        <v>2</v>
      </c>
      <c r="B603">
        <v>0.1248809722</v>
      </c>
      <c r="C603">
        <v>0</v>
      </c>
      <c r="D603">
        <f t="shared" si="20"/>
        <v>0</v>
      </c>
      <c r="E603" t="str">
        <f t="shared" si="20"/>
        <v/>
      </c>
      <c r="F603">
        <f t="shared" si="19"/>
        <v>0.1248809722</v>
      </c>
      <c r="G603" t="str">
        <f t="shared" si="19"/>
        <v/>
      </c>
    </row>
    <row r="604" spans="1:7" x14ac:dyDescent="0.2">
      <c r="A604" t="s">
        <v>2</v>
      </c>
      <c r="B604">
        <v>0.43939071819999997</v>
      </c>
      <c r="C604">
        <v>0</v>
      </c>
      <c r="D604">
        <f t="shared" si="20"/>
        <v>0</v>
      </c>
      <c r="E604" t="str">
        <f t="shared" si="20"/>
        <v/>
      </c>
      <c r="F604">
        <f t="shared" si="19"/>
        <v>0.43939071819999997</v>
      </c>
      <c r="G604" t="str">
        <f t="shared" si="19"/>
        <v/>
      </c>
    </row>
    <row r="605" spans="1:7" x14ac:dyDescent="0.2">
      <c r="A605" t="s">
        <v>2</v>
      </c>
      <c r="B605">
        <v>0.24938762710000001</v>
      </c>
      <c r="C605">
        <v>0</v>
      </c>
      <c r="D605">
        <f t="shared" si="20"/>
        <v>0</v>
      </c>
      <c r="E605" t="str">
        <f t="shared" si="20"/>
        <v/>
      </c>
      <c r="F605">
        <f t="shared" si="19"/>
        <v>0.24938762710000001</v>
      </c>
      <c r="G605" t="str">
        <f t="shared" si="19"/>
        <v/>
      </c>
    </row>
    <row r="606" spans="1:7" x14ac:dyDescent="0.2">
      <c r="A606" t="s">
        <v>2</v>
      </c>
      <c r="B606">
        <v>0.32076702219999997</v>
      </c>
      <c r="C606">
        <v>0</v>
      </c>
      <c r="D606">
        <f t="shared" si="20"/>
        <v>0</v>
      </c>
      <c r="E606" t="str">
        <f t="shared" si="20"/>
        <v/>
      </c>
      <c r="F606">
        <f t="shared" si="19"/>
        <v>0.32076702219999997</v>
      </c>
      <c r="G606" t="str">
        <f t="shared" si="19"/>
        <v/>
      </c>
    </row>
    <row r="607" spans="1:7" x14ac:dyDescent="0.2">
      <c r="A607" t="s">
        <v>2</v>
      </c>
      <c r="B607">
        <v>0.70638985109999997</v>
      </c>
      <c r="C607">
        <v>1</v>
      </c>
      <c r="D607">
        <f t="shared" si="20"/>
        <v>1</v>
      </c>
      <c r="E607" t="str">
        <f t="shared" si="20"/>
        <v/>
      </c>
      <c r="F607">
        <f t="shared" si="19"/>
        <v>0.70638985109999997</v>
      </c>
      <c r="G607" t="str">
        <f t="shared" si="19"/>
        <v/>
      </c>
    </row>
    <row r="608" spans="1:7" x14ac:dyDescent="0.2">
      <c r="A608" t="s">
        <v>2</v>
      </c>
      <c r="B608">
        <v>0.18211437559999999</v>
      </c>
      <c r="C608">
        <v>0</v>
      </c>
      <c r="D608">
        <f t="shared" si="20"/>
        <v>0</v>
      </c>
      <c r="E608" t="str">
        <f t="shared" si="20"/>
        <v/>
      </c>
      <c r="F608">
        <f t="shared" si="19"/>
        <v>0.18211437559999999</v>
      </c>
      <c r="G608" t="str">
        <f t="shared" si="19"/>
        <v/>
      </c>
    </row>
    <row r="609" spans="1:7" x14ac:dyDescent="0.2">
      <c r="A609" t="s">
        <v>2</v>
      </c>
      <c r="B609">
        <v>0.5491624624</v>
      </c>
      <c r="C609">
        <v>0</v>
      </c>
      <c r="D609">
        <f t="shared" si="20"/>
        <v>0</v>
      </c>
      <c r="E609" t="str">
        <f t="shared" si="20"/>
        <v/>
      </c>
      <c r="F609">
        <f t="shared" si="19"/>
        <v>0.5491624624</v>
      </c>
      <c r="G609" t="str">
        <f t="shared" si="19"/>
        <v/>
      </c>
    </row>
    <row r="610" spans="1:7" x14ac:dyDescent="0.2">
      <c r="A610" t="s">
        <v>2</v>
      </c>
      <c r="B610">
        <v>0.39308760230000001</v>
      </c>
      <c r="C610">
        <v>1</v>
      </c>
      <c r="D610">
        <f t="shared" si="20"/>
        <v>1</v>
      </c>
      <c r="E610" t="str">
        <f t="shared" si="20"/>
        <v/>
      </c>
      <c r="F610">
        <f t="shared" si="19"/>
        <v>0.39308760230000001</v>
      </c>
      <c r="G610" t="str">
        <f t="shared" si="19"/>
        <v/>
      </c>
    </row>
    <row r="611" spans="1:7" x14ac:dyDescent="0.2">
      <c r="A611" t="s">
        <v>0</v>
      </c>
      <c r="B611">
        <v>0.69991790320000002</v>
      </c>
      <c r="C611">
        <v>1</v>
      </c>
      <c r="D611" t="str">
        <f t="shared" si="20"/>
        <v/>
      </c>
      <c r="E611">
        <f t="shared" si="20"/>
        <v>1</v>
      </c>
      <c r="F611" t="str">
        <f t="shared" si="19"/>
        <v/>
      </c>
      <c r="G611">
        <f t="shared" si="19"/>
        <v>0.69991790320000002</v>
      </c>
    </row>
    <row r="612" spans="1:7" x14ac:dyDescent="0.2">
      <c r="A612" t="s">
        <v>0</v>
      </c>
      <c r="B612">
        <v>0.57638643639999998</v>
      </c>
      <c r="C612">
        <v>0</v>
      </c>
      <c r="D612" t="str">
        <f t="shared" si="20"/>
        <v/>
      </c>
      <c r="E612">
        <f t="shared" si="20"/>
        <v>0</v>
      </c>
      <c r="F612" t="str">
        <f t="shared" si="19"/>
        <v/>
      </c>
      <c r="G612">
        <f t="shared" si="19"/>
        <v>0.57638643639999998</v>
      </c>
    </row>
    <row r="613" spans="1:7" x14ac:dyDescent="0.2">
      <c r="A613" t="s">
        <v>2</v>
      </c>
      <c r="B613">
        <v>0.57768560960000004</v>
      </c>
      <c r="C613">
        <v>0</v>
      </c>
      <c r="D613">
        <f t="shared" si="20"/>
        <v>0</v>
      </c>
      <c r="E613" t="str">
        <f t="shared" si="20"/>
        <v/>
      </c>
      <c r="F613">
        <f t="shared" si="19"/>
        <v>0.57768560960000004</v>
      </c>
      <c r="G613" t="str">
        <f t="shared" si="19"/>
        <v/>
      </c>
    </row>
    <row r="614" spans="1:7" x14ac:dyDescent="0.2">
      <c r="A614" t="s">
        <v>2</v>
      </c>
      <c r="B614">
        <v>0.11813468840000001</v>
      </c>
      <c r="C614">
        <v>0</v>
      </c>
      <c r="D614">
        <f t="shared" si="20"/>
        <v>0</v>
      </c>
      <c r="E614" t="str">
        <f t="shared" si="20"/>
        <v/>
      </c>
      <c r="F614">
        <f t="shared" si="19"/>
        <v>0.11813468840000001</v>
      </c>
      <c r="G614" t="str">
        <f t="shared" si="19"/>
        <v/>
      </c>
    </row>
    <row r="615" spans="1:7" x14ac:dyDescent="0.2">
      <c r="A615" t="s">
        <v>0</v>
      </c>
      <c r="B615">
        <v>0.4090047403</v>
      </c>
      <c r="C615">
        <v>1</v>
      </c>
      <c r="D615" t="str">
        <f t="shared" si="20"/>
        <v/>
      </c>
      <c r="E615">
        <f t="shared" si="20"/>
        <v>1</v>
      </c>
      <c r="F615" t="str">
        <f t="shared" si="19"/>
        <v/>
      </c>
      <c r="G615">
        <f t="shared" si="19"/>
        <v>0.4090047403</v>
      </c>
    </row>
    <row r="616" spans="1:7" x14ac:dyDescent="0.2">
      <c r="A616" t="s">
        <v>2</v>
      </c>
      <c r="B616">
        <v>0.47054029009999998</v>
      </c>
      <c r="C616">
        <v>1</v>
      </c>
      <c r="D616">
        <f t="shared" si="20"/>
        <v>1</v>
      </c>
      <c r="E616" t="str">
        <f t="shared" si="20"/>
        <v/>
      </c>
      <c r="F616">
        <f t="shared" si="19"/>
        <v>0.47054029009999998</v>
      </c>
      <c r="G616" t="str">
        <f t="shared" si="19"/>
        <v/>
      </c>
    </row>
    <row r="617" spans="1:7" x14ac:dyDescent="0.2">
      <c r="A617" t="s">
        <v>0</v>
      </c>
      <c r="B617">
        <v>0.10226534399999999</v>
      </c>
      <c r="C617">
        <v>0</v>
      </c>
      <c r="D617" t="str">
        <f t="shared" si="20"/>
        <v/>
      </c>
      <c r="E617">
        <f t="shared" si="20"/>
        <v>0</v>
      </c>
      <c r="F617" t="str">
        <f t="shared" si="19"/>
        <v/>
      </c>
      <c r="G617">
        <f t="shared" si="19"/>
        <v>0.10226534399999999</v>
      </c>
    </row>
    <row r="618" spans="1:7" x14ac:dyDescent="0.2">
      <c r="A618" t="s">
        <v>0</v>
      </c>
      <c r="B618">
        <v>0.56420669899999998</v>
      </c>
      <c r="C618">
        <v>0</v>
      </c>
      <c r="D618" t="str">
        <f t="shared" si="20"/>
        <v/>
      </c>
      <c r="E618">
        <f t="shared" si="20"/>
        <v>0</v>
      </c>
      <c r="F618" t="str">
        <f t="shared" si="19"/>
        <v/>
      </c>
      <c r="G618">
        <f t="shared" si="19"/>
        <v>0.56420669899999998</v>
      </c>
    </row>
    <row r="619" spans="1:7" x14ac:dyDescent="0.2">
      <c r="A619" t="s">
        <v>2</v>
      </c>
      <c r="B619">
        <v>0.59259485300000003</v>
      </c>
      <c r="C619">
        <v>1</v>
      </c>
      <c r="D619">
        <f t="shared" si="20"/>
        <v>1</v>
      </c>
      <c r="E619" t="str">
        <f t="shared" si="20"/>
        <v/>
      </c>
      <c r="F619">
        <f t="shared" si="19"/>
        <v>0.59259485300000003</v>
      </c>
      <c r="G619" t="str">
        <f t="shared" si="19"/>
        <v/>
      </c>
    </row>
    <row r="620" spans="1:7" x14ac:dyDescent="0.2">
      <c r="A620" t="s">
        <v>2</v>
      </c>
      <c r="B620">
        <v>0.49808526479999998</v>
      </c>
      <c r="C620">
        <v>1</v>
      </c>
      <c r="D620">
        <f t="shared" si="20"/>
        <v>1</v>
      </c>
      <c r="E620" t="str">
        <f t="shared" si="20"/>
        <v/>
      </c>
      <c r="F620">
        <f t="shared" si="19"/>
        <v>0.49808526479999998</v>
      </c>
      <c r="G620" t="str">
        <f t="shared" si="19"/>
        <v/>
      </c>
    </row>
    <row r="621" spans="1:7" x14ac:dyDescent="0.2">
      <c r="A621" t="s">
        <v>2</v>
      </c>
      <c r="B621">
        <v>0.2035163804</v>
      </c>
      <c r="C621">
        <v>0</v>
      </c>
      <c r="D621">
        <f t="shared" si="20"/>
        <v>0</v>
      </c>
      <c r="E621" t="str">
        <f t="shared" si="20"/>
        <v/>
      </c>
      <c r="F621">
        <f t="shared" si="19"/>
        <v>0.2035163804</v>
      </c>
      <c r="G621" t="str">
        <f t="shared" si="19"/>
        <v/>
      </c>
    </row>
    <row r="622" spans="1:7" x14ac:dyDescent="0.2">
      <c r="A622" t="s">
        <v>2</v>
      </c>
      <c r="B622">
        <v>0.66145592399999997</v>
      </c>
      <c r="C622">
        <v>1</v>
      </c>
      <c r="D622">
        <f t="shared" si="20"/>
        <v>1</v>
      </c>
      <c r="E622" t="str">
        <f t="shared" si="20"/>
        <v/>
      </c>
      <c r="F622">
        <f t="shared" si="19"/>
        <v>0.66145592399999997</v>
      </c>
      <c r="G622" t="str">
        <f t="shared" si="19"/>
        <v/>
      </c>
    </row>
    <row r="623" spans="1:7" x14ac:dyDescent="0.2">
      <c r="A623" t="s">
        <v>2</v>
      </c>
      <c r="B623">
        <v>0.58584622919999996</v>
      </c>
      <c r="C623">
        <v>1</v>
      </c>
      <c r="D623">
        <f t="shared" si="20"/>
        <v>1</v>
      </c>
      <c r="E623" t="str">
        <f t="shared" si="20"/>
        <v/>
      </c>
      <c r="F623">
        <f t="shared" si="19"/>
        <v>0.58584622919999996</v>
      </c>
      <c r="G623" t="str">
        <f t="shared" si="19"/>
        <v/>
      </c>
    </row>
    <row r="624" spans="1:7" x14ac:dyDescent="0.2">
      <c r="A624" t="s">
        <v>2</v>
      </c>
      <c r="B624">
        <v>0.43568431089999998</v>
      </c>
      <c r="C624">
        <v>1</v>
      </c>
      <c r="D624">
        <f t="shared" si="20"/>
        <v>1</v>
      </c>
      <c r="E624" t="str">
        <f t="shared" si="20"/>
        <v/>
      </c>
      <c r="F624">
        <f t="shared" si="19"/>
        <v>0.43568431089999998</v>
      </c>
      <c r="G624" t="str">
        <f t="shared" si="19"/>
        <v/>
      </c>
    </row>
    <row r="625" spans="1:7" x14ac:dyDescent="0.2">
      <c r="A625" t="s">
        <v>0</v>
      </c>
      <c r="B625">
        <v>0.47590771199999998</v>
      </c>
      <c r="C625">
        <v>1</v>
      </c>
      <c r="D625" t="str">
        <f t="shared" si="20"/>
        <v/>
      </c>
      <c r="E625">
        <f t="shared" si="20"/>
        <v>1</v>
      </c>
      <c r="F625" t="str">
        <f t="shared" si="19"/>
        <v/>
      </c>
      <c r="G625">
        <f t="shared" si="19"/>
        <v>0.47590771199999998</v>
      </c>
    </row>
    <row r="626" spans="1:7" x14ac:dyDescent="0.2">
      <c r="A626" t="s">
        <v>0</v>
      </c>
      <c r="B626">
        <v>0.66259163919999997</v>
      </c>
      <c r="C626">
        <v>1</v>
      </c>
      <c r="D626" t="str">
        <f t="shared" si="20"/>
        <v/>
      </c>
      <c r="E626">
        <f t="shared" si="20"/>
        <v>1</v>
      </c>
      <c r="F626" t="str">
        <f t="shared" si="19"/>
        <v/>
      </c>
      <c r="G626">
        <f t="shared" si="19"/>
        <v>0.66259163919999997</v>
      </c>
    </row>
    <row r="627" spans="1:7" x14ac:dyDescent="0.2">
      <c r="A627" t="s">
        <v>2</v>
      </c>
      <c r="B627">
        <v>0.58020328619999995</v>
      </c>
      <c r="C627">
        <v>0</v>
      </c>
      <c r="D627">
        <f t="shared" si="20"/>
        <v>0</v>
      </c>
      <c r="E627" t="str">
        <f t="shared" si="20"/>
        <v/>
      </c>
      <c r="F627">
        <f t="shared" si="19"/>
        <v>0.58020328619999995</v>
      </c>
      <c r="G627" t="str">
        <f t="shared" si="19"/>
        <v/>
      </c>
    </row>
    <row r="628" spans="1:7" x14ac:dyDescent="0.2">
      <c r="A628" t="s">
        <v>2</v>
      </c>
      <c r="B628">
        <v>0.82566281770000005</v>
      </c>
      <c r="C628">
        <v>0</v>
      </c>
      <c r="D628">
        <f t="shared" si="20"/>
        <v>0</v>
      </c>
      <c r="E628" t="str">
        <f t="shared" si="20"/>
        <v/>
      </c>
      <c r="F628">
        <f t="shared" si="19"/>
        <v>0.82566281770000005</v>
      </c>
      <c r="G628" t="str">
        <f t="shared" si="19"/>
        <v/>
      </c>
    </row>
    <row r="629" spans="1:7" x14ac:dyDescent="0.2">
      <c r="A629" t="s">
        <v>2</v>
      </c>
      <c r="B629">
        <v>0.59812568570000002</v>
      </c>
      <c r="C629">
        <v>1</v>
      </c>
      <c r="D629">
        <f t="shared" si="20"/>
        <v>1</v>
      </c>
      <c r="E629" t="str">
        <f t="shared" si="20"/>
        <v/>
      </c>
      <c r="F629">
        <f t="shared" si="19"/>
        <v>0.59812568570000002</v>
      </c>
      <c r="G629" t="str">
        <f t="shared" si="19"/>
        <v/>
      </c>
    </row>
    <row r="630" spans="1:7" x14ac:dyDescent="0.2">
      <c r="A630" t="s">
        <v>0</v>
      </c>
      <c r="B630">
        <v>0.47057876990000003</v>
      </c>
      <c r="C630">
        <v>1</v>
      </c>
      <c r="D630" t="str">
        <f t="shared" si="20"/>
        <v/>
      </c>
      <c r="E630">
        <f t="shared" si="20"/>
        <v>1</v>
      </c>
      <c r="F630" t="str">
        <f t="shared" si="19"/>
        <v/>
      </c>
      <c r="G630">
        <f t="shared" si="19"/>
        <v>0.47057876990000003</v>
      </c>
    </row>
    <row r="631" spans="1:7" x14ac:dyDescent="0.2">
      <c r="A631" t="s">
        <v>2</v>
      </c>
      <c r="B631">
        <v>0.414868338</v>
      </c>
      <c r="C631">
        <v>1</v>
      </c>
      <c r="D631">
        <f t="shared" si="20"/>
        <v>1</v>
      </c>
      <c r="E631" t="str">
        <f t="shared" si="20"/>
        <v/>
      </c>
      <c r="F631">
        <f t="shared" si="19"/>
        <v>0.414868338</v>
      </c>
      <c r="G631" t="str">
        <f t="shared" si="19"/>
        <v/>
      </c>
    </row>
    <row r="632" spans="1:7" x14ac:dyDescent="0.2">
      <c r="A632" t="s">
        <v>2</v>
      </c>
      <c r="B632">
        <v>0.75052167299999994</v>
      </c>
      <c r="C632">
        <v>1</v>
      </c>
      <c r="D632">
        <f t="shared" si="20"/>
        <v>1</v>
      </c>
      <c r="E632" t="str">
        <f t="shared" si="20"/>
        <v/>
      </c>
      <c r="F632">
        <f t="shared" si="19"/>
        <v>0.75052167299999994</v>
      </c>
      <c r="G632" t="str">
        <f t="shared" si="19"/>
        <v/>
      </c>
    </row>
    <row r="633" spans="1:7" x14ac:dyDescent="0.2">
      <c r="A633" t="s">
        <v>0</v>
      </c>
      <c r="B633">
        <v>0.63141549539999997</v>
      </c>
      <c r="C633">
        <v>0</v>
      </c>
      <c r="D633" t="str">
        <f t="shared" si="20"/>
        <v/>
      </c>
      <c r="E633">
        <f t="shared" si="20"/>
        <v>0</v>
      </c>
      <c r="F633" t="str">
        <f t="shared" si="19"/>
        <v/>
      </c>
      <c r="G633">
        <f t="shared" si="19"/>
        <v>0.63141549539999997</v>
      </c>
    </row>
    <row r="634" spans="1:7" x14ac:dyDescent="0.2">
      <c r="A634" t="s">
        <v>2</v>
      </c>
      <c r="B634">
        <v>0.26448482099999998</v>
      </c>
      <c r="C634">
        <v>0</v>
      </c>
      <c r="D634">
        <f t="shared" si="20"/>
        <v>0</v>
      </c>
      <c r="E634" t="str">
        <f t="shared" si="20"/>
        <v/>
      </c>
      <c r="F634">
        <f t="shared" si="19"/>
        <v>0.26448482099999998</v>
      </c>
      <c r="G634" t="str">
        <f t="shared" si="19"/>
        <v/>
      </c>
    </row>
    <row r="635" spans="1:7" x14ac:dyDescent="0.2">
      <c r="A635" t="s">
        <v>2</v>
      </c>
      <c r="B635">
        <v>0.57960975989999997</v>
      </c>
      <c r="C635">
        <v>1</v>
      </c>
      <c r="D635">
        <f t="shared" si="20"/>
        <v>1</v>
      </c>
      <c r="E635" t="str">
        <f t="shared" si="20"/>
        <v/>
      </c>
      <c r="F635">
        <f t="shared" si="19"/>
        <v>0.57960975989999997</v>
      </c>
      <c r="G635" t="str">
        <f t="shared" si="19"/>
        <v/>
      </c>
    </row>
    <row r="636" spans="1:7" x14ac:dyDescent="0.2">
      <c r="A636" t="s">
        <v>2</v>
      </c>
      <c r="B636">
        <v>0.11517878569999999</v>
      </c>
      <c r="C636">
        <v>0</v>
      </c>
      <c r="D636">
        <f t="shared" si="20"/>
        <v>0</v>
      </c>
      <c r="E636" t="str">
        <f t="shared" si="20"/>
        <v/>
      </c>
      <c r="F636">
        <f t="shared" si="19"/>
        <v>0.11517878569999999</v>
      </c>
      <c r="G636" t="str">
        <f t="shared" si="19"/>
        <v/>
      </c>
    </row>
    <row r="637" spans="1:7" x14ac:dyDescent="0.2">
      <c r="A637" t="s">
        <v>0</v>
      </c>
      <c r="B637">
        <v>0.60580802349999996</v>
      </c>
      <c r="C637">
        <v>0</v>
      </c>
      <c r="D637" t="str">
        <f t="shared" si="20"/>
        <v/>
      </c>
      <c r="E637">
        <f t="shared" si="20"/>
        <v>0</v>
      </c>
      <c r="F637" t="str">
        <f t="shared" si="19"/>
        <v/>
      </c>
      <c r="G637">
        <f t="shared" si="19"/>
        <v>0.60580802349999996</v>
      </c>
    </row>
    <row r="638" spans="1:7" x14ac:dyDescent="0.2">
      <c r="A638" t="s">
        <v>2</v>
      </c>
      <c r="B638">
        <v>0.27245282739999999</v>
      </c>
      <c r="C638">
        <v>0</v>
      </c>
      <c r="D638">
        <f t="shared" si="20"/>
        <v>0</v>
      </c>
      <c r="E638" t="str">
        <f t="shared" si="20"/>
        <v/>
      </c>
      <c r="F638">
        <f t="shared" si="19"/>
        <v>0.27245282739999999</v>
      </c>
      <c r="G638" t="str">
        <f t="shared" si="19"/>
        <v/>
      </c>
    </row>
    <row r="639" spans="1:7" x14ac:dyDescent="0.2">
      <c r="A639" t="s">
        <v>2</v>
      </c>
      <c r="B639">
        <v>0.62970230739999999</v>
      </c>
      <c r="C639">
        <v>1</v>
      </c>
      <c r="D639">
        <f t="shared" si="20"/>
        <v>1</v>
      </c>
      <c r="E639" t="str">
        <f t="shared" si="20"/>
        <v/>
      </c>
      <c r="F639">
        <f t="shared" si="19"/>
        <v>0.62970230739999999</v>
      </c>
      <c r="G639" t="str">
        <f t="shared" si="19"/>
        <v/>
      </c>
    </row>
    <row r="640" spans="1:7" x14ac:dyDescent="0.2">
      <c r="A640" t="s">
        <v>2</v>
      </c>
      <c r="B640">
        <v>0.55153774820000001</v>
      </c>
      <c r="C640">
        <v>1</v>
      </c>
      <c r="D640">
        <f t="shared" si="20"/>
        <v>1</v>
      </c>
      <c r="E640" t="str">
        <f t="shared" si="20"/>
        <v/>
      </c>
      <c r="F640">
        <f t="shared" si="19"/>
        <v>0.55153774820000001</v>
      </c>
      <c r="G640" t="str">
        <f t="shared" si="19"/>
        <v/>
      </c>
    </row>
    <row r="641" spans="1:7" x14ac:dyDescent="0.2">
      <c r="A641" t="s">
        <v>0</v>
      </c>
      <c r="B641">
        <v>0.18248744680000001</v>
      </c>
      <c r="C641">
        <v>0</v>
      </c>
      <c r="D641" t="str">
        <f t="shared" si="20"/>
        <v/>
      </c>
      <c r="E641">
        <f t="shared" si="20"/>
        <v>0</v>
      </c>
      <c r="F641" t="str">
        <f t="shared" si="19"/>
        <v/>
      </c>
      <c r="G641">
        <f t="shared" si="19"/>
        <v>0.18248744680000001</v>
      </c>
    </row>
    <row r="642" spans="1:7" x14ac:dyDescent="0.2">
      <c r="A642" t="s">
        <v>2</v>
      </c>
      <c r="B642">
        <v>0.49203747149999999</v>
      </c>
      <c r="C642">
        <v>1</v>
      </c>
      <c r="D642">
        <f t="shared" si="20"/>
        <v>1</v>
      </c>
      <c r="E642" t="str">
        <f t="shared" si="20"/>
        <v/>
      </c>
      <c r="F642">
        <f t="shared" si="19"/>
        <v>0.49203747149999999</v>
      </c>
      <c r="G642" t="str">
        <f t="shared" si="19"/>
        <v/>
      </c>
    </row>
    <row r="643" spans="1:7" x14ac:dyDescent="0.2">
      <c r="A643" t="s">
        <v>0</v>
      </c>
      <c r="B643">
        <v>0.36649796140000002</v>
      </c>
      <c r="C643">
        <v>0</v>
      </c>
      <c r="D643" t="str">
        <f t="shared" si="20"/>
        <v/>
      </c>
      <c r="E643">
        <f t="shared" si="20"/>
        <v>0</v>
      </c>
      <c r="F643" t="str">
        <f t="shared" ref="F643:G706" si="21">IF($A643=F$1,$B643,"")</f>
        <v/>
      </c>
      <c r="G643">
        <f t="shared" si="21"/>
        <v>0.36649796140000002</v>
      </c>
    </row>
    <row r="644" spans="1:7" x14ac:dyDescent="0.2">
      <c r="A644" t="s">
        <v>2</v>
      </c>
      <c r="B644">
        <v>0.64993972320000004</v>
      </c>
      <c r="C644">
        <v>1</v>
      </c>
      <c r="D644">
        <f t="shared" si="20"/>
        <v>1</v>
      </c>
      <c r="E644" t="str">
        <f t="shared" si="20"/>
        <v/>
      </c>
      <c r="F644">
        <f t="shared" si="21"/>
        <v>0.64993972320000004</v>
      </c>
      <c r="G644" t="str">
        <f t="shared" si="21"/>
        <v/>
      </c>
    </row>
    <row r="645" spans="1:7" x14ac:dyDescent="0.2">
      <c r="A645" t="s">
        <v>0</v>
      </c>
      <c r="B645">
        <v>0.17553427490000001</v>
      </c>
      <c r="C645">
        <v>1</v>
      </c>
      <c r="D645" t="str">
        <f t="shared" ref="D645:E708" si="22">IF($A645=D$1,$C645,"")</f>
        <v/>
      </c>
      <c r="E645">
        <f t="shared" si="22"/>
        <v>1</v>
      </c>
      <c r="F645" t="str">
        <f t="shared" si="21"/>
        <v/>
      </c>
      <c r="G645">
        <f t="shared" si="21"/>
        <v>0.17553427490000001</v>
      </c>
    </row>
    <row r="646" spans="1:7" x14ac:dyDescent="0.2">
      <c r="A646" t="s">
        <v>2</v>
      </c>
      <c r="B646">
        <v>0.3188445962</v>
      </c>
      <c r="C646">
        <v>0</v>
      </c>
      <c r="D646">
        <f t="shared" si="22"/>
        <v>0</v>
      </c>
      <c r="E646" t="str">
        <f t="shared" si="22"/>
        <v/>
      </c>
      <c r="F646">
        <f t="shared" si="21"/>
        <v>0.3188445962</v>
      </c>
      <c r="G646" t="str">
        <f t="shared" si="21"/>
        <v/>
      </c>
    </row>
    <row r="647" spans="1:7" x14ac:dyDescent="0.2">
      <c r="A647" t="s">
        <v>0</v>
      </c>
      <c r="B647">
        <v>0.86077949399999998</v>
      </c>
      <c r="C647">
        <v>1</v>
      </c>
      <c r="D647" t="str">
        <f t="shared" si="22"/>
        <v/>
      </c>
      <c r="E647">
        <f t="shared" si="22"/>
        <v>1</v>
      </c>
      <c r="F647" t="str">
        <f t="shared" si="21"/>
        <v/>
      </c>
      <c r="G647">
        <f t="shared" si="21"/>
        <v>0.86077949399999998</v>
      </c>
    </row>
    <row r="648" spans="1:7" x14ac:dyDescent="0.2">
      <c r="A648" t="s">
        <v>2</v>
      </c>
      <c r="B648">
        <v>0.2498971542</v>
      </c>
      <c r="C648">
        <v>0</v>
      </c>
      <c r="D648">
        <f t="shared" si="22"/>
        <v>0</v>
      </c>
      <c r="E648" t="str">
        <f t="shared" si="22"/>
        <v/>
      </c>
      <c r="F648">
        <f t="shared" si="21"/>
        <v>0.2498971542</v>
      </c>
      <c r="G648" t="str">
        <f t="shared" si="21"/>
        <v/>
      </c>
    </row>
    <row r="649" spans="1:7" x14ac:dyDescent="0.2">
      <c r="A649" t="s">
        <v>2</v>
      </c>
      <c r="B649">
        <v>0.53497689920000002</v>
      </c>
      <c r="C649">
        <v>1</v>
      </c>
      <c r="D649">
        <f t="shared" si="22"/>
        <v>1</v>
      </c>
      <c r="E649" t="str">
        <f t="shared" si="22"/>
        <v/>
      </c>
      <c r="F649">
        <f t="shared" si="21"/>
        <v>0.53497689920000002</v>
      </c>
      <c r="G649" t="str">
        <f t="shared" si="21"/>
        <v/>
      </c>
    </row>
    <row r="650" spans="1:7" x14ac:dyDescent="0.2">
      <c r="A650" t="s">
        <v>2</v>
      </c>
      <c r="B650">
        <v>0.10921480779999999</v>
      </c>
      <c r="C650">
        <v>0</v>
      </c>
      <c r="D650">
        <f t="shared" si="22"/>
        <v>0</v>
      </c>
      <c r="E650" t="str">
        <f t="shared" si="22"/>
        <v/>
      </c>
      <c r="F650">
        <f t="shared" si="21"/>
        <v>0.10921480779999999</v>
      </c>
      <c r="G650" t="str">
        <f t="shared" si="21"/>
        <v/>
      </c>
    </row>
    <row r="651" spans="1:7" x14ac:dyDescent="0.2">
      <c r="A651" t="s">
        <v>0</v>
      </c>
      <c r="B651">
        <v>0.56121294939999999</v>
      </c>
      <c r="C651">
        <v>1</v>
      </c>
      <c r="D651" t="str">
        <f t="shared" si="22"/>
        <v/>
      </c>
      <c r="E651">
        <f t="shared" si="22"/>
        <v>1</v>
      </c>
      <c r="F651" t="str">
        <f t="shared" si="21"/>
        <v/>
      </c>
      <c r="G651">
        <f t="shared" si="21"/>
        <v>0.56121294939999999</v>
      </c>
    </row>
    <row r="652" spans="1:7" x14ac:dyDescent="0.2">
      <c r="A652" t="s">
        <v>2</v>
      </c>
      <c r="B652">
        <v>0.85727229439999997</v>
      </c>
      <c r="C652">
        <v>1</v>
      </c>
      <c r="D652">
        <f t="shared" si="22"/>
        <v>1</v>
      </c>
      <c r="E652" t="str">
        <f t="shared" si="22"/>
        <v/>
      </c>
      <c r="F652">
        <f t="shared" si="21"/>
        <v>0.85727229439999997</v>
      </c>
      <c r="G652" t="str">
        <f t="shared" si="21"/>
        <v/>
      </c>
    </row>
    <row r="653" spans="1:7" x14ac:dyDescent="0.2">
      <c r="A653" t="s">
        <v>2</v>
      </c>
      <c r="B653">
        <v>0.44054036289999998</v>
      </c>
      <c r="C653">
        <v>0</v>
      </c>
      <c r="D653">
        <f t="shared" si="22"/>
        <v>0</v>
      </c>
      <c r="E653" t="str">
        <f t="shared" si="22"/>
        <v/>
      </c>
      <c r="F653">
        <f t="shared" si="21"/>
        <v>0.44054036289999998</v>
      </c>
      <c r="G653" t="str">
        <f t="shared" si="21"/>
        <v/>
      </c>
    </row>
    <row r="654" spans="1:7" x14ac:dyDescent="0.2">
      <c r="A654" t="s">
        <v>2</v>
      </c>
      <c r="B654">
        <v>0.34002844049999997</v>
      </c>
      <c r="C654">
        <v>0</v>
      </c>
      <c r="D654">
        <f t="shared" si="22"/>
        <v>0</v>
      </c>
      <c r="E654" t="str">
        <f t="shared" si="22"/>
        <v/>
      </c>
      <c r="F654">
        <f t="shared" si="21"/>
        <v>0.34002844049999997</v>
      </c>
      <c r="G654" t="str">
        <f t="shared" si="21"/>
        <v/>
      </c>
    </row>
    <row r="655" spans="1:7" x14ac:dyDescent="0.2">
      <c r="A655" t="s">
        <v>0</v>
      </c>
      <c r="B655">
        <v>0.50030330550000002</v>
      </c>
      <c r="C655">
        <v>1</v>
      </c>
      <c r="D655" t="str">
        <f t="shared" si="22"/>
        <v/>
      </c>
      <c r="E655">
        <f t="shared" si="22"/>
        <v>1</v>
      </c>
      <c r="F655" t="str">
        <f t="shared" si="21"/>
        <v/>
      </c>
      <c r="G655">
        <f t="shared" si="21"/>
        <v>0.50030330550000002</v>
      </c>
    </row>
    <row r="656" spans="1:7" x14ac:dyDescent="0.2">
      <c r="A656" t="s">
        <v>0</v>
      </c>
      <c r="B656">
        <v>0.48528071119999999</v>
      </c>
      <c r="C656">
        <v>0</v>
      </c>
      <c r="D656" t="str">
        <f t="shared" si="22"/>
        <v/>
      </c>
      <c r="E656">
        <f t="shared" si="22"/>
        <v>0</v>
      </c>
      <c r="F656" t="str">
        <f t="shared" si="21"/>
        <v/>
      </c>
      <c r="G656">
        <f t="shared" si="21"/>
        <v>0.48528071119999999</v>
      </c>
    </row>
    <row r="657" spans="1:7" x14ac:dyDescent="0.2">
      <c r="A657" t="s">
        <v>2</v>
      </c>
      <c r="B657">
        <v>0.68923782030000003</v>
      </c>
      <c r="C657">
        <v>0</v>
      </c>
      <c r="D657">
        <f t="shared" si="22"/>
        <v>0</v>
      </c>
      <c r="E657" t="str">
        <f t="shared" si="22"/>
        <v/>
      </c>
      <c r="F657">
        <f t="shared" si="21"/>
        <v>0.68923782030000003</v>
      </c>
      <c r="G657" t="str">
        <f t="shared" si="21"/>
        <v/>
      </c>
    </row>
    <row r="658" spans="1:7" x14ac:dyDescent="0.2">
      <c r="A658" t="s">
        <v>2</v>
      </c>
      <c r="B658">
        <v>0.1624576358</v>
      </c>
      <c r="C658">
        <v>0</v>
      </c>
      <c r="D658">
        <f t="shared" si="22"/>
        <v>0</v>
      </c>
      <c r="E658" t="str">
        <f t="shared" si="22"/>
        <v/>
      </c>
      <c r="F658">
        <f t="shared" si="21"/>
        <v>0.1624576358</v>
      </c>
      <c r="G658" t="str">
        <f t="shared" si="21"/>
        <v/>
      </c>
    </row>
    <row r="659" spans="1:7" x14ac:dyDescent="0.2">
      <c r="A659" t="s">
        <v>2</v>
      </c>
      <c r="B659">
        <v>0.17719515590000001</v>
      </c>
      <c r="C659">
        <v>0</v>
      </c>
      <c r="D659">
        <f t="shared" si="22"/>
        <v>0</v>
      </c>
      <c r="E659" t="str">
        <f t="shared" si="22"/>
        <v/>
      </c>
      <c r="F659">
        <f t="shared" si="21"/>
        <v>0.17719515590000001</v>
      </c>
      <c r="G659" t="str">
        <f t="shared" si="21"/>
        <v/>
      </c>
    </row>
    <row r="660" spans="1:7" x14ac:dyDescent="0.2">
      <c r="A660" t="s">
        <v>0</v>
      </c>
      <c r="B660">
        <v>0.100047355</v>
      </c>
      <c r="C660">
        <v>0</v>
      </c>
      <c r="D660" t="str">
        <f t="shared" si="22"/>
        <v/>
      </c>
      <c r="E660">
        <f t="shared" si="22"/>
        <v>0</v>
      </c>
      <c r="F660" t="str">
        <f t="shared" si="21"/>
        <v/>
      </c>
      <c r="G660">
        <f t="shared" si="21"/>
        <v>0.100047355</v>
      </c>
    </row>
    <row r="661" spans="1:7" x14ac:dyDescent="0.2">
      <c r="A661" t="s">
        <v>0</v>
      </c>
      <c r="B661">
        <v>0.51744111469999998</v>
      </c>
      <c r="C661">
        <v>1</v>
      </c>
      <c r="D661" t="str">
        <f t="shared" si="22"/>
        <v/>
      </c>
      <c r="E661">
        <f t="shared" si="22"/>
        <v>1</v>
      </c>
      <c r="F661" t="str">
        <f t="shared" si="21"/>
        <v/>
      </c>
      <c r="G661">
        <f t="shared" si="21"/>
        <v>0.51744111469999998</v>
      </c>
    </row>
    <row r="662" spans="1:7" x14ac:dyDescent="0.2">
      <c r="A662" t="s">
        <v>2</v>
      </c>
      <c r="B662">
        <v>0.732408846</v>
      </c>
      <c r="C662">
        <v>0</v>
      </c>
      <c r="D662">
        <f t="shared" si="22"/>
        <v>0</v>
      </c>
      <c r="E662" t="str">
        <f t="shared" si="22"/>
        <v/>
      </c>
      <c r="F662">
        <f t="shared" si="21"/>
        <v>0.732408846</v>
      </c>
      <c r="G662" t="str">
        <f t="shared" si="21"/>
        <v/>
      </c>
    </row>
    <row r="663" spans="1:7" x14ac:dyDescent="0.2">
      <c r="A663" t="s">
        <v>2</v>
      </c>
      <c r="B663">
        <v>0.2054951958</v>
      </c>
      <c r="C663">
        <v>0</v>
      </c>
      <c r="D663">
        <f t="shared" si="22"/>
        <v>0</v>
      </c>
      <c r="E663" t="str">
        <f t="shared" si="22"/>
        <v/>
      </c>
      <c r="F663">
        <f t="shared" si="21"/>
        <v>0.2054951958</v>
      </c>
      <c r="G663" t="str">
        <f t="shared" si="21"/>
        <v/>
      </c>
    </row>
    <row r="664" spans="1:7" x14ac:dyDescent="0.2">
      <c r="A664" t="s">
        <v>2</v>
      </c>
      <c r="B664">
        <v>0.17463886640000001</v>
      </c>
      <c r="C664">
        <v>0</v>
      </c>
      <c r="D664">
        <f t="shared" si="22"/>
        <v>0</v>
      </c>
      <c r="E664" t="str">
        <f t="shared" si="22"/>
        <v/>
      </c>
      <c r="F664">
        <f t="shared" si="21"/>
        <v>0.17463886640000001</v>
      </c>
      <c r="G664" t="str">
        <f t="shared" si="21"/>
        <v/>
      </c>
    </row>
    <row r="665" spans="1:7" x14ac:dyDescent="0.2">
      <c r="A665" t="s">
        <v>0</v>
      </c>
      <c r="B665">
        <v>0.20108796079999999</v>
      </c>
      <c r="C665">
        <v>0</v>
      </c>
      <c r="D665" t="str">
        <f t="shared" si="22"/>
        <v/>
      </c>
      <c r="E665">
        <f t="shared" si="22"/>
        <v>0</v>
      </c>
      <c r="F665" t="str">
        <f t="shared" si="21"/>
        <v/>
      </c>
      <c r="G665">
        <f t="shared" si="21"/>
        <v>0.20108796079999999</v>
      </c>
    </row>
    <row r="666" spans="1:7" x14ac:dyDescent="0.2">
      <c r="A666" t="s">
        <v>0</v>
      </c>
      <c r="B666">
        <v>0.45169092179999998</v>
      </c>
      <c r="C666">
        <v>0</v>
      </c>
      <c r="D666" t="str">
        <f t="shared" si="22"/>
        <v/>
      </c>
      <c r="E666">
        <f t="shared" si="22"/>
        <v>0</v>
      </c>
      <c r="F666" t="str">
        <f t="shared" si="21"/>
        <v/>
      </c>
      <c r="G666">
        <f t="shared" si="21"/>
        <v>0.45169092179999998</v>
      </c>
    </row>
    <row r="667" spans="1:7" x14ac:dyDescent="0.2">
      <c r="A667" t="s">
        <v>0</v>
      </c>
      <c r="B667">
        <v>0.16383812640000001</v>
      </c>
      <c r="C667">
        <v>0</v>
      </c>
      <c r="D667" t="str">
        <f t="shared" si="22"/>
        <v/>
      </c>
      <c r="E667">
        <f t="shared" si="22"/>
        <v>0</v>
      </c>
      <c r="F667" t="str">
        <f t="shared" si="21"/>
        <v/>
      </c>
      <c r="G667">
        <f t="shared" si="21"/>
        <v>0.16383812640000001</v>
      </c>
    </row>
    <row r="668" spans="1:7" x14ac:dyDescent="0.2">
      <c r="A668" t="s">
        <v>0</v>
      </c>
      <c r="B668">
        <v>0.40935679949999998</v>
      </c>
      <c r="C668">
        <v>0</v>
      </c>
      <c r="D668" t="str">
        <f t="shared" si="22"/>
        <v/>
      </c>
      <c r="E668">
        <f t="shared" si="22"/>
        <v>0</v>
      </c>
      <c r="F668" t="str">
        <f t="shared" si="21"/>
        <v/>
      </c>
      <c r="G668">
        <f t="shared" si="21"/>
        <v>0.40935679949999998</v>
      </c>
    </row>
    <row r="669" spans="1:7" x14ac:dyDescent="0.2">
      <c r="A669" t="s">
        <v>0</v>
      </c>
      <c r="B669">
        <v>9.1748096700000004E-2</v>
      </c>
      <c r="C669">
        <v>0</v>
      </c>
      <c r="D669" t="str">
        <f t="shared" si="22"/>
        <v/>
      </c>
      <c r="E669">
        <f t="shared" si="22"/>
        <v>0</v>
      </c>
      <c r="F669" t="str">
        <f t="shared" si="21"/>
        <v/>
      </c>
      <c r="G669">
        <f t="shared" si="21"/>
        <v>9.1748096700000004E-2</v>
      </c>
    </row>
    <row r="670" spans="1:7" x14ac:dyDescent="0.2">
      <c r="A670" t="s">
        <v>0</v>
      </c>
      <c r="B670">
        <v>0.56938732820000004</v>
      </c>
      <c r="C670">
        <v>0</v>
      </c>
      <c r="D670" t="str">
        <f t="shared" si="22"/>
        <v/>
      </c>
      <c r="E670">
        <f t="shared" si="22"/>
        <v>0</v>
      </c>
      <c r="F670" t="str">
        <f t="shared" si="21"/>
        <v/>
      </c>
      <c r="G670">
        <f t="shared" si="21"/>
        <v>0.56938732820000004</v>
      </c>
    </row>
    <row r="671" spans="1:7" x14ac:dyDescent="0.2">
      <c r="A671" t="s">
        <v>0</v>
      </c>
      <c r="B671">
        <v>0.35509242060000001</v>
      </c>
      <c r="C671">
        <v>0</v>
      </c>
      <c r="D671" t="str">
        <f t="shared" si="22"/>
        <v/>
      </c>
      <c r="E671">
        <f t="shared" si="22"/>
        <v>0</v>
      </c>
      <c r="F671" t="str">
        <f t="shared" si="21"/>
        <v/>
      </c>
      <c r="G671">
        <f t="shared" si="21"/>
        <v>0.35509242060000001</v>
      </c>
    </row>
    <row r="672" spans="1:7" x14ac:dyDescent="0.2">
      <c r="A672" t="s">
        <v>0</v>
      </c>
      <c r="B672">
        <v>0.36564640510000002</v>
      </c>
      <c r="C672">
        <v>1</v>
      </c>
      <c r="D672" t="str">
        <f t="shared" si="22"/>
        <v/>
      </c>
      <c r="E672">
        <f t="shared" si="22"/>
        <v>1</v>
      </c>
      <c r="F672" t="str">
        <f t="shared" si="21"/>
        <v/>
      </c>
      <c r="G672">
        <f t="shared" si="21"/>
        <v>0.36564640510000002</v>
      </c>
    </row>
    <row r="673" spans="1:7" x14ac:dyDescent="0.2">
      <c r="A673" t="s">
        <v>0</v>
      </c>
      <c r="B673">
        <v>0.70122615749999995</v>
      </c>
      <c r="C673">
        <v>1</v>
      </c>
      <c r="D673" t="str">
        <f t="shared" si="22"/>
        <v/>
      </c>
      <c r="E673">
        <f t="shared" si="22"/>
        <v>1</v>
      </c>
      <c r="F673" t="str">
        <f t="shared" si="21"/>
        <v/>
      </c>
      <c r="G673">
        <f t="shared" si="21"/>
        <v>0.70122615749999995</v>
      </c>
    </row>
    <row r="674" spans="1:7" x14ac:dyDescent="0.2">
      <c r="A674" t="s">
        <v>0</v>
      </c>
      <c r="B674">
        <v>0.43873625360000001</v>
      </c>
      <c r="C674">
        <v>1</v>
      </c>
      <c r="D674" t="str">
        <f t="shared" si="22"/>
        <v/>
      </c>
      <c r="E674">
        <f t="shared" si="22"/>
        <v>1</v>
      </c>
      <c r="F674" t="str">
        <f t="shared" si="21"/>
        <v/>
      </c>
      <c r="G674">
        <f t="shared" si="21"/>
        <v>0.43873625360000001</v>
      </c>
    </row>
    <row r="675" spans="1:7" x14ac:dyDescent="0.2">
      <c r="A675" t="s">
        <v>2</v>
      </c>
      <c r="B675">
        <v>0.3979129871</v>
      </c>
      <c r="C675">
        <v>1</v>
      </c>
      <c r="D675">
        <f t="shared" si="22"/>
        <v>1</v>
      </c>
      <c r="E675" t="str">
        <f t="shared" si="22"/>
        <v/>
      </c>
      <c r="F675">
        <f t="shared" si="21"/>
        <v>0.3979129871</v>
      </c>
      <c r="G675" t="str">
        <f t="shared" si="21"/>
        <v/>
      </c>
    </row>
    <row r="676" spans="1:7" x14ac:dyDescent="0.2">
      <c r="A676" t="s">
        <v>0</v>
      </c>
      <c r="B676">
        <v>0.54381980819999998</v>
      </c>
      <c r="C676">
        <v>1</v>
      </c>
      <c r="D676" t="str">
        <f t="shared" si="22"/>
        <v/>
      </c>
      <c r="E676">
        <f t="shared" si="22"/>
        <v>1</v>
      </c>
      <c r="F676" t="str">
        <f t="shared" si="21"/>
        <v/>
      </c>
      <c r="G676">
        <f t="shared" si="21"/>
        <v>0.54381980819999998</v>
      </c>
    </row>
    <row r="677" spans="1:7" x14ac:dyDescent="0.2">
      <c r="A677" t="s">
        <v>2</v>
      </c>
      <c r="B677">
        <v>0.3626382708</v>
      </c>
      <c r="C677">
        <v>0</v>
      </c>
      <c r="D677">
        <f t="shared" si="22"/>
        <v>0</v>
      </c>
      <c r="E677" t="str">
        <f t="shared" si="22"/>
        <v/>
      </c>
      <c r="F677">
        <f t="shared" si="21"/>
        <v>0.3626382708</v>
      </c>
      <c r="G677" t="str">
        <f t="shared" si="21"/>
        <v/>
      </c>
    </row>
    <row r="678" spans="1:7" x14ac:dyDescent="0.2">
      <c r="A678" t="s">
        <v>0</v>
      </c>
      <c r="B678">
        <v>0.1564293732</v>
      </c>
      <c r="C678">
        <v>0</v>
      </c>
      <c r="D678" t="str">
        <f t="shared" si="22"/>
        <v/>
      </c>
      <c r="E678">
        <f t="shared" si="22"/>
        <v>0</v>
      </c>
      <c r="F678" t="str">
        <f t="shared" si="21"/>
        <v/>
      </c>
      <c r="G678">
        <f t="shared" si="21"/>
        <v>0.1564293732</v>
      </c>
    </row>
    <row r="679" spans="1:7" x14ac:dyDescent="0.2">
      <c r="A679" t="s">
        <v>2</v>
      </c>
      <c r="B679">
        <v>0.64462150220000003</v>
      </c>
      <c r="C679">
        <v>1</v>
      </c>
      <c r="D679">
        <f t="shared" si="22"/>
        <v>1</v>
      </c>
      <c r="E679" t="str">
        <f t="shared" si="22"/>
        <v/>
      </c>
      <c r="F679">
        <f t="shared" si="21"/>
        <v>0.64462150220000003</v>
      </c>
      <c r="G679" t="str">
        <f t="shared" si="21"/>
        <v/>
      </c>
    </row>
    <row r="680" spans="1:7" x14ac:dyDescent="0.2">
      <c r="A680" t="s">
        <v>2</v>
      </c>
      <c r="B680">
        <v>0.1817504321</v>
      </c>
      <c r="C680">
        <v>0</v>
      </c>
      <c r="D680">
        <f t="shared" si="22"/>
        <v>0</v>
      </c>
      <c r="E680" t="str">
        <f t="shared" si="22"/>
        <v/>
      </c>
      <c r="F680">
        <f t="shared" si="21"/>
        <v>0.1817504321</v>
      </c>
      <c r="G680" t="str">
        <f t="shared" si="21"/>
        <v/>
      </c>
    </row>
    <row r="681" spans="1:7" x14ac:dyDescent="0.2">
      <c r="A681" t="s">
        <v>2</v>
      </c>
      <c r="B681">
        <v>0.18524517030000001</v>
      </c>
      <c r="C681">
        <v>0</v>
      </c>
      <c r="D681">
        <f t="shared" si="22"/>
        <v>0</v>
      </c>
      <c r="E681" t="str">
        <f t="shared" si="22"/>
        <v/>
      </c>
      <c r="F681">
        <f t="shared" si="21"/>
        <v>0.18524517030000001</v>
      </c>
      <c r="G681" t="str">
        <f t="shared" si="21"/>
        <v/>
      </c>
    </row>
    <row r="682" spans="1:7" x14ac:dyDescent="0.2">
      <c r="A682" t="s">
        <v>0</v>
      </c>
      <c r="B682">
        <v>0.50560908449999997</v>
      </c>
      <c r="C682">
        <v>0</v>
      </c>
      <c r="D682" t="str">
        <f t="shared" si="22"/>
        <v/>
      </c>
      <c r="E682">
        <f t="shared" si="22"/>
        <v>0</v>
      </c>
      <c r="F682" t="str">
        <f t="shared" si="21"/>
        <v/>
      </c>
      <c r="G682">
        <f t="shared" si="21"/>
        <v>0.50560908449999997</v>
      </c>
    </row>
    <row r="683" spans="1:7" x14ac:dyDescent="0.2">
      <c r="A683" t="s">
        <v>0</v>
      </c>
      <c r="B683">
        <v>0.77159685229999997</v>
      </c>
      <c r="C683">
        <v>1</v>
      </c>
      <c r="D683" t="str">
        <f t="shared" si="22"/>
        <v/>
      </c>
      <c r="E683">
        <f t="shared" si="22"/>
        <v>1</v>
      </c>
      <c r="F683" t="str">
        <f t="shared" si="21"/>
        <v/>
      </c>
      <c r="G683">
        <f t="shared" si="21"/>
        <v>0.77159685229999997</v>
      </c>
    </row>
    <row r="684" spans="1:7" x14ac:dyDescent="0.2">
      <c r="A684" t="s">
        <v>2</v>
      </c>
      <c r="B684">
        <v>0.41787204709999998</v>
      </c>
      <c r="C684">
        <v>0</v>
      </c>
      <c r="D684">
        <f t="shared" si="22"/>
        <v>0</v>
      </c>
      <c r="E684" t="str">
        <f t="shared" si="22"/>
        <v/>
      </c>
      <c r="F684">
        <f t="shared" si="21"/>
        <v>0.41787204709999998</v>
      </c>
      <c r="G684" t="str">
        <f t="shared" si="21"/>
        <v/>
      </c>
    </row>
    <row r="685" spans="1:7" x14ac:dyDescent="0.2">
      <c r="A685" t="s">
        <v>2</v>
      </c>
      <c r="B685">
        <v>0.75295947990000001</v>
      </c>
      <c r="C685">
        <v>0</v>
      </c>
      <c r="D685">
        <f t="shared" si="22"/>
        <v>0</v>
      </c>
      <c r="E685" t="str">
        <f t="shared" si="22"/>
        <v/>
      </c>
      <c r="F685">
        <f t="shared" si="21"/>
        <v>0.75295947990000001</v>
      </c>
      <c r="G685" t="str">
        <f t="shared" si="21"/>
        <v/>
      </c>
    </row>
    <row r="686" spans="1:7" x14ac:dyDescent="0.2">
      <c r="A686" t="s">
        <v>0</v>
      </c>
      <c r="B686">
        <v>0.51636329319999996</v>
      </c>
      <c r="C686">
        <v>1</v>
      </c>
      <c r="D686" t="str">
        <f t="shared" si="22"/>
        <v/>
      </c>
      <c r="E686">
        <f t="shared" si="22"/>
        <v>1</v>
      </c>
      <c r="F686" t="str">
        <f t="shared" si="21"/>
        <v/>
      </c>
      <c r="G686">
        <f t="shared" si="21"/>
        <v>0.51636329319999996</v>
      </c>
    </row>
    <row r="687" spans="1:7" x14ac:dyDescent="0.2">
      <c r="A687" t="s">
        <v>2</v>
      </c>
      <c r="B687">
        <v>0.20194515560000001</v>
      </c>
      <c r="C687">
        <v>1</v>
      </c>
      <c r="D687">
        <f t="shared" si="22"/>
        <v>1</v>
      </c>
      <c r="E687" t="str">
        <f t="shared" si="22"/>
        <v/>
      </c>
      <c r="F687">
        <f t="shared" si="21"/>
        <v>0.20194515560000001</v>
      </c>
      <c r="G687" t="str">
        <f t="shared" si="21"/>
        <v/>
      </c>
    </row>
    <row r="688" spans="1:7" x14ac:dyDescent="0.2">
      <c r="A688" t="s">
        <v>2</v>
      </c>
      <c r="B688">
        <v>0.77014110309999995</v>
      </c>
      <c r="C688">
        <v>1</v>
      </c>
      <c r="D688">
        <f t="shared" si="22"/>
        <v>1</v>
      </c>
      <c r="E688" t="str">
        <f t="shared" si="22"/>
        <v/>
      </c>
      <c r="F688">
        <f t="shared" si="21"/>
        <v>0.77014110309999995</v>
      </c>
      <c r="G688" t="str">
        <f t="shared" si="21"/>
        <v/>
      </c>
    </row>
    <row r="689" spans="1:7" x14ac:dyDescent="0.2">
      <c r="A689" t="s">
        <v>2</v>
      </c>
      <c r="B689">
        <v>0.239131553</v>
      </c>
      <c r="C689">
        <v>0</v>
      </c>
      <c r="D689">
        <f t="shared" si="22"/>
        <v>0</v>
      </c>
      <c r="E689" t="str">
        <f t="shared" si="22"/>
        <v/>
      </c>
      <c r="F689">
        <f t="shared" si="21"/>
        <v>0.239131553</v>
      </c>
      <c r="G689" t="str">
        <f t="shared" si="21"/>
        <v/>
      </c>
    </row>
    <row r="690" spans="1:7" x14ac:dyDescent="0.2">
      <c r="A690" t="s">
        <v>2</v>
      </c>
      <c r="B690">
        <v>0.1114451004</v>
      </c>
      <c r="C690">
        <v>0</v>
      </c>
      <c r="D690">
        <f t="shared" si="22"/>
        <v>0</v>
      </c>
      <c r="E690" t="str">
        <f t="shared" si="22"/>
        <v/>
      </c>
      <c r="F690">
        <f t="shared" si="21"/>
        <v>0.1114451004</v>
      </c>
      <c r="G690" t="str">
        <f t="shared" si="21"/>
        <v/>
      </c>
    </row>
    <row r="691" spans="1:7" x14ac:dyDescent="0.2">
      <c r="A691" t="s">
        <v>2</v>
      </c>
      <c r="B691">
        <v>0.44480287619999997</v>
      </c>
      <c r="C691">
        <v>0</v>
      </c>
      <c r="D691">
        <f t="shared" si="22"/>
        <v>0</v>
      </c>
      <c r="E691" t="str">
        <f t="shared" si="22"/>
        <v/>
      </c>
      <c r="F691">
        <f t="shared" si="21"/>
        <v>0.44480287619999997</v>
      </c>
      <c r="G691" t="str">
        <f t="shared" si="21"/>
        <v/>
      </c>
    </row>
    <row r="692" spans="1:7" x14ac:dyDescent="0.2">
      <c r="A692" t="s">
        <v>0</v>
      </c>
      <c r="B692">
        <v>9.2822218299999995E-2</v>
      </c>
      <c r="C692">
        <v>0</v>
      </c>
      <c r="D692" t="str">
        <f t="shared" si="22"/>
        <v/>
      </c>
      <c r="E692">
        <f t="shared" si="22"/>
        <v>0</v>
      </c>
      <c r="F692" t="str">
        <f t="shared" si="21"/>
        <v/>
      </c>
      <c r="G692">
        <f t="shared" si="21"/>
        <v>9.2822218299999995E-2</v>
      </c>
    </row>
    <row r="693" spans="1:7" x14ac:dyDescent="0.2">
      <c r="A693" t="s">
        <v>2</v>
      </c>
      <c r="B693">
        <v>0.62191728430000004</v>
      </c>
      <c r="C693">
        <v>0</v>
      </c>
      <c r="D693">
        <f t="shared" si="22"/>
        <v>0</v>
      </c>
      <c r="E693" t="str">
        <f t="shared" si="22"/>
        <v/>
      </c>
      <c r="F693">
        <f t="shared" si="21"/>
        <v>0.62191728430000004</v>
      </c>
      <c r="G693" t="str">
        <f t="shared" si="21"/>
        <v/>
      </c>
    </row>
    <row r="694" spans="1:7" x14ac:dyDescent="0.2">
      <c r="A694" t="s">
        <v>2</v>
      </c>
      <c r="B694">
        <v>0.17892953440000001</v>
      </c>
      <c r="C694">
        <v>0</v>
      </c>
      <c r="D694">
        <f t="shared" si="22"/>
        <v>0</v>
      </c>
      <c r="E694" t="str">
        <f t="shared" si="22"/>
        <v/>
      </c>
      <c r="F694">
        <f t="shared" si="21"/>
        <v>0.17892953440000001</v>
      </c>
      <c r="G694" t="str">
        <f t="shared" si="21"/>
        <v/>
      </c>
    </row>
    <row r="695" spans="1:7" x14ac:dyDescent="0.2">
      <c r="A695" t="s">
        <v>2</v>
      </c>
      <c r="B695">
        <v>0.3679886986</v>
      </c>
      <c r="C695">
        <v>0</v>
      </c>
      <c r="D695">
        <f t="shared" si="22"/>
        <v>0</v>
      </c>
      <c r="E695" t="str">
        <f t="shared" si="22"/>
        <v/>
      </c>
      <c r="F695">
        <f t="shared" si="21"/>
        <v>0.3679886986</v>
      </c>
      <c r="G695" t="str">
        <f t="shared" si="21"/>
        <v/>
      </c>
    </row>
    <row r="696" spans="1:7" x14ac:dyDescent="0.2">
      <c r="A696" t="s">
        <v>0</v>
      </c>
      <c r="B696">
        <v>0.51719379850000002</v>
      </c>
      <c r="C696">
        <v>1</v>
      </c>
      <c r="D696" t="str">
        <f t="shared" si="22"/>
        <v/>
      </c>
      <c r="E696">
        <f t="shared" si="22"/>
        <v>1</v>
      </c>
      <c r="F696" t="str">
        <f t="shared" si="21"/>
        <v/>
      </c>
      <c r="G696">
        <f t="shared" si="21"/>
        <v>0.51719379850000002</v>
      </c>
    </row>
    <row r="697" spans="1:7" x14ac:dyDescent="0.2">
      <c r="A697" t="s">
        <v>2</v>
      </c>
      <c r="B697">
        <v>0.55054814819999998</v>
      </c>
      <c r="C697">
        <v>0</v>
      </c>
      <c r="D697">
        <f t="shared" si="22"/>
        <v>0</v>
      </c>
      <c r="E697" t="str">
        <f t="shared" si="22"/>
        <v/>
      </c>
      <c r="F697">
        <f t="shared" si="21"/>
        <v>0.55054814819999998</v>
      </c>
      <c r="G697" t="str">
        <f t="shared" si="21"/>
        <v/>
      </c>
    </row>
    <row r="698" spans="1:7" x14ac:dyDescent="0.2">
      <c r="A698" t="s">
        <v>2</v>
      </c>
      <c r="B698">
        <v>0.46832567670000003</v>
      </c>
      <c r="C698">
        <v>0</v>
      </c>
      <c r="D698">
        <f t="shared" si="22"/>
        <v>0</v>
      </c>
      <c r="E698" t="str">
        <f t="shared" si="22"/>
        <v/>
      </c>
      <c r="F698">
        <f t="shared" si="21"/>
        <v>0.46832567670000003</v>
      </c>
      <c r="G698" t="str">
        <f t="shared" si="21"/>
        <v/>
      </c>
    </row>
    <row r="699" spans="1:7" x14ac:dyDescent="0.2">
      <c r="A699" t="s">
        <v>2</v>
      </c>
      <c r="B699">
        <v>0.66078433660000002</v>
      </c>
      <c r="C699">
        <v>1</v>
      </c>
      <c r="D699">
        <f t="shared" si="22"/>
        <v>1</v>
      </c>
      <c r="E699" t="str">
        <f t="shared" si="22"/>
        <v/>
      </c>
      <c r="F699">
        <f t="shared" si="21"/>
        <v>0.66078433660000002</v>
      </c>
      <c r="G699" t="str">
        <f t="shared" si="21"/>
        <v/>
      </c>
    </row>
    <row r="700" spans="1:7" x14ac:dyDescent="0.2">
      <c r="A700" t="s">
        <v>2</v>
      </c>
      <c r="B700">
        <v>0.2239605382</v>
      </c>
      <c r="C700">
        <v>1</v>
      </c>
      <c r="D700">
        <f t="shared" si="22"/>
        <v>1</v>
      </c>
      <c r="E700" t="str">
        <f t="shared" si="22"/>
        <v/>
      </c>
      <c r="F700">
        <f t="shared" si="21"/>
        <v>0.2239605382</v>
      </c>
      <c r="G700" t="str">
        <f t="shared" si="21"/>
        <v/>
      </c>
    </row>
    <row r="701" spans="1:7" x14ac:dyDescent="0.2">
      <c r="A701" t="s">
        <v>2</v>
      </c>
      <c r="B701">
        <v>0.22281316649999999</v>
      </c>
      <c r="C701">
        <v>0</v>
      </c>
      <c r="D701">
        <f t="shared" si="22"/>
        <v>0</v>
      </c>
      <c r="E701" t="str">
        <f t="shared" si="22"/>
        <v/>
      </c>
      <c r="F701">
        <f t="shared" si="21"/>
        <v>0.22281316649999999</v>
      </c>
      <c r="G701" t="str">
        <f t="shared" si="21"/>
        <v/>
      </c>
    </row>
    <row r="702" spans="1:7" x14ac:dyDescent="0.2">
      <c r="A702" t="s">
        <v>2</v>
      </c>
      <c r="B702">
        <v>0.14488361729999999</v>
      </c>
      <c r="C702">
        <v>0</v>
      </c>
      <c r="D702">
        <f t="shared" si="22"/>
        <v>0</v>
      </c>
      <c r="E702" t="str">
        <f t="shared" si="22"/>
        <v/>
      </c>
      <c r="F702">
        <f t="shared" si="21"/>
        <v>0.14488361729999999</v>
      </c>
      <c r="G702" t="str">
        <f t="shared" si="21"/>
        <v/>
      </c>
    </row>
    <row r="703" spans="1:7" x14ac:dyDescent="0.2">
      <c r="A703" t="s">
        <v>2</v>
      </c>
      <c r="B703">
        <v>0.57100278380000002</v>
      </c>
      <c r="C703">
        <v>0</v>
      </c>
      <c r="D703">
        <f t="shared" si="22"/>
        <v>0</v>
      </c>
      <c r="E703" t="str">
        <f t="shared" si="22"/>
        <v/>
      </c>
      <c r="F703">
        <f t="shared" si="21"/>
        <v>0.57100278380000002</v>
      </c>
      <c r="G703" t="str">
        <f t="shared" si="21"/>
        <v/>
      </c>
    </row>
    <row r="704" spans="1:7" x14ac:dyDescent="0.2">
      <c r="A704" t="s">
        <v>2</v>
      </c>
      <c r="B704">
        <v>0.13831994210000001</v>
      </c>
      <c r="C704">
        <v>0</v>
      </c>
      <c r="D704">
        <f t="shared" si="22"/>
        <v>0</v>
      </c>
      <c r="E704" t="str">
        <f t="shared" si="22"/>
        <v/>
      </c>
      <c r="F704">
        <f t="shared" si="21"/>
        <v>0.13831994210000001</v>
      </c>
      <c r="G704" t="str">
        <f t="shared" si="21"/>
        <v/>
      </c>
    </row>
    <row r="705" spans="1:7" x14ac:dyDescent="0.2">
      <c r="A705" t="s">
        <v>2</v>
      </c>
      <c r="B705">
        <v>0.2241125437</v>
      </c>
      <c r="C705">
        <v>0</v>
      </c>
      <c r="D705">
        <f t="shared" si="22"/>
        <v>0</v>
      </c>
      <c r="E705" t="str">
        <f t="shared" si="22"/>
        <v/>
      </c>
      <c r="F705">
        <f t="shared" si="21"/>
        <v>0.2241125437</v>
      </c>
      <c r="G705" t="str">
        <f t="shared" si="21"/>
        <v/>
      </c>
    </row>
    <row r="706" spans="1:7" x14ac:dyDescent="0.2">
      <c r="A706" t="s">
        <v>0</v>
      </c>
      <c r="B706">
        <v>0.35013204060000003</v>
      </c>
      <c r="C706">
        <v>1</v>
      </c>
      <c r="D706" t="str">
        <f t="shared" si="22"/>
        <v/>
      </c>
      <c r="E706">
        <f t="shared" si="22"/>
        <v>1</v>
      </c>
      <c r="F706" t="str">
        <f t="shared" si="21"/>
        <v/>
      </c>
      <c r="G706">
        <f t="shared" si="21"/>
        <v>0.35013204060000003</v>
      </c>
    </row>
    <row r="707" spans="1:7" x14ac:dyDescent="0.2">
      <c r="A707" t="s">
        <v>2</v>
      </c>
      <c r="B707">
        <v>0.55305834939999998</v>
      </c>
      <c r="C707">
        <v>0</v>
      </c>
      <c r="D707">
        <f t="shared" si="22"/>
        <v>0</v>
      </c>
      <c r="E707" t="str">
        <f t="shared" si="22"/>
        <v/>
      </c>
      <c r="F707">
        <f t="shared" ref="F707:G770" si="23">IF($A707=F$1,$B707,"")</f>
        <v>0.55305834939999998</v>
      </c>
      <c r="G707" t="str">
        <f t="shared" si="23"/>
        <v/>
      </c>
    </row>
    <row r="708" spans="1:7" x14ac:dyDescent="0.2">
      <c r="A708" t="s">
        <v>2</v>
      </c>
      <c r="B708">
        <v>0.39791148570000001</v>
      </c>
      <c r="C708">
        <v>0</v>
      </c>
      <c r="D708">
        <f t="shared" si="22"/>
        <v>0</v>
      </c>
      <c r="E708" t="str">
        <f t="shared" si="22"/>
        <v/>
      </c>
      <c r="F708">
        <f t="shared" si="23"/>
        <v>0.39791148570000001</v>
      </c>
      <c r="G708" t="str">
        <f t="shared" si="23"/>
        <v/>
      </c>
    </row>
    <row r="709" spans="1:7" x14ac:dyDescent="0.2">
      <c r="A709" t="s">
        <v>2</v>
      </c>
      <c r="B709">
        <v>0.25667691329999998</v>
      </c>
      <c r="C709">
        <v>0</v>
      </c>
      <c r="D709">
        <f t="shared" ref="D709:E772" si="24">IF($A709=D$1,$C709,"")</f>
        <v>0</v>
      </c>
      <c r="E709" t="str">
        <f t="shared" si="24"/>
        <v/>
      </c>
      <c r="F709">
        <f t="shared" si="23"/>
        <v>0.25667691329999998</v>
      </c>
      <c r="G709" t="str">
        <f t="shared" si="23"/>
        <v/>
      </c>
    </row>
    <row r="710" spans="1:7" x14ac:dyDescent="0.2">
      <c r="A710" t="s">
        <v>2</v>
      </c>
      <c r="B710">
        <v>0.13712402809999999</v>
      </c>
      <c r="C710">
        <v>1</v>
      </c>
      <c r="D710">
        <f t="shared" si="24"/>
        <v>1</v>
      </c>
      <c r="E710" t="str">
        <f t="shared" si="24"/>
        <v/>
      </c>
      <c r="F710">
        <f t="shared" si="23"/>
        <v>0.13712402809999999</v>
      </c>
      <c r="G710" t="str">
        <f t="shared" si="23"/>
        <v/>
      </c>
    </row>
    <row r="711" spans="1:7" x14ac:dyDescent="0.2">
      <c r="A711" t="s">
        <v>0</v>
      </c>
      <c r="B711">
        <v>0.46220684909999998</v>
      </c>
      <c r="C711">
        <v>0</v>
      </c>
      <c r="D711" t="str">
        <f t="shared" si="24"/>
        <v/>
      </c>
      <c r="E711">
        <f t="shared" si="24"/>
        <v>0</v>
      </c>
      <c r="F711" t="str">
        <f t="shared" si="23"/>
        <v/>
      </c>
      <c r="G711">
        <f t="shared" si="23"/>
        <v>0.46220684909999998</v>
      </c>
    </row>
    <row r="712" spans="1:7" x14ac:dyDescent="0.2">
      <c r="A712" t="s">
        <v>0</v>
      </c>
      <c r="B712">
        <v>0.49808526479999998</v>
      </c>
      <c r="C712">
        <v>1</v>
      </c>
      <c r="D712" t="str">
        <f t="shared" si="24"/>
        <v/>
      </c>
      <c r="E712">
        <f t="shared" si="24"/>
        <v>1</v>
      </c>
      <c r="F712" t="str">
        <f t="shared" si="23"/>
        <v/>
      </c>
      <c r="G712">
        <f t="shared" si="23"/>
        <v>0.49808526479999998</v>
      </c>
    </row>
    <row r="713" spans="1:7" x14ac:dyDescent="0.2">
      <c r="A713" t="s">
        <v>2</v>
      </c>
      <c r="B713">
        <v>0.52821758990000001</v>
      </c>
      <c r="C713">
        <v>1</v>
      </c>
      <c r="D713">
        <f t="shared" si="24"/>
        <v>1</v>
      </c>
      <c r="E713" t="str">
        <f t="shared" si="24"/>
        <v/>
      </c>
      <c r="F713">
        <f t="shared" si="23"/>
        <v>0.52821758990000001</v>
      </c>
      <c r="G713" t="str">
        <f t="shared" si="23"/>
        <v/>
      </c>
    </row>
    <row r="714" spans="1:7" x14ac:dyDescent="0.2">
      <c r="A714" t="s">
        <v>2</v>
      </c>
      <c r="B714">
        <v>0.39161395640000002</v>
      </c>
      <c r="C714">
        <v>1</v>
      </c>
      <c r="D714">
        <f t="shared" si="24"/>
        <v>1</v>
      </c>
      <c r="E714" t="str">
        <f t="shared" si="24"/>
        <v/>
      </c>
      <c r="F714">
        <f t="shared" si="23"/>
        <v>0.39161395640000002</v>
      </c>
      <c r="G714" t="str">
        <f t="shared" si="23"/>
        <v/>
      </c>
    </row>
    <row r="715" spans="1:7" x14ac:dyDescent="0.2">
      <c r="A715" t="s">
        <v>2</v>
      </c>
      <c r="B715">
        <v>0.3725709089</v>
      </c>
      <c r="C715">
        <v>0</v>
      </c>
      <c r="D715">
        <f t="shared" si="24"/>
        <v>0</v>
      </c>
      <c r="E715" t="str">
        <f t="shared" si="24"/>
        <v/>
      </c>
      <c r="F715">
        <f t="shared" si="23"/>
        <v>0.3725709089</v>
      </c>
      <c r="G715" t="str">
        <f t="shared" si="23"/>
        <v/>
      </c>
    </row>
    <row r="716" spans="1:7" x14ac:dyDescent="0.2">
      <c r="A716" t="s">
        <v>2</v>
      </c>
      <c r="B716">
        <v>0.464399336</v>
      </c>
      <c r="C716">
        <v>0</v>
      </c>
      <c r="D716">
        <f t="shared" si="24"/>
        <v>0</v>
      </c>
      <c r="E716" t="str">
        <f t="shared" si="24"/>
        <v/>
      </c>
      <c r="F716">
        <f t="shared" si="23"/>
        <v>0.464399336</v>
      </c>
      <c r="G716" t="str">
        <f t="shared" si="23"/>
        <v/>
      </c>
    </row>
    <row r="717" spans="1:7" x14ac:dyDescent="0.2">
      <c r="A717" t="s">
        <v>0</v>
      </c>
      <c r="B717">
        <v>0.426084884</v>
      </c>
      <c r="C717">
        <v>1</v>
      </c>
      <c r="D717" t="str">
        <f t="shared" si="24"/>
        <v/>
      </c>
      <c r="E717">
        <f t="shared" si="24"/>
        <v>1</v>
      </c>
      <c r="F717" t="str">
        <f t="shared" si="23"/>
        <v/>
      </c>
      <c r="G717">
        <f t="shared" si="23"/>
        <v>0.426084884</v>
      </c>
    </row>
    <row r="718" spans="1:7" x14ac:dyDescent="0.2">
      <c r="A718" t="s">
        <v>2</v>
      </c>
      <c r="B718">
        <v>0.26215225739999998</v>
      </c>
      <c r="C718">
        <v>0</v>
      </c>
      <c r="D718">
        <f t="shared" si="24"/>
        <v>0</v>
      </c>
      <c r="E718" t="str">
        <f t="shared" si="24"/>
        <v/>
      </c>
      <c r="F718">
        <f t="shared" si="23"/>
        <v>0.26215225739999998</v>
      </c>
      <c r="G718" t="str">
        <f t="shared" si="23"/>
        <v/>
      </c>
    </row>
    <row r="719" spans="1:7" x14ac:dyDescent="0.2">
      <c r="A719" t="s">
        <v>0</v>
      </c>
      <c r="B719">
        <v>0.36334323880000002</v>
      </c>
      <c r="C719">
        <v>0</v>
      </c>
      <c r="D719" t="str">
        <f t="shared" si="24"/>
        <v/>
      </c>
      <c r="E719">
        <f t="shared" si="24"/>
        <v>0</v>
      </c>
      <c r="F719" t="str">
        <f t="shared" si="23"/>
        <v/>
      </c>
      <c r="G719">
        <f t="shared" si="23"/>
        <v>0.36334323880000002</v>
      </c>
    </row>
    <row r="720" spans="1:7" x14ac:dyDescent="0.2">
      <c r="A720" t="s">
        <v>0</v>
      </c>
      <c r="B720">
        <v>0.16515312700000001</v>
      </c>
      <c r="C720">
        <v>1</v>
      </c>
      <c r="D720" t="str">
        <f t="shared" si="24"/>
        <v/>
      </c>
      <c r="E720">
        <f t="shared" si="24"/>
        <v>1</v>
      </c>
      <c r="F720" t="str">
        <f t="shared" si="23"/>
        <v/>
      </c>
      <c r="G720">
        <f t="shared" si="23"/>
        <v>0.16515312700000001</v>
      </c>
    </row>
    <row r="721" spans="1:7" x14ac:dyDescent="0.2">
      <c r="A721" t="s">
        <v>2</v>
      </c>
      <c r="B721">
        <v>0.48736542199999999</v>
      </c>
      <c r="C721">
        <v>0</v>
      </c>
      <c r="D721">
        <f t="shared" si="24"/>
        <v>0</v>
      </c>
      <c r="E721" t="str">
        <f t="shared" si="24"/>
        <v/>
      </c>
      <c r="F721">
        <f t="shared" si="23"/>
        <v>0.48736542199999999</v>
      </c>
      <c r="G721" t="str">
        <f t="shared" si="23"/>
        <v/>
      </c>
    </row>
    <row r="722" spans="1:7" x14ac:dyDescent="0.2">
      <c r="A722" t="s">
        <v>2</v>
      </c>
      <c r="B722">
        <v>0.7107799293</v>
      </c>
      <c r="C722">
        <v>1</v>
      </c>
      <c r="D722">
        <f t="shared" si="24"/>
        <v>1</v>
      </c>
      <c r="E722" t="str">
        <f t="shared" si="24"/>
        <v/>
      </c>
      <c r="F722">
        <f t="shared" si="23"/>
        <v>0.7107799293</v>
      </c>
      <c r="G722" t="str">
        <f t="shared" si="23"/>
        <v/>
      </c>
    </row>
    <row r="723" spans="1:7" x14ac:dyDescent="0.2">
      <c r="A723" t="s">
        <v>0</v>
      </c>
      <c r="B723">
        <v>0.57945307729999995</v>
      </c>
      <c r="C723">
        <v>1</v>
      </c>
      <c r="D723" t="str">
        <f t="shared" si="24"/>
        <v/>
      </c>
      <c r="E723">
        <f t="shared" si="24"/>
        <v>1</v>
      </c>
      <c r="F723" t="str">
        <f t="shared" si="23"/>
        <v/>
      </c>
      <c r="G723">
        <f t="shared" si="23"/>
        <v>0.57945307729999995</v>
      </c>
    </row>
    <row r="724" spans="1:7" x14ac:dyDescent="0.2">
      <c r="A724" t="s">
        <v>2</v>
      </c>
      <c r="B724">
        <v>0.52091580110000002</v>
      </c>
      <c r="C724">
        <v>1</v>
      </c>
      <c r="D724">
        <f t="shared" si="24"/>
        <v>1</v>
      </c>
      <c r="E724" t="str">
        <f t="shared" si="24"/>
        <v/>
      </c>
      <c r="F724">
        <f t="shared" si="23"/>
        <v>0.52091580110000002</v>
      </c>
      <c r="G724" t="str">
        <f t="shared" si="23"/>
        <v/>
      </c>
    </row>
    <row r="725" spans="1:7" x14ac:dyDescent="0.2">
      <c r="A725" t="s">
        <v>2</v>
      </c>
      <c r="B725">
        <v>0.66880513320000001</v>
      </c>
      <c r="C725">
        <v>0</v>
      </c>
      <c r="D725">
        <f t="shared" si="24"/>
        <v>0</v>
      </c>
      <c r="E725" t="str">
        <f t="shared" si="24"/>
        <v/>
      </c>
      <c r="F725">
        <f t="shared" si="23"/>
        <v>0.66880513320000001</v>
      </c>
      <c r="G725" t="str">
        <f t="shared" si="23"/>
        <v/>
      </c>
    </row>
    <row r="726" spans="1:7" x14ac:dyDescent="0.2">
      <c r="A726" t="s">
        <v>0</v>
      </c>
      <c r="B726">
        <v>0.66392858460000004</v>
      </c>
      <c r="C726">
        <v>1</v>
      </c>
      <c r="D726" t="str">
        <f t="shared" si="24"/>
        <v/>
      </c>
      <c r="E726">
        <f t="shared" si="24"/>
        <v>1</v>
      </c>
      <c r="F726" t="str">
        <f t="shared" si="23"/>
        <v/>
      </c>
      <c r="G726">
        <f t="shared" si="23"/>
        <v>0.66392858460000004</v>
      </c>
    </row>
    <row r="727" spans="1:7" x14ac:dyDescent="0.2">
      <c r="A727" t="s">
        <v>2</v>
      </c>
      <c r="B727">
        <v>0.24041911899999999</v>
      </c>
      <c r="C727">
        <v>0</v>
      </c>
      <c r="D727">
        <f t="shared" si="24"/>
        <v>0</v>
      </c>
      <c r="E727" t="str">
        <f t="shared" si="24"/>
        <v/>
      </c>
      <c r="F727">
        <f t="shared" si="23"/>
        <v>0.24041911899999999</v>
      </c>
      <c r="G727" t="str">
        <f t="shared" si="23"/>
        <v/>
      </c>
    </row>
    <row r="728" spans="1:7" x14ac:dyDescent="0.2">
      <c r="A728" t="s">
        <v>2</v>
      </c>
      <c r="B728">
        <v>0.82424966639999997</v>
      </c>
      <c r="C728">
        <v>1</v>
      </c>
      <c r="D728">
        <f t="shared" si="24"/>
        <v>1</v>
      </c>
      <c r="E728" t="str">
        <f t="shared" si="24"/>
        <v/>
      </c>
      <c r="F728">
        <f t="shared" si="23"/>
        <v>0.82424966639999997</v>
      </c>
      <c r="G728" t="str">
        <f t="shared" si="23"/>
        <v/>
      </c>
    </row>
    <row r="729" spans="1:7" x14ac:dyDescent="0.2">
      <c r="A729" t="s">
        <v>2</v>
      </c>
      <c r="B729">
        <v>0.49146765860000002</v>
      </c>
      <c r="C729">
        <v>1</v>
      </c>
      <c r="D729">
        <f t="shared" si="24"/>
        <v>1</v>
      </c>
      <c r="E729" t="str">
        <f t="shared" si="24"/>
        <v/>
      </c>
      <c r="F729">
        <f t="shared" si="23"/>
        <v>0.49146765860000002</v>
      </c>
      <c r="G729" t="str">
        <f t="shared" si="23"/>
        <v/>
      </c>
    </row>
    <row r="730" spans="1:7" x14ac:dyDescent="0.2">
      <c r="A730" t="s">
        <v>2</v>
      </c>
      <c r="B730">
        <v>0.26106772449999999</v>
      </c>
      <c r="C730">
        <v>0</v>
      </c>
      <c r="D730">
        <f t="shared" si="24"/>
        <v>0</v>
      </c>
      <c r="E730" t="str">
        <f t="shared" si="24"/>
        <v/>
      </c>
      <c r="F730">
        <f t="shared" si="23"/>
        <v>0.26106772449999999</v>
      </c>
      <c r="G730" t="str">
        <f t="shared" si="23"/>
        <v/>
      </c>
    </row>
    <row r="731" spans="1:7" x14ac:dyDescent="0.2">
      <c r="A731" t="s">
        <v>0</v>
      </c>
      <c r="B731">
        <v>0.69639123660000002</v>
      </c>
      <c r="C731">
        <v>0</v>
      </c>
      <c r="D731" t="str">
        <f t="shared" si="24"/>
        <v/>
      </c>
      <c r="E731">
        <f t="shared" si="24"/>
        <v>0</v>
      </c>
      <c r="F731" t="str">
        <f t="shared" si="23"/>
        <v/>
      </c>
      <c r="G731">
        <f t="shared" si="23"/>
        <v>0.69639123660000002</v>
      </c>
    </row>
    <row r="732" spans="1:7" x14ac:dyDescent="0.2">
      <c r="A732" t="s">
        <v>2</v>
      </c>
      <c r="B732">
        <v>0.59955978570000001</v>
      </c>
      <c r="C732">
        <v>0</v>
      </c>
      <c r="D732">
        <f t="shared" si="24"/>
        <v>0</v>
      </c>
      <c r="E732" t="str">
        <f t="shared" si="24"/>
        <v/>
      </c>
      <c r="F732">
        <f t="shared" si="23"/>
        <v>0.59955978570000001</v>
      </c>
      <c r="G732" t="str">
        <f t="shared" si="23"/>
        <v/>
      </c>
    </row>
    <row r="733" spans="1:7" x14ac:dyDescent="0.2">
      <c r="A733" t="s">
        <v>2</v>
      </c>
      <c r="B733">
        <v>0.2944902197</v>
      </c>
      <c r="C733">
        <v>1</v>
      </c>
      <c r="D733">
        <f t="shared" si="24"/>
        <v>1</v>
      </c>
      <c r="E733" t="str">
        <f t="shared" si="24"/>
        <v/>
      </c>
      <c r="F733">
        <f t="shared" si="23"/>
        <v>0.2944902197</v>
      </c>
      <c r="G733" t="str">
        <f t="shared" si="23"/>
        <v/>
      </c>
    </row>
    <row r="734" spans="1:7" x14ac:dyDescent="0.2">
      <c r="A734" t="s">
        <v>2</v>
      </c>
      <c r="B734">
        <v>0.65727897260000001</v>
      </c>
      <c r="C734">
        <v>1</v>
      </c>
      <c r="D734">
        <f t="shared" si="24"/>
        <v>1</v>
      </c>
      <c r="E734" t="str">
        <f t="shared" si="24"/>
        <v/>
      </c>
      <c r="F734">
        <f t="shared" si="23"/>
        <v>0.65727897260000001</v>
      </c>
      <c r="G734" t="str">
        <f t="shared" si="23"/>
        <v/>
      </c>
    </row>
    <row r="735" spans="1:7" x14ac:dyDescent="0.2">
      <c r="A735" t="s">
        <v>2</v>
      </c>
      <c r="B735">
        <v>0.1016743574</v>
      </c>
      <c r="C735">
        <v>0</v>
      </c>
      <c r="D735">
        <f t="shared" si="24"/>
        <v>0</v>
      </c>
      <c r="E735" t="str">
        <f t="shared" si="24"/>
        <v/>
      </c>
      <c r="F735">
        <f t="shared" si="23"/>
        <v>0.1016743574</v>
      </c>
      <c r="G735" t="str">
        <f t="shared" si="23"/>
        <v/>
      </c>
    </row>
    <row r="736" spans="1:7" x14ac:dyDescent="0.2">
      <c r="A736" t="s">
        <v>0</v>
      </c>
      <c r="B736">
        <v>0.76108787190000005</v>
      </c>
      <c r="C736">
        <v>1</v>
      </c>
      <c r="D736" t="str">
        <f t="shared" si="24"/>
        <v/>
      </c>
      <c r="E736">
        <f t="shared" si="24"/>
        <v>1</v>
      </c>
      <c r="F736" t="str">
        <f t="shared" si="23"/>
        <v/>
      </c>
      <c r="G736">
        <f t="shared" si="23"/>
        <v>0.76108787190000005</v>
      </c>
    </row>
    <row r="737" spans="1:7" x14ac:dyDescent="0.2">
      <c r="A737" t="s">
        <v>0</v>
      </c>
      <c r="B737">
        <v>0.28238620650000001</v>
      </c>
      <c r="C737">
        <v>1</v>
      </c>
      <c r="D737" t="str">
        <f t="shared" si="24"/>
        <v/>
      </c>
      <c r="E737">
        <f t="shared" si="24"/>
        <v>1</v>
      </c>
      <c r="F737" t="str">
        <f t="shared" si="23"/>
        <v/>
      </c>
      <c r="G737">
        <f t="shared" si="23"/>
        <v>0.28238620650000001</v>
      </c>
    </row>
    <row r="738" spans="1:7" x14ac:dyDescent="0.2">
      <c r="A738" t="s">
        <v>2</v>
      </c>
      <c r="B738">
        <v>0.61600794039999995</v>
      </c>
      <c r="C738">
        <v>1</v>
      </c>
      <c r="D738">
        <f t="shared" si="24"/>
        <v>1</v>
      </c>
      <c r="E738" t="str">
        <f t="shared" si="24"/>
        <v/>
      </c>
      <c r="F738">
        <f t="shared" si="23"/>
        <v>0.61600794039999995</v>
      </c>
      <c r="G738" t="str">
        <f t="shared" si="23"/>
        <v/>
      </c>
    </row>
    <row r="739" spans="1:7" x14ac:dyDescent="0.2">
      <c r="A739" t="s">
        <v>0</v>
      </c>
      <c r="B739">
        <v>0.43529139529999999</v>
      </c>
      <c r="C739">
        <v>0</v>
      </c>
      <c r="D739" t="str">
        <f t="shared" si="24"/>
        <v/>
      </c>
      <c r="E739">
        <f t="shared" si="24"/>
        <v>0</v>
      </c>
      <c r="F739" t="str">
        <f t="shared" si="23"/>
        <v/>
      </c>
      <c r="G739">
        <f t="shared" si="23"/>
        <v>0.43529139529999999</v>
      </c>
    </row>
    <row r="740" spans="1:7" x14ac:dyDescent="0.2">
      <c r="A740" t="s">
        <v>2</v>
      </c>
      <c r="B740">
        <v>0.58649227559999995</v>
      </c>
      <c r="C740">
        <v>1</v>
      </c>
      <c r="D740">
        <f t="shared" si="24"/>
        <v>1</v>
      </c>
      <c r="E740" t="str">
        <f t="shared" si="24"/>
        <v/>
      </c>
      <c r="F740">
        <f t="shared" si="23"/>
        <v>0.58649227559999995</v>
      </c>
      <c r="G740" t="str">
        <f t="shared" si="23"/>
        <v/>
      </c>
    </row>
    <row r="741" spans="1:7" x14ac:dyDescent="0.2">
      <c r="A741" t="s">
        <v>2</v>
      </c>
      <c r="B741">
        <v>0.27628339439999999</v>
      </c>
      <c r="C741">
        <v>1</v>
      </c>
      <c r="D741">
        <f t="shared" si="24"/>
        <v>1</v>
      </c>
      <c r="E741" t="str">
        <f t="shared" si="24"/>
        <v/>
      </c>
      <c r="F741">
        <f t="shared" si="23"/>
        <v>0.27628339439999999</v>
      </c>
      <c r="G741" t="str">
        <f t="shared" si="23"/>
        <v/>
      </c>
    </row>
    <row r="742" spans="1:7" x14ac:dyDescent="0.2">
      <c r="A742" t="s">
        <v>2</v>
      </c>
      <c r="B742">
        <v>0.59259485300000003</v>
      </c>
      <c r="C742">
        <v>1</v>
      </c>
      <c r="D742">
        <f t="shared" si="24"/>
        <v>1</v>
      </c>
      <c r="E742" t="str">
        <f t="shared" si="24"/>
        <v/>
      </c>
      <c r="F742">
        <f t="shared" si="23"/>
        <v>0.59259485300000003</v>
      </c>
      <c r="G742" t="str">
        <f t="shared" si="23"/>
        <v/>
      </c>
    </row>
    <row r="743" spans="1:7" x14ac:dyDescent="0.2">
      <c r="A743" t="s">
        <v>2</v>
      </c>
      <c r="B743">
        <v>0.1198973096</v>
      </c>
      <c r="C743">
        <v>0</v>
      </c>
      <c r="D743">
        <f t="shared" si="24"/>
        <v>0</v>
      </c>
      <c r="E743" t="str">
        <f t="shared" si="24"/>
        <v/>
      </c>
      <c r="F743">
        <f t="shared" si="23"/>
        <v>0.1198973096</v>
      </c>
      <c r="G743" t="str">
        <f t="shared" si="23"/>
        <v/>
      </c>
    </row>
    <row r="744" spans="1:7" x14ac:dyDescent="0.2">
      <c r="A744" t="s">
        <v>2</v>
      </c>
      <c r="B744">
        <v>0.49182053710000001</v>
      </c>
      <c r="C744">
        <v>1</v>
      </c>
      <c r="D744">
        <f t="shared" si="24"/>
        <v>1</v>
      </c>
      <c r="E744" t="str">
        <f t="shared" si="24"/>
        <v/>
      </c>
      <c r="F744">
        <f t="shared" si="23"/>
        <v>0.49182053710000001</v>
      </c>
      <c r="G744" t="str">
        <f t="shared" si="23"/>
        <v/>
      </c>
    </row>
    <row r="745" spans="1:7" x14ac:dyDescent="0.2">
      <c r="A745" t="s">
        <v>0</v>
      </c>
      <c r="B745">
        <v>0.74668779679999997</v>
      </c>
      <c r="C745">
        <v>0</v>
      </c>
      <c r="D745" t="str">
        <f t="shared" si="24"/>
        <v/>
      </c>
      <c r="E745">
        <f t="shared" si="24"/>
        <v>0</v>
      </c>
      <c r="F745" t="str">
        <f t="shared" si="23"/>
        <v/>
      </c>
      <c r="G745">
        <f t="shared" si="23"/>
        <v>0.74668779679999997</v>
      </c>
    </row>
    <row r="746" spans="1:7" x14ac:dyDescent="0.2">
      <c r="A746" t="s">
        <v>2</v>
      </c>
      <c r="B746">
        <v>0.57381122220000003</v>
      </c>
      <c r="C746">
        <v>1</v>
      </c>
      <c r="D746">
        <f t="shared" si="24"/>
        <v>1</v>
      </c>
      <c r="E746" t="str">
        <f t="shared" si="24"/>
        <v/>
      </c>
      <c r="F746">
        <f t="shared" si="23"/>
        <v>0.57381122220000003</v>
      </c>
      <c r="G746" t="str">
        <f t="shared" si="23"/>
        <v/>
      </c>
    </row>
    <row r="747" spans="1:7" x14ac:dyDescent="0.2">
      <c r="A747" t="s">
        <v>0</v>
      </c>
      <c r="B747">
        <v>0.2703627998</v>
      </c>
      <c r="C747">
        <v>0</v>
      </c>
      <c r="D747" t="str">
        <f t="shared" si="24"/>
        <v/>
      </c>
      <c r="E747">
        <f t="shared" si="24"/>
        <v>0</v>
      </c>
      <c r="F747" t="str">
        <f t="shared" si="23"/>
        <v/>
      </c>
      <c r="G747">
        <f t="shared" si="23"/>
        <v>0.2703627998</v>
      </c>
    </row>
    <row r="748" spans="1:7" x14ac:dyDescent="0.2">
      <c r="A748" t="s">
        <v>2</v>
      </c>
      <c r="B748">
        <v>0.4530604527</v>
      </c>
      <c r="C748">
        <v>0</v>
      </c>
      <c r="D748">
        <f t="shared" si="24"/>
        <v>0</v>
      </c>
      <c r="E748" t="str">
        <f t="shared" si="24"/>
        <v/>
      </c>
      <c r="F748">
        <f t="shared" si="23"/>
        <v>0.4530604527</v>
      </c>
      <c r="G748" t="str">
        <f t="shared" si="23"/>
        <v/>
      </c>
    </row>
    <row r="749" spans="1:7" x14ac:dyDescent="0.2">
      <c r="A749" t="s">
        <v>0</v>
      </c>
      <c r="B749">
        <v>0.17566093050000001</v>
      </c>
      <c r="C749">
        <v>0</v>
      </c>
      <c r="D749" t="str">
        <f t="shared" si="24"/>
        <v/>
      </c>
      <c r="E749">
        <f t="shared" si="24"/>
        <v>0</v>
      </c>
      <c r="F749" t="str">
        <f t="shared" si="23"/>
        <v/>
      </c>
      <c r="G749">
        <f t="shared" si="23"/>
        <v>0.17566093050000001</v>
      </c>
    </row>
    <row r="750" spans="1:7" x14ac:dyDescent="0.2">
      <c r="A750" t="s">
        <v>0</v>
      </c>
      <c r="B750">
        <v>7.9698010599999994E-2</v>
      </c>
      <c r="C750">
        <v>0</v>
      </c>
      <c r="D750" t="str">
        <f t="shared" si="24"/>
        <v/>
      </c>
      <c r="E750">
        <f t="shared" si="24"/>
        <v>0</v>
      </c>
      <c r="F750" t="str">
        <f t="shared" si="23"/>
        <v/>
      </c>
      <c r="G750">
        <f t="shared" si="23"/>
        <v>7.9698010599999994E-2</v>
      </c>
    </row>
    <row r="751" spans="1:7" x14ac:dyDescent="0.2">
      <c r="A751" t="s">
        <v>2</v>
      </c>
      <c r="B751">
        <v>0.21423014509999999</v>
      </c>
      <c r="C751">
        <v>0</v>
      </c>
      <c r="D751">
        <f t="shared" si="24"/>
        <v>0</v>
      </c>
      <c r="E751" t="str">
        <f t="shared" si="24"/>
        <v/>
      </c>
      <c r="F751">
        <f t="shared" si="23"/>
        <v>0.21423014509999999</v>
      </c>
      <c r="G751" t="str">
        <f t="shared" si="23"/>
        <v/>
      </c>
    </row>
    <row r="752" spans="1:7" x14ac:dyDescent="0.2">
      <c r="A752" t="s">
        <v>2</v>
      </c>
      <c r="B752">
        <v>0.85965835970000004</v>
      </c>
      <c r="C752">
        <v>1</v>
      </c>
      <c r="D752">
        <f t="shared" si="24"/>
        <v>1</v>
      </c>
      <c r="E752" t="str">
        <f t="shared" si="24"/>
        <v/>
      </c>
      <c r="F752">
        <f t="shared" si="23"/>
        <v>0.85965835970000004</v>
      </c>
      <c r="G752" t="str">
        <f t="shared" si="23"/>
        <v/>
      </c>
    </row>
    <row r="753" spans="1:7" x14ac:dyDescent="0.2">
      <c r="A753" t="s">
        <v>0</v>
      </c>
      <c r="B753">
        <v>0.24777103659999999</v>
      </c>
      <c r="C753">
        <v>0</v>
      </c>
      <c r="D753" t="str">
        <f t="shared" si="24"/>
        <v/>
      </c>
      <c r="E753">
        <f t="shared" si="24"/>
        <v>0</v>
      </c>
      <c r="F753" t="str">
        <f t="shared" si="23"/>
        <v/>
      </c>
      <c r="G753">
        <f t="shared" si="23"/>
        <v>0.24777103659999999</v>
      </c>
    </row>
    <row r="754" spans="1:7" x14ac:dyDescent="0.2">
      <c r="A754" t="s">
        <v>2</v>
      </c>
      <c r="B754">
        <v>0.24723053449999999</v>
      </c>
      <c r="C754">
        <v>0</v>
      </c>
      <c r="D754">
        <f t="shared" si="24"/>
        <v>0</v>
      </c>
      <c r="E754" t="str">
        <f t="shared" si="24"/>
        <v/>
      </c>
      <c r="F754">
        <f t="shared" si="23"/>
        <v>0.24723053449999999</v>
      </c>
      <c r="G754" t="str">
        <f t="shared" si="23"/>
        <v/>
      </c>
    </row>
    <row r="755" spans="1:7" x14ac:dyDescent="0.2">
      <c r="A755" t="s">
        <v>2</v>
      </c>
      <c r="B755">
        <v>0.28344885120000002</v>
      </c>
      <c r="C755">
        <v>0</v>
      </c>
      <c r="D755">
        <f t="shared" si="24"/>
        <v>0</v>
      </c>
      <c r="E755" t="str">
        <f t="shared" si="24"/>
        <v/>
      </c>
      <c r="F755">
        <f t="shared" si="23"/>
        <v>0.28344885120000002</v>
      </c>
      <c r="G755" t="str">
        <f t="shared" si="23"/>
        <v/>
      </c>
    </row>
    <row r="756" spans="1:7" x14ac:dyDescent="0.2">
      <c r="A756" t="s">
        <v>2</v>
      </c>
      <c r="B756">
        <v>0.41497361030000002</v>
      </c>
      <c r="C756">
        <v>0</v>
      </c>
      <c r="D756">
        <f t="shared" si="24"/>
        <v>0</v>
      </c>
      <c r="E756" t="str">
        <f t="shared" si="24"/>
        <v/>
      </c>
      <c r="F756">
        <f t="shared" si="23"/>
        <v>0.41497361030000002</v>
      </c>
      <c r="G756" t="str">
        <f t="shared" si="23"/>
        <v/>
      </c>
    </row>
    <row r="757" spans="1:7" x14ac:dyDescent="0.2">
      <c r="A757" t="s">
        <v>2</v>
      </c>
      <c r="B757">
        <v>0.62368562859999999</v>
      </c>
      <c r="C757">
        <v>1</v>
      </c>
      <c r="D757">
        <f t="shared" si="24"/>
        <v>1</v>
      </c>
      <c r="E757" t="str">
        <f t="shared" si="24"/>
        <v/>
      </c>
      <c r="F757">
        <f t="shared" si="23"/>
        <v>0.62368562859999999</v>
      </c>
      <c r="G757" t="str">
        <f t="shared" si="23"/>
        <v/>
      </c>
    </row>
    <row r="758" spans="1:7" x14ac:dyDescent="0.2">
      <c r="A758" t="s">
        <v>0</v>
      </c>
      <c r="B758">
        <v>0.12727740830000001</v>
      </c>
      <c r="C758">
        <v>0</v>
      </c>
      <c r="D758" t="str">
        <f t="shared" si="24"/>
        <v/>
      </c>
      <c r="E758">
        <f t="shared" si="24"/>
        <v>0</v>
      </c>
      <c r="F758" t="str">
        <f t="shared" si="23"/>
        <v/>
      </c>
      <c r="G758">
        <f t="shared" si="23"/>
        <v>0.12727740830000001</v>
      </c>
    </row>
    <row r="759" spans="1:7" x14ac:dyDescent="0.2">
      <c r="A759" t="s">
        <v>2</v>
      </c>
      <c r="B759">
        <v>8.1746698000000007E-2</v>
      </c>
      <c r="C759">
        <v>0</v>
      </c>
      <c r="D759">
        <f t="shared" si="24"/>
        <v>0</v>
      </c>
      <c r="E759" t="str">
        <f t="shared" si="24"/>
        <v/>
      </c>
      <c r="F759">
        <f t="shared" si="23"/>
        <v>8.1746698000000007E-2</v>
      </c>
      <c r="G759" t="str">
        <f t="shared" si="23"/>
        <v/>
      </c>
    </row>
    <row r="760" spans="1:7" x14ac:dyDescent="0.2">
      <c r="A760" t="s">
        <v>2</v>
      </c>
      <c r="B760">
        <v>0.58464977439999999</v>
      </c>
      <c r="C760">
        <v>0</v>
      </c>
      <c r="D760">
        <f t="shared" si="24"/>
        <v>0</v>
      </c>
      <c r="E760" t="str">
        <f t="shared" si="24"/>
        <v/>
      </c>
      <c r="F760">
        <f t="shared" si="23"/>
        <v>0.58464977439999999</v>
      </c>
      <c r="G760" t="str">
        <f t="shared" si="23"/>
        <v/>
      </c>
    </row>
    <row r="761" spans="1:7" x14ac:dyDescent="0.2">
      <c r="A761" t="s">
        <v>2</v>
      </c>
      <c r="B761">
        <v>0.2074596812</v>
      </c>
      <c r="C761">
        <v>0</v>
      </c>
      <c r="D761">
        <f t="shared" si="24"/>
        <v>0</v>
      </c>
      <c r="E761" t="str">
        <f t="shared" si="24"/>
        <v/>
      </c>
      <c r="F761">
        <f t="shared" si="23"/>
        <v>0.2074596812</v>
      </c>
      <c r="G761" t="str">
        <f t="shared" si="23"/>
        <v/>
      </c>
    </row>
    <row r="762" spans="1:7" x14ac:dyDescent="0.2">
      <c r="A762" t="s">
        <v>2</v>
      </c>
      <c r="B762">
        <v>0.5425528489</v>
      </c>
      <c r="C762">
        <v>1</v>
      </c>
      <c r="D762">
        <f t="shared" si="24"/>
        <v>1</v>
      </c>
      <c r="E762" t="str">
        <f t="shared" si="24"/>
        <v/>
      </c>
      <c r="F762">
        <f t="shared" si="23"/>
        <v>0.5425528489</v>
      </c>
      <c r="G762" t="str">
        <f t="shared" si="23"/>
        <v/>
      </c>
    </row>
    <row r="763" spans="1:7" x14ac:dyDescent="0.2">
      <c r="A763" t="s">
        <v>2</v>
      </c>
      <c r="B763">
        <v>0.14343702729999999</v>
      </c>
      <c r="C763">
        <v>0</v>
      </c>
      <c r="D763">
        <f t="shared" si="24"/>
        <v>0</v>
      </c>
      <c r="E763" t="str">
        <f t="shared" si="24"/>
        <v/>
      </c>
      <c r="F763">
        <f t="shared" si="23"/>
        <v>0.14343702729999999</v>
      </c>
      <c r="G763" t="str">
        <f t="shared" si="23"/>
        <v/>
      </c>
    </row>
    <row r="764" spans="1:7" x14ac:dyDescent="0.2">
      <c r="A764" t="s">
        <v>2</v>
      </c>
      <c r="B764">
        <v>0.45394726790000001</v>
      </c>
      <c r="C764">
        <v>0</v>
      </c>
      <c r="D764">
        <f t="shared" si="24"/>
        <v>0</v>
      </c>
      <c r="E764" t="str">
        <f t="shared" si="24"/>
        <v/>
      </c>
      <c r="F764">
        <f t="shared" si="23"/>
        <v>0.45394726790000001</v>
      </c>
      <c r="G764" t="str">
        <f t="shared" si="23"/>
        <v/>
      </c>
    </row>
    <row r="765" spans="1:7" x14ac:dyDescent="0.2">
      <c r="A765" t="s">
        <v>2</v>
      </c>
      <c r="B765">
        <v>0.1801009959</v>
      </c>
      <c r="C765">
        <v>0</v>
      </c>
      <c r="D765">
        <f t="shared" si="24"/>
        <v>0</v>
      </c>
      <c r="E765" t="str">
        <f t="shared" si="24"/>
        <v/>
      </c>
      <c r="F765">
        <f t="shared" si="23"/>
        <v>0.1801009959</v>
      </c>
      <c r="G765" t="str">
        <f t="shared" si="23"/>
        <v/>
      </c>
    </row>
    <row r="766" spans="1:7" x14ac:dyDescent="0.2">
      <c r="A766" t="s">
        <v>2</v>
      </c>
      <c r="B766">
        <v>0.40459456799999999</v>
      </c>
      <c r="C766">
        <v>1</v>
      </c>
      <c r="D766">
        <f t="shared" si="24"/>
        <v>1</v>
      </c>
      <c r="E766" t="str">
        <f t="shared" si="24"/>
        <v/>
      </c>
      <c r="F766">
        <f t="shared" si="23"/>
        <v>0.40459456799999999</v>
      </c>
      <c r="G766" t="str">
        <f t="shared" si="23"/>
        <v/>
      </c>
    </row>
    <row r="767" spans="1:7" x14ac:dyDescent="0.2">
      <c r="A767" t="s">
        <v>2</v>
      </c>
      <c r="B767">
        <v>0.88949238720000001</v>
      </c>
      <c r="C767">
        <v>0</v>
      </c>
      <c r="D767">
        <f t="shared" si="24"/>
        <v>0</v>
      </c>
      <c r="E767" t="str">
        <f t="shared" si="24"/>
        <v/>
      </c>
      <c r="F767">
        <f t="shared" si="23"/>
        <v>0.88949238720000001</v>
      </c>
      <c r="G767" t="str">
        <f t="shared" si="23"/>
        <v/>
      </c>
    </row>
    <row r="768" spans="1:7" x14ac:dyDescent="0.2">
      <c r="A768" t="s">
        <v>2</v>
      </c>
      <c r="B768">
        <v>0.4260930288</v>
      </c>
      <c r="C768">
        <v>0</v>
      </c>
      <c r="D768">
        <f t="shared" si="24"/>
        <v>0</v>
      </c>
      <c r="E768" t="str">
        <f t="shared" si="24"/>
        <v/>
      </c>
      <c r="F768">
        <f t="shared" si="23"/>
        <v>0.4260930288</v>
      </c>
      <c r="G768" t="str">
        <f t="shared" si="23"/>
        <v/>
      </c>
    </row>
    <row r="769" spans="1:7" x14ac:dyDescent="0.2">
      <c r="A769" t="s">
        <v>0</v>
      </c>
      <c r="B769">
        <v>0.3548103473</v>
      </c>
      <c r="C769">
        <v>0</v>
      </c>
      <c r="D769" t="str">
        <f t="shared" si="24"/>
        <v/>
      </c>
      <c r="E769">
        <f t="shared" si="24"/>
        <v>0</v>
      </c>
      <c r="F769" t="str">
        <f t="shared" si="23"/>
        <v/>
      </c>
      <c r="G769">
        <f t="shared" si="23"/>
        <v>0.3548103473</v>
      </c>
    </row>
    <row r="770" spans="1:7" x14ac:dyDescent="0.2">
      <c r="A770" t="s">
        <v>0</v>
      </c>
      <c r="B770">
        <v>0.87721272620000001</v>
      </c>
      <c r="C770">
        <v>1</v>
      </c>
      <c r="D770" t="str">
        <f t="shared" si="24"/>
        <v/>
      </c>
      <c r="E770">
        <f t="shared" si="24"/>
        <v>1</v>
      </c>
      <c r="F770" t="str">
        <f t="shared" si="23"/>
        <v/>
      </c>
      <c r="G770">
        <f t="shared" si="23"/>
        <v>0.87721272620000001</v>
      </c>
    </row>
    <row r="771" spans="1:7" x14ac:dyDescent="0.2">
      <c r="A771" t="s">
        <v>0</v>
      </c>
      <c r="B771">
        <v>0.35013204060000003</v>
      </c>
      <c r="C771">
        <v>1</v>
      </c>
      <c r="D771" t="str">
        <f t="shared" si="24"/>
        <v/>
      </c>
      <c r="E771">
        <f t="shared" si="24"/>
        <v>1</v>
      </c>
      <c r="F771" t="str">
        <f t="shared" ref="F771:G834" si="25">IF($A771=F$1,$B771,"")</f>
        <v/>
      </c>
      <c r="G771">
        <f t="shared" si="25"/>
        <v>0.35013204060000003</v>
      </c>
    </row>
    <row r="772" spans="1:7" x14ac:dyDescent="0.2">
      <c r="A772" t="s">
        <v>2</v>
      </c>
      <c r="B772">
        <v>0.15000760560000001</v>
      </c>
      <c r="C772">
        <v>0</v>
      </c>
      <c r="D772">
        <f t="shared" si="24"/>
        <v>0</v>
      </c>
      <c r="E772" t="str">
        <f t="shared" si="24"/>
        <v/>
      </c>
      <c r="F772">
        <f t="shared" si="25"/>
        <v>0.15000760560000001</v>
      </c>
      <c r="G772" t="str">
        <f t="shared" si="25"/>
        <v/>
      </c>
    </row>
    <row r="773" spans="1:7" x14ac:dyDescent="0.2">
      <c r="A773" t="s">
        <v>2</v>
      </c>
      <c r="B773">
        <v>0.36765517180000001</v>
      </c>
      <c r="C773">
        <v>1</v>
      </c>
      <c r="D773">
        <f t="shared" ref="D773:E836" si="26">IF($A773=D$1,$C773,"")</f>
        <v>1</v>
      </c>
      <c r="E773" t="str">
        <f t="shared" si="26"/>
        <v/>
      </c>
      <c r="F773">
        <f t="shared" si="25"/>
        <v>0.36765517180000001</v>
      </c>
      <c r="G773" t="str">
        <f t="shared" si="25"/>
        <v/>
      </c>
    </row>
    <row r="774" spans="1:7" x14ac:dyDescent="0.2">
      <c r="A774" t="s">
        <v>0</v>
      </c>
      <c r="B774">
        <v>0.64993972320000004</v>
      </c>
      <c r="C774">
        <v>0</v>
      </c>
      <c r="D774" t="str">
        <f t="shared" si="26"/>
        <v/>
      </c>
      <c r="E774">
        <f t="shared" si="26"/>
        <v>0</v>
      </c>
      <c r="F774" t="str">
        <f t="shared" si="25"/>
        <v/>
      </c>
      <c r="G774">
        <f t="shared" si="25"/>
        <v>0.64993972320000004</v>
      </c>
    </row>
    <row r="775" spans="1:7" x14ac:dyDescent="0.2">
      <c r="A775" t="s">
        <v>2</v>
      </c>
      <c r="B775">
        <v>0.2248408382</v>
      </c>
      <c r="C775">
        <v>0</v>
      </c>
      <c r="D775">
        <f t="shared" si="26"/>
        <v>0</v>
      </c>
      <c r="E775" t="str">
        <f t="shared" si="26"/>
        <v/>
      </c>
      <c r="F775">
        <f t="shared" si="25"/>
        <v>0.2248408382</v>
      </c>
      <c r="G775" t="str">
        <f t="shared" si="25"/>
        <v/>
      </c>
    </row>
    <row r="776" spans="1:7" x14ac:dyDescent="0.2">
      <c r="A776" t="s">
        <v>2</v>
      </c>
      <c r="B776">
        <v>0.22157163220000001</v>
      </c>
      <c r="C776">
        <v>0</v>
      </c>
      <c r="D776">
        <f t="shared" si="26"/>
        <v>0</v>
      </c>
      <c r="E776" t="str">
        <f t="shared" si="26"/>
        <v/>
      </c>
      <c r="F776">
        <f t="shared" si="25"/>
        <v>0.22157163220000001</v>
      </c>
      <c r="G776" t="str">
        <f t="shared" si="25"/>
        <v/>
      </c>
    </row>
    <row r="777" spans="1:7" x14ac:dyDescent="0.2">
      <c r="A777" t="s">
        <v>2</v>
      </c>
      <c r="B777">
        <v>0.30055656489999999</v>
      </c>
      <c r="C777">
        <v>0</v>
      </c>
      <c r="D777">
        <f t="shared" si="26"/>
        <v>0</v>
      </c>
      <c r="E777" t="str">
        <f t="shared" si="26"/>
        <v/>
      </c>
      <c r="F777">
        <f t="shared" si="25"/>
        <v>0.30055656489999999</v>
      </c>
      <c r="G777" t="str">
        <f t="shared" si="25"/>
        <v/>
      </c>
    </row>
    <row r="778" spans="1:7" x14ac:dyDescent="0.2">
      <c r="A778" t="s">
        <v>2</v>
      </c>
      <c r="B778">
        <v>0.67730055170000003</v>
      </c>
      <c r="C778">
        <v>1</v>
      </c>
      <c r="D778">
        <f t="shared" si="26"/>
        <v>1</v>
      </c>
      <c r="E778" t="str">
        <f t="shared" si="26"/>
        <v/>
      </c>
      <c r="F778">
        <f t="shared" si="25"/>
        <v>0.67730055170000003</v>
      </c>
      <c r="G778" t="str">
        <f t="shared" si="25"/>
        <v/>
      </c>
    </row>
    <row r="779" spans="1:7" x14ac:dyDescent="0.2">
      <c r="A779" t="s">
        <v>2</v>
      </c>
      <c r="B779">
        <v>0.62573378099999999</v>
      </c>
      <c r="C779">
        <v>0</v>
      </c>
      <c r="D779">
        <f t="shared" si="26"/>
        <v>0</v>
      </c>
      <c r="E779" t="str">
        <f t="shared" si="26"/>
        <v/>
      </c>
      <c r="F779">
        <f t="shared" si="25"/>
        <v>0.62573378099999999</v>
      </c>
      <c r="G779" t="str">
        <f t="shared" si="25"/>
        <v/>
      </c>
    </row>
    <row r="780" spans="1:7" x14ac:dyDescent="0.2">
      <c r="A780" t="s">
        <v>2</v>
      </c>
      <c r="B780">
        <v>0.4665217881</v>
      </c>
      <c r="C780">
        <v>0</v>
      </c>
      <c r="D780">
        <f t="shared" si="26"/>
        <v>0</v>
      </c>
      <c r="E780" t="str">
        <f t="shared" si="26"/>
        <v/>
      </c>
      <c r="F780">
        <f t="shared" si="25"/>
        <v>0.4665217881</v>
      </c>
      <c r="G780" t="str">
        <f t="shared" si="25"/>
        <v/>
      </c>
    </row>
    <row r="781" spans="1:7" x14ac:dyDescent="0.2">
      <c r="A781" t="s">
        <v>2</v>
      </c>
      <c r="B781">
        <v>0.5752137678</v>
      </c>
      <c r="C781">
        <v>0</v>
      </c>
      <c r="D781">
        <f t="shared" si="26"/>
        <v>0</v>
      </c>
      <c r="E781" t="str">
        <f t="shared" si="26"/>
        <v/>
      </c>
      <c r="F781">
        <f t="shared" si="25"/>
        <v>0.5752137678</v>
      </c>
      <c r="G781" t="str">
        <f t="shared" si="25"/>
        <v/>
      </c>
    </row>
    <row r="782" spans="1:7" x14ac:dyDescent="0.2">
      <c r="A782" t="s">
        <v>2</v>
      </c>
      <c r="B782">
        <v>0.35935235129999998</v>
      </c>
      <c r="C782">
        <v>0</v>
      </c>
      <c r="D782">
        <f t="shared" si="26"/>
        <v>0</v>
      </c>
      <c r="E782" t="str">
        <f t="shared" si="26"/>
        <v/>
      </c>
      <c r="F782">
        <f t="shared" si="25"/>
        <v>0.35935235129999998</v>
      </c>
      <c r="G782" t="str">
        <f t="shared" si="25"/>
        <v/>
      </c>
    </row>
    <row r="783" spans="1:7" x14ac:dyDescent="0.2">
      <c r="A783" t="s">
        <v>0</v>
      </c>
      <c r="B783">
        <v>0.55100400679999995</v>
      </c>
      <c r="C783">
        <v>0</v>
      </c>
      <c r="D783" t="str">
        <f t="shared" si="26"/>
        <v/>
      </c>
      <c r="E783">
        <f t="shared" si="26"/>
        <v>0</v>
      </c>
      <c r="F783" t="str">
        <f t="shared" si="25"/>
        <v/>
      </c>
      <c r="G783">
        <f t="shared" si="25"/>
        <v>0.55100400679999995</v>
      </c>
    </row>
    <row r="784" spans="1:7" x14ac:dyDescent="0.2">
      <c r="A784" t="s">
        <v>2</v>
      </c>
      <c r="B784">
        <v>0.75290322679999999</v>
      </c>
      <c r="C784">
        <v>1</v>
      </c>
      <c r="D784">
        <f t="shared" si="26"/>
        <v>1</v>
      </c>
      <c r="E784" t="str">
        <f t="shared" si="26"/>
        <v/>
      </c>
      <c r="F784">
        <f t="shared" si="25"/>
        <v>0.75290322679999999</v>
      </c>
      <c r="G784" t="str">
        <f t="shared" si="25"/>
        <v/>
      </c>
    </row>
    <row r="785" spans="1:7" x14ac:dyDescent="0.2">
      <c r="A785" t="s">
        <v>2</v>
      </c>
      <c r="B785">
        <v>8.8598020599999994E-2</v>
      </c>
      <c r="C785">
        <v>0</v>
      </c>
      <c r="D785">
        <f t="shared" si="26"/>
        <v>0</v>
      </c>
      <c r="E785" t="str">
        <f t="shared" si="26"/>
        <v/>
      </c>
      <c r="F785">
        <f t="shared" si="25"/>
        <v>8.8598020599999994E-2</v>
      </c>
      <c r="G785" t="str">
        <f t="shared" si="25"/>
        <v/>
      </c>
    </row>
    <row r="786" spans="1:7" x14ac:dyDescent="0.2">
      <c r="A786" t="s">
        <v>2</v>
      </c>
      <c r="B786">
        <v>0.31799081530000001</v>
      </c>
      <c r="C786">
        <v>0</v>
      </c>
      <c r="D786">
        <f t="shared" si="26"/>
        <v>0</v>
      </c>
      <c r="E786" t="str">
        <f t="shared" si="26"/>
        <v/>
      </c>
      <c r="F786">
        <f t="shared" si="25"/>
        <v>0.31799081530000001</v>
      </c>
      <c r="G786" t="str">
        <f t="shared" si="25"/>
        <v/>
      </c>
    </row>
    <row r="787" spans="1:7" x14ac:dyDescent="0.2">
      <c r="A787" t="s">
        <v>2</v>
      </c>
      <c r="B787">
        <v>0.51591590359999995</v>
      </c>
      <c r="C787">
        <v>0</v>
      </c>
      <c r="D787">
        <f t="shared" si="26"/>
        <v>0</v>
      </c>
      <c r="E787" t="str">
        <f t="shared" si="26"/>
        <v/>
      </c>
      <c r="F787">
        <f t="shared" si="25"/>
        <v>0.51591590359999995</v>
      </c>
      <c r="G787" t="str">
        <f t="shared" si="25"/>
        <v/>
      </c>
    </row>
    <row r="788" spans="1:7" x14ac:dyDescent="0.2">
      <c r="A788" t="s">
        <v>2</v>
      </c>
      <c r="B788">
        <v>0.20011192159999999</v>
      </c>
      <c r="C788">
        <v>0</v>
      </c>
      <c r="D788">
        <f t="shared" si="26"/>
        <v>0</v>
      </c>
      <c r="E788" t="str">
        <f t="shared" si="26"/>
        <v/>
      </c>
      <c r="F788">
        <f t="shared" si="25"/>
        <v>0.20011192159999999</v>
      </c>
      <c r="G788" t="str">
        <f t="shared" si="25"/>
        <v/>
      </c>
    </row>
    <row r="789" spans="1:7" x14ac:dyDescent="0.2">
      <c r="A789" t="s">
        <v>2</v>
      </c>
      <c r="B789">
        <v>0.2014921428</v>
      </c>
      <c r="C789">
        <v>0</v>
      </c>
      <c r="D789">
        <f t="shared" si="26"/>
        <v>0</v>
      </c>
      <c r="E789" t="str">
        <f t="shared" si="26"/>
        <v/>
      </c>
      <c r="F789">
        <f t="shared" si="25"/>
        <v>0.2014921428</v>
      </c>
      <c r="G789" t="str">
        <f t="shared" si="25"/>
        <v/>
      </c>
    </row>
    <row r="790" spans="1:7" x14ac:dyDescent="0.2">
      <c r="A790" t="s">
        <v>2</v>
      </c>
      <c r="B790">
        <v>0.69991790320000002</v>
      </c>
      <c r="C790">
        <v>0</v>
      </c>
      <c r="D790">
        <f t="shared" si="26"/>
        <v>0</v>
      </c>
      <c r="E790" t="str">
        <f t="shared" si="26"/>
        <v/>
      </c>
      <c r="F790">
        <f t="shared" si="25"/>
        <v>0.69991790320000002</v>
      </c>
      <c r="G790" t="str">
        <f t="shared" si="25"/>
        <v/>
      </c>
    </row>
    <row r="791" spans="1:7" x14ac:dyDescent="0.2">
      <c r="A791" t="s">
        <v>2</v>
      </c>
      <c r="B791">
        <v>0.78157502489999997</v>
      </c>
      <c r="C791">
        <v>1</v>
      </c>
      <c r="D791">
        <f t="shared" si="26"/>
        <v>1</v>
      </c>
      <c r="E791" t="str">
        <f t="shared" si="26"/>
        <v/>
      </c>
      <c r="F791">
        <f t="shared" si="25"/>
        <v>0.78157502489999997</v>
      </c>
      <c r="G791" t="str">
        <f t="shared" si="25"/>
        <v/>
      </c>
    </row>
    <row r="792" spans="1:7" x14ac:dyDescent="0.2">
      <c r="A792" t="s">
        <v>2</v>
      </c>
      <c r="B792">
        <v>0.1758213435</v>
      </c>
      <c r="C792">
        <v>0</v>
      </c>
      <c r="D792">
        <f t="shared" si="26"/>
        <v>0</v>
      </c>
      <c r="E792" t="str">
        <f t="shared" si="26"/>
        <v/>
      </c>
      <c r="F792">
        <f t="shared" si="25"/>
        <v>0.1758213435</v>
      </c>
      <c r="G792" t="str">
        <f t="shared" si="25"/>
        <v/>
      </c>
    </row>
    <row r="793" spans="1:7" x14ac:dyDescent="0.2">
      <c r="A793" t="s">
        <v>0</v>
      </c>
      <c r="B793">
        <v>0.59812568570000002</v>
      </c>
      <c r="C793">
        <v>1</v>
      </c>
      <c r="D793" t="str">
        <f t="shared" si="26"/>
        <v/>
      </c>
      <c r="E793">
        <f t="shared" si="26"/>
        <v>1</v>
      </c>
      <c r="F793" t="str">
        <f t="shared" si="25"/>
        <v/>
      </c>
      <c r="G793">
        <f t="shared" si="25"/>
        <v>0.59812568570000002</v>
      </c>
    </row>
    <row r="794" spans="1:7" x14ac:dyDescent="0.2">
      <c r="A794" t="s">
        <v>2</v>
      </c>
      <c r="B794">
        <v>0.69312136010000003</v>
      </c>
      <c r="C794">
        <v>1</v>
      </c>
      <c r="D794">
        <f t="shared" si="26"/>
        <v>1</v>
      </c>
      <c r="E794" t="str">
        <f t="shared" si="26"/>
        <v/>
      </c>
      <c r="F794">
        <f t="shared" si="25"/>
        <v>0.69312136010000003</v>
      </c>
      <c r="G794" t="str">
        <f t="shared" si="25"/>
        <v/>
      </c>
    </row>
    <row r="795" spans="1:7" x14ac:dyDescent="0.2">
      <c r="A795" t="s">
        <v>0</v>
      </c>
      <c r="B795">
        <v>0.51477042090000003</v>
      </c>
      <c r="C795">
        <v>1</v>
      </c>
      <c r="D795" t="str">
        <f t="shared" si="26"/>
        <v/>
      </c>
      <c r="E795">
        <f t="shared" si="26"/>
        <v>1</v>
      </c>
      <c r="F795" t="str">
        <f t="shared" si="25"/>
        <v/>
      </c>
      <c r="G795">
        <f t="shared" si="25"/>
        <v>0.51477042090000003</v>
      </c>
    </row>
    <row r="796" spans="1:7" x14ac:dyDescent="0.2">
      <c r="A796" t="s">
        <v>2</v>
      </c>
      <c r="B796">
        <v>0.65719977939999996</v>
      </c>
      <c r="C796">
        <v>1</v>
      </c>
      <c r="D796">
        <f t="shared" si="26"/>
        <v>1</v>
      </c>
      <c r="E796" t="str">
        <f t="shared" si="26"/>
        <v/>
      </c>
      <c r="F796">
        <f t="shared" si="25"/>
        <v>0.65719977939999996</v>
      </c>
      <c r="G796" t="str">
        <f t="shared" si="25"/>
        <v/>
      </c>
    </row>
    <row r="797" spans="1:7" x14ac:dyDescent="0.2">
      <c r="A797" t="s">
        <v>2</v>
      </c>
      <c r="B797">
        <v>0.35402817759999999</v>
      </c>
      <c r="C797">
        <v>0</v>
      </c>
      <c r="D797">
        <f t="shared" si="26"/>
        <v>0</v>
      </c>
      <c r="E797" t="str">
        <f t="shared" si="26"/>
        <v/>
      </c>
      <c r="F797">
        <f t="shared" si="25"/>
        <v>0.35402817759999999</v>
      </c>
      <c r="G797" t="str">
        <f t="shared" si="25"/>
        <v/>
      </c>
    </row>
    <row r="798" spans="1:7" x14ac:dyDescent="0.2">
      <c r="A798" t="s">
        <v>2</v>
      </c>
      <c r="B798">
        <v>0.14555622879999999</v>
      </c>
      <c r="C798">
        <v>0</v>
      </c>
      <c r="D798">
        <f t="shared" si="26"/>
        <v>0</v>
      </c>
      <c r="E798" t="str">
        <f t="shared" si="26"/>
        <v/>
      </c>
      <c r="F798">
        <f t="shared" si="25"/>
        <v>0.14555622879999999</v>
      </c>
      <c r="G798" t="str">
        <f t="shared" si="25"/>
        <v/>
      </c>
    </row>
    <row r="799" spans="1:7" x14ac:dyDescent="0.2">
      <c r="A799" t="s">
        <v>0</v>
      </c>
      <c r="B799">
        <v>0.67716444200000003</v>
      </c>
      <c r="C799">
        <v>0</v>
      </c>
      <c r="D799" t="str">
        <f t="shared" si="26"/>
        <v/>
      </c>
      <c r="E799">
        <f t="shared" si="26"/>
        <v>0</v>
      </c>
      <c r="F799" t="str">
        <f t="shared" si="25"/>
        <v/>
      </c>
      <c r="G799">
        <f t="shared" si="25"/>
        <v>0.67716444200000003</v>
      </c>
    </row>
    <row r="800" spans="1:7" x14ac:dyDescent="0.2">
      <c r="A800" t="s">
        <v>2</v>
      </c>
      <c r="B800">
        <v>0.20194515560000001</v>
      </c>
      <c r="C800">
        <v>1</v>
      </c>
      <c r="D800">
        <f t="shared" si="26"/>
        <v>1</v>
      </c>
      <c r="E800" t="str">
        <f t="shared" si="26"/>
        <v/>
      </c>
      <c r="F800">
        <f t="shared" si="25"/>
        <v>0.20194515560000001</v>
      </c>
      <c r="G800" t="str">
        <f t="shared" si="25"/>
        <v/>
      </c>
    </row>
    <row r="801" spans="1:7" x14ac:dyDescent="0.2">
      <c r="A801" t="s">
        <v>2</v>
      </c>
      <c r="B801">
        <v>0.59812568570000002</v>
      </c>
      <c r="C801">
        <v>1</v>
      </c>
      <c r="D801">
        <f t="shared" si="26"/>
        <v>1</v>
      </c>
      <c r="E801" t="str">
        <f t="shared" si="26"/>
        <v/>
      </c>
      <c r="F801">
        <f t="shared" si="25"/>
        <v>0.59812568570000002</v>
      </c>
      <c r="G801" t="str">
        <f t="shared" si="25"/>
        <v/>
      </c>
    </row>
    <row r="802" spans="1:7" x14ac:dyDescent="0.2">
      <c r="A802" t="s">
        <v>0</v>
      </c>
      <c r="B802">
        <v>0.79073334579999999</v>
      </c>
      <c r="C802">
        <v>0</v>
      </c>
      <c r="D802" t="str">
        <f t="shared" si="26"/>
        <v/>
      </c>
      <c r="E802">
        <f t="shared" si="26"/>
        <v>0</v>
      </c>
      <c r="F802" t="str">
        <f t="shared" si="25"/>
        <v/>
      </c>
      <c r="G802">
        <f t="shared" si="25"/>
        <v>0.79073334579999999</v>
      </c>
    </row>
    <row r="803" spans="1:7" x14ac:dyDescent="0.2">
      <c r="A803" t="s">
        <v>2</v>
      </c>
      <c r="B803">
        <v>0.2509227175</v>
      </c>
      <c r="C803">
        <v>0</v>
      </c>
      <c r="D803">
        <f t="shared" si="26"/>
        <v>0</v>
      </c>
      <c r="E803" t="str">
        <f t="shared" si="26"/>
        <v/>
      </c>
      <c r="F803">
        <f t="shared" si="25"/>
        <v>0.2509227175</v>
      </c>
      <c r="G803" t="str">
        <f t="shared" si="25"/>
        <v/>
      </c>
    </row>
    <row r="804" spans="1:7" x14ac:dyDescent="0.2">
      <c r="A804" t="s">
        <v>2</v>
      </c>
      <c r="B804">
        <v>0.5385838328</v>
      </c>
      <c r="C804">
        <v>0</v>
      </c>
      <c r="D804">
        <f t="shared" si="26"/>
        <v>0</v>
      </c>
      <c r="E804" t="str">
        <f t="shared" si="26"/>
        <v/>
      </c>
      <c r="F804">
        <f t="shared" si="25"/>
        <v>0.5385838328</v>
      </c>
      <c r="G804" t="str">
        <f t="shared" si="25"/>
        <v/>
      </c>
    </row>
    <row r="805" spans="1:7" x14ac:dyDescent="0.2">
      <c r="A805" t="s">
        <v>2</v>
      </c>
      <c r="B805">
        <v>0.25590299049999998</v>
      </c>
      <c r="C805">
        <v>0</v>
      </c>
      <c r="D805">
        <f t="shared" si="26"/>
        <v>0</v>
      </c>
      <c r="E805" t="str">
        <f t="shared" si="26"/>
        <v/>
      </c>
      <c r="F805">
        <f t="shared" si="25"/>
        <v>0.25590299049999998</v>
      </c>
      <c r="G805" t="str">
        <f t="shared" si="25"/>
        <v/>
      </c>
    </row>
    <row r="806" spans="1:7" x14ac:dyDescent="0.2">
      <c r="A806" t="s">
        <v>2</v>
      </c>
      <c r="B806">
        <v>0.12621843190000001</v>
      </c>
      <c r="C806">
        <v>0</v>
      </c>
      <c r="D806">
        <f t="shared" si="26"/>
        <v>0</v>
      </c>
      <c r="E806" t="str">
        <f t="shared" si="26"/>
        <v/>
      </c>
      <c r="F806">
        <f t="shared" si="25"/>
        <v>0.12621843190000001</v>
      </c>
      <c r="G806" t="str">
        <f t="shared" si="25"/>
        <v/>
      </c>
    </row>
    <row r="807" spans="1:7" x14ac:dyDescent="0.2">
      <c r="A807" t="s">
        <v>2</v>
      </c>
      <c r="B807">
        <v>9.3083991199999994E-2</v>
      </c>
      <c r="C807">
        <v>0</v>
      </c>
      <c r="D807">
        <f t="shared" si="26"/>
        <v>0</v>
      </c>
      <c r="E807" t="str">
        <f t="shared" si="26"/>
        <v/>
      </c>
      <c r="F807">
        <f t="shared" si="25"/>
        <v>9.3083991199999994E-2</v>
      </c>
      <c r="G807" t="str">
        <f t="shared" si="25"/>
        <v/>
      </c>
    </row>
    <row r="808" spans="1:7" x14ac:dyDescent="0.2">
      <c r="A808" t="s">
        <v>0</v>
      </c>
      <c r="B808">
        <v>0.16179925840000001</v>
      </c>
      <c r="C808">
        <v>0</v>
      </c>
      <c r="D808" t="str">
        <f t="shared" si="26"/>
        <v/>
      </c>
      <c r="E808">
        <f t="shared" si="26"/>
        <v>0</v>
      </c>
      <c r="F808" t="str">
        <f t="shared" si="25"/>
        <v/>
      </c>
      <c r="G808">
        <f t="shared" si="25"/>
        <v>0.16179925840000001</v>
      </c>
    </row>
    <row r="809" spans="1:7" x14ac:dyDescent="0.2">
      <c r="A809" t="s">
        <v>0</v>
      </c>
      <c r="B809">
        <v>0.28473283240000002</v>
      </c>
      <c r="C809">
        <v>0</v>
      </c>
      <c r="D809" t="str">
        <f t="shared" si="26"/>
        <v/>
      </c>
      <c r="E809">
        <f t="shared" si="26"/>
        <v>0</v>
      </c>
      <c r="F809" t="str">
        <f t="shared" si="25"/>
        <v/>
      </c>
      <c r="G809">
        <f t="shared" si="25"/>
        <v>0.28473283240000002</v>
      </c>
    </row>
    <row r="810" spans="1:7" x14ac:dyDescent="0.2">
      <c r="A810" t="s">
        <v>2</v>
      </c>
      <c r="B810">
        <v>0.63815688729999998</v>
      </c>
      <c r="C810">
        <v>1</v>
      </c>
      <c r="D810">
        <f t="shared" si="26"/>
        <v>1</v>
      </c>
      <c r="E810" t="str">
        <f t="shared" si="26"/>
        <v/>
      </c>
      <c r="F810">
        <f t="shared" si="25"/>
        <v>0.63815688729999998</v>
      </c>
      <c r="G810" t="str">
        <f t="shared" si="25"/>
        <v/>
      </c>
    </row>
    <row r="811" spans="1:7" x14ac:dyDescent="0.2">
      <c r="A811" t="s">
        <v>2</v>
      </c>
      <c r="B811">
        <v>0.5846991064</v>
      </c>
      <c r="C811">
        <v>0</v>
      </c>
      <c r="D811">
        <f t="shared" si="26"/>
        <v>0</v>
      </c>
      <c r="E811" t="str">
        <f t="shared" si="26"/>
        <v/>
      </c>
      <c r="F811">
        <f t="shared" si="25"/>
        <v>0.5846991064</v>
      </c>
      <c r="G811" t="str">
        <f t="shared" si="25"/>
        <v/>
      </c>
    </row>
    <row r="812" spans="1:7" x14ac:dyDescent="0.2">
      <c r="A812" t="s">
        <v>0</v>
      </c>
      <c r="B812">
        <v>7.7098098700000006E-2</v>
      </c>
      <c r="C812">
        <v>0</v>
      </c>
      <c r="D812" t="str">
        <f t="shared" si="26"/>
        <v/>
      </c>
      <c r="E812">
        <f t="shared" si="26"/>
        <v>0</v>
      </c>
      <c r="F812" t="str">
        <f t="shared" si="25"/>
        <v/>
      </c>
      <c r="G812">
        <f t="shared" si="25"/>
        <v>7.7098098700000006E-2</v>
      </c>
    </row>
    <row r="813" spans="1:7" x14ac:dyDescent="0.2">
      <c r="A813" t="s">
        <v>2</v>
      </c>
      <c r="B813">
        <v>0.25777650860000001</v>
      </c>
      <c r="C813">
        <v>1</v>
      </c>
      <c r="D813">
        <f t="shared" si="26"/>
        <v>1</v>
      </c>
      <c r="E813" t="str">
        <f t="shared" si="26"/>
        <v/>
      </c>
      <c r="F813">
        <f t="shared" si="25"/>
        <v>0.25777650860000001</v>
      </c>
      <c r="G813" t="str">
        <f t="shared" si="25"/>
        <v/>
      </c>
    </row>
    <row r="814" spans="1:7" x14ac:dyDescent="0.2">
      <c r="A814" t="s">
        <v>2</v>
      </c>
      <c r="B814">
        <v>0.1406520819</v>
      </c>
      <c r="C814">
        <v>1</v>
      </c>
      <c r="D814">
        <f t="shared" si="26"/>
        <v>1</v>
      </c>
      <c r="E814" t="str">
        <f t="shared" si="26"/>
        <v/>
      </c>
      <c r="F814">
        <f t="shared" si="25"/>
        <v>0.1406520819</v>
      </c>
      <c r="G814" t="str">
        <f t="shared" si="25"/>
        <v/>
      </c>
    </row>
    <row r="815" spans="1:7" x14ac:dyDescent="0.2">
      <c r="A815" t="s">
        <v>0</v>
      </c>
      <c r="B815">
        <v>0.15182182120000001</v>
      </c>
      <c r="C815">
        <v>1</v>
      </c>
      <c r="D815" t="str">
        <f t="shared" si="26"/>
        <v/>
      </c>
      <c r="E815">
        <f t="shared" si="26"/>
        <v>1</v>
      </c>
      <c r="F815" t="str">
        <f t="shared" si="25"/>
        <v/>
      </c>
      <c r="G815">
        <f t="shared" si="25"/>
        <v>0.15182182120000001</v>
      </c>
    </row>
    <row r="816" spans="1:7" x14ac:dyDescent="0.2">
      <c r="A816" t="s">
        <v>2</v>
      </c>
      <c r="B816">
        <v>0.31521371349999999</v>
      </c>
      <c r="C816">
        <v>0</v>
      </c>
      <c r="D816">
        <f t="shared" si="26"/>
        <v>0</v>
      </c>
      <c r="E816" t="str">
        <f t="shared" si="26"/>
        <v/>
      </c>
      <c r="F816">
        <f t="shared" si="25"/>
        <v>0.31521371349999999</v>
      </c>
      <c r="G816" t="str">
        <f t="shared" si="25"/>
        <v/>
      </c>
    </row>
    <row r="817" spans="1:7" x14ac:dyDescent="0.2">
      <c r="A817" t="s">
        <v>2</v>
      </c>
      <c r="B817">
        <v>0.46818884459999999</v>
      </c>
      <c r="C817">
        <v>1</v>
      </c>
      <c r="D817">
        <f t="shared" si="26"/>
        <v>1</v>
      </c>
      <c r="E817" t="str">
        <f t="shared" si="26"/>
        <v/>
      </c>
      <c r="F817">
        <f t="shared" si="25"/>
        <v>0.46818884459999999</v>
      </c>
      <c r="G817" t="str">
        <f t="shared" si="25"/>
        <v/>
      </c>
    </row>
    <row r="818" spans="1:7" x14ac:dyDescent="0.2">
      <c r="A818" t="s">
        <v>2</v>
      </c>
      <c r="B818">
        <v>0.45267168169999999</v>
      </c>
      <c r="C818">
        <v>0</v>
      </c>
      <c r="D818">
        <f t="shared" si="26"/>
        <v>0</v>
      </c>
      <c r="E818" t="str">
        <f t="shared" si="26"/>
        <v/>
      </c>
      <c r="F818">
        <f t="shared" si="25"/>
        <v>0.45267168169999999</v>
      </c>
      <c r="G818" t="str">
        <f t="shared" si="25"/>
        <v/>
      </c>
    </row>
    <row r="819" spans="1:7" x14ac:dyDescent="0.2">
      <c r="A819" t="s">
        <v>2</v>
      </c>
      <c r="B819">
        <v>0.55347613529999995</v>
      </c>
      <c r="C819">
        <v>1</v>
      </c>
      <c r="D819">
        <f t="shared" si="26"/>
        <v>1</v>
      </c>
      <c r="E819" t="str">
        <f t="shared" si="26"/>
        <v/>
      </c>
      <c r="F819">
        <f t="shared" si="25"/>
        <v>0.55347613529999995</v>
      </c>
      <c r="G819" t="str">
        <f t="shared" si="25"/>
        <v/>
      </c>
    </row>
    <row r="820" spans="1:7" x14ac:dyDescent="0.2">
      <c r="A820" t="s">
        <v>2</v>
      </c>
      <c r="B820">
        <v>0.60997677279999996</v>
      </c>
      <c r="C820">
        <v>1</v>
      </c>
      <c r="D820">
        <f t="shared" si="26"/>
        <v>1</v>
      </c>
      <c r="E820" t="str">
        <f t="shared" si="26"/>
        <v/>
      </c>
      <c r="F820">
        <f t="shared" si="25"/>
        <v>0.60997677279999996</v>
      </c>
      <c r="G820" t="str">
        <f t="shared" si="25"/>
        <v/>
      </c>
    </row>
    <row r="821" spans="1:7" x14ac:dyDescent="0.2">
      <c r="A821" t="s">
        <v>2</v>
      </c>
      <c r="B821">
        <v>0.1944682989</v>
      </c>
      <c r="C821">
        <v>0</v>
      </c>
      <c r="D821">
        <f t="shared" si="26"/>
        <v>0</v>
      </c>
      <c r="E821" t="str">
        <f t="shared" si="26"/>
        <v/>
      </c>
      <c r="F821">
        <f t="shared" si="25"/>
        <v>0.1944682989</v>
      </c>
      <c r="G821" t="str">
        <f t="shared" si="25"/>
        <v/>
      </c>
    </row>
    <row r="822" spans="1:7" x14ac:dyDescent="0.2">
      <c r="A822" t="s">
        <v>2</v>
      </c>
      <c r="B822">
        <v>0.24806426470000001</v>
      </c>
      <c r="C822">
        <v>0</v>
      </c>
      <c r="D822">
        <f t="shared" si="26"/>
        <v>0</v>
      </c>
      <c r="E822" t="str">
        <f t="shared" si="26"/>
        <v/>
      </c>
      <c r="F822">
        <f t="shared" si="25"/>
        <v>0.24806426470000001</v>
      </c>
      <c r="G822" t="str">
        <f t="shared" si="25"/>
        <v/>
      </c>
    </row>
    <row r="823" spans="1:7" x14ac:dyDescent="0.2">
      <c r="A823" t="s">
        <v>0</v>
      </c>
      <c r="B823">
        <v>0.142183273</v>
      </c>
      <c r="C823">
        <v>0</v>
      </c>
      <c r="D823" t="str">
        <f t="shared" si="26"/>
        <v/>
      </c>
      <c r="E823">
        <f t="shared" si="26"/>
        <v>0</v>
      </c>
      <c r="F823" t="str">
        <f t="shared" si="25"/>
        <v/>
      </c>
      <c r="G823">
        <f t="shared" si="25"/>
        <v>0.142183273</v>
      </c>
    </row>
    <row r="824" spans="1:7" x14ac:dyDescent="0.2">
      <c r="A824" t="s">
        <v>2</v>
      </c>
      <c r="B824">
        <v>0.70638985109999997</v>
      </c>
      <c r="C824">
        <v>1</v>
      </c>
      <c r="D824">
        <f t="shared" si="26"/>
        <v>1</v>
      </c>
      <c r="E824" t="str">
        <f t="shared" si="26"/>
        <v/>
      </c>
      <c r="F824">
        <f t="shared" si="25"/>
        <v>0.70638985109999997</v>
      </c>
      <c r="G824" t="str">
        <f t="shared" si="25"/>
        <v/>
      </c>
    </row>
    <row r="825" spans="1:7" x14ac:dyDescent="0.2">
      <c r="A825" t="s">
        <v>0</v>
      </c>
      <c r="B825">
        <v>0.84791580639999997</v>
      </c>
      <c r="C825">
        <v>1</v>
      </c>
      <c r="D825" t="str">
        <f t="shared" si="26"/>
        <v/>
      </c>
      <c r="E825">
        <f t="shared" si="26"/>
        <v>1</v>
      </c>
      <c r="F825" t="str">
        <f t="shared" si="25"/>
        <v/>
      </c>
      <c r="G825">
        <f t="shared" si="25"/>
        <v>0.84791580639999997</v>
      </c>
    </row>
    <row r="826" spans="1:7" x14ac:dyDescent="0.2">
      <c r="A826" t="s">
        <v>0</v>
      </c>
      <c r="B826">
        <v>0.64013572080000003</v>
      </c>
      <c r="C826">
        <v>0</v>
      </c>
      <c r="D826" t="str">
        <f t="shared" si="26"/>
        <v/>
      </c>
      <c r="E826">
        <f t="shared" si="26"/>
        <v>0</v>
      </c>
      <c r="F826" t="str">
        <f t="shared" si="25"/>
        <v/>
      </c>
      <c r="G826">
        <f t="shared" si="25"/>
        <v>0.64013572080000003</v>
      </c>
    </row>
    <row r="827" spans="1:7" x14ac:dyDescent="0.2">
      <c r="A827" t="s">
        <v>2</v>
      </c>
      <c r="B827">
        <v>0.594273049</v>
      </c>
      <c r="C827">
        <v>0</v>
      </c>
      <c r="D827">
        <f t="shared" si="26"/>
        <v>0</v>
      </c>
      <c r="E827" t="str">
        <f t="shared" si="26"/>
        <v/>
      </c>
      <c r="F827">
        <f t="shared" si="25"/>
        <v>0.594273049</v>
      </c>
      <c r="G827" t="str">
        <f t="shared" si="25"/>
        <v/>
      </c>
    </row>
    <row r="828" spans="1:7" x14ac:dyDescent="0.2">
      <c r="A828" t="s">
        <v>0</v>
      </c>
      <c r="B828">
        <v>0.45304502600000002</v>
      </c>
      <c r="C828">
        <v>0</v>
      </c>
      <c r="D828" t="str">
        <f t="shared" si="26"/>
        <v/>
      </c>
      <c r="E828">
        <f t="shared" si="26"/>
        <v>0</v>
      </c>
      <c r="F828" t="str">
        <f t="shared" si="25"/>
        <v/>
      </c>
      <c r="G828">
        <f t="shared" si="25"/>
        <v>0.45304502600000002</v>
      </c>
    </row>
    <row r="829" spans="1:7" x14ac:dyDescent="0.2">
      <c r="A829" t="s">
        <v>0</v>
      </c>
      <c r="B829">
        <v>0.39176730300000001</v>
      </c>
      <c r="C829">
        <v>0</v>
      </c>
      <c r="D829" t="str">
        <f t="shared" si="26"/>
        <v/>
      </c>
      <c r="E829">
        <f t="shared" si="26"/>
        <v>0</v>
      </c>
      <c r="F829" t="str">
        <f t="shared" si="25"/>
        <v/>
      </c>
      <c r="G829">
        <f t="shared" si="25"/>
        <v>0.39176730300000001</v>
      </c>
    </row>
    <row r="830" spans="1:7" x14ac:dyDescent="0.2">
      <c r="A830" t="s">
        <v>2</v>
      </c>
      <c r="B830">
        <v>0.35039320740000002</v>
      </c>
      <c r="C830">
        <v>0</v>
      </c>
      <c r="D830">
        <f t="shared" si="26"/>
        <v>0</v>
      </c>
      <c r="E830" t="str">
        <f t="shared" si="26"/>
        <v/>
      </c>
      <c r="F830">
        <f t="shared" si="25"/>
        <v>0.35039320740000002</v>
      </c>
      <c r="G830" t="str">
        <f t="shared" si="25"/>
        <v/>
      </c>
    </row>
    <row r="831" spans="1:7" x14ac:dyDescent="0.2">
      <c r="A831" t="s">
        <v>0</v>
      </c>
      <c r="B831">
        <v>0.59259485300000003</v>
      </c>
      <c r="C831">
        <v>1</v>
      </c>
      <c r="D831" t="str">
        <f t="shared" si="26"/>
        <v/>
      </c>
      <c r="E831">
        <f t="shared" si="26"/>
        <v>1</v>
      </c>
      <c r="F831" t="str">
        <f t="shared" si="25"/>
        <v/>
      </c>
      <c r="G831">
        <f t="shared" si="25"/>
        <v>0.59259485300000003</v>
      </c>
    </row>
    <row r="832" spans="1:7" x14ac:dyDescent="0.2">
      <c r="A832" t="s">
        <v>0</v>
      </c>
      <c r="B832">
        <v>0.27302161200000002</v>
      </c>
      <c r="C832">
        <v>1</v>
      </c>
      <c r="D832" t="str">
        <f t="shared" si="26"/>
        <v/>
      </c>
      <c r="E832">
        <f t="shared" si="26"/>
        <v>1</v>
      </c>
      <c r="F832" t="str">
        <f t="shared" si="25"/>
        <v/>
      </c>
      <c r="G832">
        <f t="shared" si="25"/>
        <v>0.27302161200000002</v>
      </c>
    </row>
    <row r="833" spans="1:7" x14ac:dyDescent="0.2">
      <c r="A833" t="s">
        <v>2</v>
      </c>
      <c r="B833">
        <v>0.88949238720000001</v>
      </c>
      <c r="C833">
        <v>1</v>
      </c>
      <c r="D833">
        <f t="shared" si="26"/>
        <v>1</v>
      </c>
      <c r="E833" t="str">
        <f t="shared" si="26"/>
        <v/>
      </c>
      <c r="F833">
        <f t="shared" si="25"/>
        <v>0.88949238720000001</v>
      </c>
      <c r="G833" t="str">
        <f t="shared" si="25"/>
        <v/>
      </c>
    </row>
    <row r="834" spans="1:7" x14ac:dyDescent="0.2">
      <c r="A834" t="s">
        <v>0</v>
      </c>
      <c r="B834">
        <v>0.78447469449999996</v>
      </c>
      <c r="C834">
        <v>0</v>
      </c>
      <c r="D834" t="str">
        <f t="shared" si="26"/>
        <v/>
      </c>
      <c r="E834">
        <f t="shared" si="26"/>
        <v>0</v>
      </c>
      <c r="F834" t="str">
        <f t="shared" si="25"/>
        <v/>
      </c>
      <c r="G834">
        <f t="shared" si="25"/>
        <v>0.78447469449999996</v>
      </c>
    </row>
    <row r="835" spans="1:7" x14ac:dyDescent="0.2">
      <c r="A835" t="s">
        <v>2</v>
      </c>
      <c r="B835">
        <v>0.86816532769999999</v>
      </c>
      <c r="C835">
        <v>1</v>
      </c>
      <c r="D835">
        <f t="shared" si="26"/>
        <v>1</v>
      </c>
      <c r="E835" t="str">
        <f t="shared" si="26"/>
        <v/>
      </c>
      <c r="F835">
        <f t="shared" ref="F835:G898" si="27">IF($A835=F$1,$B835,"")</f>
        <v>0.86816532769999999</v>
      </c>
      <c r="G835" t="str">
        <f t="shared" si="27"/>
        <v/>
      </c>
    </row>
    <row r="836" spans="1:7" x14ac:dyDescent="0.2">
      <c r="A836" t="s">
        <v>2</v>
      </c>
      <c r="B836">
        <v>0.46552554039999999</v>
      </c>
      <c r="C836">
        <v>1</v>
      </c>
      <c r="D836">
        <f t="shared" si="26"/>
        <v>1</v>
      </c>
      <c r="E836" t="str">
        <f t="shared" si="26"/>
        <v/>
      </c>
      <c r="F836">
        <f t="shared" si="27"/>
        <v>0.46552554039999999</v>
      </c>
      <c r="G836" t="str">
        <f t="shared" si="27"/>
        <v/>
      </c>
    </row>
    <row r="837" spans="1:7" x14ac:dyDescent="0.2">
      <c r="A837" t="s">
        <v>0</v>
      </c>
      <c r="B837">
        <v>9.73878933E-2</v>
      </c>
      <c r="C837">
        <v>0</v>
      </c>
      <c r="D837" t="str">
        <f t="shared" ref="D837:E900" si="28">IF($A837=D$1,$C837,"")</f>
        <v/>
      </c>
      <c r="E837">
        <f t="shared" si="28"/>
        <v>0</v>
      </c>
      <c r="F837" t="str">
        <f t="shared" si="27"/>
        <v/>
      </c>
      <c r="G837">
        <f t="shared" si="27"/>
        <v>9.73878933E-2</v>
      </c>
    </row>
    <row r="838" spans="1:7" x14ac:dyDescent="0.2">
      <c r="A838" t="s">
        <v>0</v>
      </c>
      <c r="B838">
        <v>9.8375525599999999E-2</v>
      </c>
      <c r="C838">
        <v>1</v>
      </c>
      <c r="D838" t="str">
        <f t="shared" si="28"/>
        <v/>
      </c>
      <c r="E838">
        <f t="shared" si="28"/>
        <v>1</v>
      </c>
      <c r="F838" t="str">
        <f t="shared" si="27"/>
        <v/>
      </c>
      <c r="G838">
        <f t="shared" si="27"/>
        <v>9.8375525599999999E-2</v>
      </c>
    </row>
    <row r="839" spans="1:7" x14ac:dyDescent="0.2">
      <c r="A839" t="s">
        <v>2</v>
      </c>
      <c r="B839">
        <v>0.48598647319999999</v>
      </c>
      <c r="C839">
        <v>1</v>
      </c>
      <c r="D839">
        <f t="shared" si="28"/>
        <v>1</v>
      </c>
      <c r="E839" t="str">
        <f t="shared" si="28"/>
        <v/>
      </c>
      <c r="F839">
        <f t="shared" si="27"/>
        <v>0.48598647319999999</v>
      </c>
      <c r="G839" t="str">
        <f t="shared" si="27"/>
        <v/>
      </c>
    </row>
    <row r="840" spans="1:7" x14ac:dyDescent="0.2">
      <c r="A840" t="s">
        <v>2</v>
      </c>
      <c r="B840">
        <v>0.49354039490000001</v>
      </c>
      <c r="C840">
        <v>1</v>
      </c>
      <c r="D840">
        <f t="shared" si="28"/>
        <v>1</v>
      </c>
      <c r="E840" t="str">
        <f t="shared" si="28"/>
        <v/>
      </c>
      <c r="F840">
        <f t="shared" si="27"/>
        <v>0.49354039490000001</v>
      </c>
      <c r="G840" t="str">
        <f t="shared" si="27"/>
        <v/>
      </c>
    </row>
    <row r="841" spans="1:7" x14ac:dyDescent="0.2">
      <c r="A841" t="s">
        <v>2</v>
      </c>
      <c r="B841">
        <v>0.31901770130000001</v>
      </c>
      <c r="C841">
        <v>1</v>
      </c>
      <c r="D841">
        <f t="shared" si="28"/>
        <v>1</v>
      </c>
      <c r="E841" t="str">
        <f t="shared" si="28"/>
        <v/>
      </c>
      <c r="F841">
        <f t="shared" si="27"/>
        <v>0.31901770130000001</v>
      </c>
      <c r="G841" t="str">
        <f t="shared" si="27"/>
        <v/>
      </c>
    </row>
    <row r="842" spans="1:7" x14ac:dyDescent="0.2">
      <c r="A842" t="s">
        <v>0</v>
      </c>
      <c r="B842">
        <v>0.34421212289999997</v>
      </c>
      <c r="C842">
        <v>0</v>
      </c>
      <c r="D842" t="str">
        <f t="shared" si="28"/>
        <v/>
      </c>
      <c r="E842">
        <f t="shared" si="28"/>
        <v>0</v>
      </c>
      <c r="F842" t="str">
        <f t="shared" si="27"/>
        <v/>
      </c>
      <c r="G842">
        <f t="shared" si="27"/>
        <v>0.34421212289999997</v>
      </c>
    </row>
    <row r="843" spans="1:7" x14ac:dyDescent="0.2">
      <c r="A843" t="s">
        <v>0</v>
      </c>
      <c r="B843">
        <v>0.1084404685</v>
      </c>
      <c r="C843">
        <v>0</v>
      </c>
      <c r="D843" t="str">
        <f t="shared" si="28"/>
        <v/>
      </c>
      <c r="E843">
        <f t="shared" si="28"/>
        <v>0</v>
      </c>
      <c r="F843" t="str">
        <f t="shared" si="27"/>
        <v/>
      </c>
      <c r="G843">
        <f t="shared" si="27"/>
        <v>0.1084404685</v>
      </c>
    </row>
    <row r="844" spans="1:7" x14ac:dyDescent="0.2">
      <c r="A844" t="s">
        <v>0</v>
      </c>
      <c r="B844">
        <v>0.63139846379999998</v>
      </c>
      <c r="C844">
        <v>1</v>
      </c>
      <c r="D844" t="str">
        <f t="shared" si="28"/>
        <v/>
      </c>
      <c r="E844">
        <f t="shared" si="28"/>
        <v>1</v>
      </c>
      <c r="F844" t="str">
        <f t="shared" si="27"/>
        <v/>
      </c>
      <c r="G844">
        <f t="shared" si="27"/>
        <v>0.63139846379999998</v>
      </c>
    </row>
    <row r="845" spans="1:7" x14ac:dyDescent="0.2">
      <c r="A845" t="s">
        <v>2</v>
      </c>
      <c r="B845">
        <v>0.68441090029999996</v>
      </c>
      <c r="C845">
        <v>1</v>
      </c>
      <c r="D845">
        <f t="shared" si="28"/>
        <v>1</v>
      </c>
      <c r="E845" t="str">
        <f t="shared" si="28"/>
        <v/>
      </c>
      <c r="F845">
        <f t="shared" si="27"/>
        <v>0.68441090029999996</v>
      </c>
      <c r="G845" t="str">
        <f t="shared" si="27"/>
        <v/>
      </c>
    </row>
    <row r="846" spans="1:7" x14ac:dyDescent="0.2">
      <c r="A846" t="s">
        <v>2</v>
      </c>
      <c r="B846">
        <v>0.34584839760000002</v>
      </c>
      <c r="C846">
        <v>0</v>
      </c>
      <c r="D846">
        <f t="shared" si="28"/>
        <v>0</v>
      </c>
      <c r="E846" t="str">
        <f t="shared" si="28"/>
        <v/>
      </c>
      <c r="F846">
        <f t="shared" si="27"/>
        <v>0.34584839760000002</v>
      </c>
      <c r="G846" t="str">
        <f t="shared" si="27"/>
        <v/>
      </c>
    </row>
    <row r="847" spans="1:7" x14ac:dyDescent="0.2">
      <c r="A847" t="s">
        <v>2</v>
      </c>
      <c r="B847">
        <v>0.54405083320000003</v>
      </c>
      <c r="C847">
        <v>0</v>
      </c>
      <c r="D847">
        <f t="shared" si="28"/>
        <v>0</v>
      </c>
      <c r="E847" t="str">
        <f t="shared" si="28"/>
        <v/>
      </c>
      <c r="F847">
        <f t="shared" si="27"/>
        <v>0.54405083320000003</v>
      </c>
      <c r="G847" t="str">
        <f t="shared" si="27"/>
        <v/>
      </c>
    </row>
    <row r="848" spans="1:7" x14ac:dyDescent="0.2">
      <c r="A848" t="s">
        <v>2</v>
      </c>
      <c r="B848">
        <v>0.49320465260000002</v>
      </c>
      <c r="C848">
        <v>1</v>
      </c>
      <c r="D848">
        <f t="shared" si="28"/>
        <v>1</v>
      </c>
      <c r="E848" t="str">
        <f t="shared" si="28"/>
        <v/>
      </c>
      <c r="F848">
        <f t="shared" si="27"/>
        <v>0.49320465260000002</v>
      </c>
      <c r="G848" t="str">
        <f t="shared" si="27"/>
        <v/>
      </c>
    </row>
    <row r="849" spans="1:7" x14ac:dyDescent="0.2">
      <c r="A849" t="s">
        <v>2</v>
      </c>
      <c r="B849">
        <v>0.1515743178</v>
      </c>
      <c r="C849">
        <v>0</v>
      </c>
      <c r="D849">
        <f t="shared" si="28"/>
        <v>0</v>
      </c>
      <c r="E849" t="str">
        <f t="shared" si="28"/>
        <v/>
      </c>
      <c r="F849">
        <f t="shared" si="27"/>
        <v>0.1515743178</v>
      </c>
      <c r="G849" t="str">
        <f t="shared" si="27"/>
        <v/>
      </c>
    </row>
    <row r="850" spans="1:7" x14ac:dyDescent="0.2">
      <c r="A850" t="s">
        <v>2</v>
      </c>
      <c r="B850">
        <v>0.2664949814</v>
      </c>
      <c r="C850">
        <v>0</v>
      </c>
      <c r="D850">
        <f t="shared" si="28"/>
        <v>0</v>
      </c>
      <c r="E850" t="str">
        <f t="shared" si="28"/>
        <v/>
      </c>
      <c r="F850">
        <f t="shared" si="27"/>
        <v>0.2664949814</v>
      </c>
      <c r="G850" t="str">
        <f t="shared" si="27"/>
        <v/>
      </c>
    </row>
    <row r="851" spans="1:7" x14ac:dyDescent="0.2">
      <c r="A851" t="s">
        <v>2</v>
      </c>
      <c r="B851">
        <v>0.55821498820000004</v>
      </c>
      <c r="C851">
        <v>0</v>
      </c>
      <c r="D851">
        <f t="shared" si="28"/>
        <v>0</v>
      </c>
      <c r="E851" t="str">
        <f t="shared" si="28"/>
        <v/>
      </c>
      <c r="F851">
        <f t="shared" si="27"/>
        <v>0.55821498820000004</v>
      </c>
      <c r="G851" t="str">
        <f t="shared" si="27"/>
        <v/>
      </c>
    </row>
    <row r="852" spans="1:7" x14ac:dyDescent="0.2">
      <c r="A852" t="s">
        <v>2</v>
      </c>
      <c r="B852">
        <v>0.75290322679999999</v>
      </c>
      <c r="C852">
        <v>1</v>
      </c>
      <c r="D852">
        <f t="shared" si="28"/>
        <v>1</v>
      </c>
      <c r="E852" t="str">
        <f t="shared" si="28"/>
        <v/>
      </c>
      <c r="F852">
        <f t="shared" si="27"/>
        <v>0.75290322679999999</v>
      </c>
      <c r="G852" t="str">
        <f t="shared" si="27"/>
        <v/>
      </c>
    </row>
    <row r="853" spans="1:7" x14ac:dyDescent="0.2">
      <c r="A853" t="s">
        <v>2</v>
      </c>
      <c r="B853">
        <v>0.61600794039999995</v>
      </c>
      <c r="C853">
        <v>1</v>
      </c>
      <c r="D853">
        <f t="shared" si="28"/>
        <v>1</v>
      </c>
      <c r="E853" t="str">
        <f t="shared" si="28"/>
        <v/>
      </c>
      <c r="F853">
        <f t="shared" si="27"/>
        <v>0.61600794039999995</v>
      </c>
      <c r="G853" t="str">
        <f t="shared" si="27"/>
        <v/>
      </c>
    </row>
    <row r="854" spans="1:7" x14ac:dyDescent="0.2">
      <c r="A854" t="s">
        <v>2</v>
      </c>
      <c r="B854">
        <v>0.4090047403</v>
      </c>
      <c r="C854">
        <v>1</v>
      </c>
      <c r="D854">
        <f t="shared" si="28"/>
        <v>1</v>
      </c>
      <c r="E854" t="str">
        <f t="shared" si="28"/>
        <v/>
      </c>
      <c r="F854">
        <f t="shared" si="27"/>
        <v>0.4090047403</v>
      </c>
      <c r="G854" t="str">
        <f t="shared" si="27"/>
        <v/>
      </c>
    </row>
    <row r="855" spans="1:7" x14ac:dyDescent="0.2">
      <c r="A855" t="s">
        <v>2</v>
      </c>
      <c r="B855">
        <v>0.80120858179999999</v>
      </c>
      <c r="C855">
        <v>0</v>
      </c>
      <c r="D855">
        <f t="shared" si="28"/>
        <v>0</v>
      </c>
      <c r="E855" t="str">
        <f t="shared" si="28"/>
        <v/>
      </c>
      <c r="F855">
        <f t="shared" si="27"/>
        <v>0.80120858179999999</v>
      </c>
      <c r="G855" t="str">
        <f t="shared" si="27"/>
        <v/>
      </c>
    </row>
    <row r="856" spans="1:7" x14ac:dyDescent="0.2">
      <c r="A856" t="s">
        <v>2</v>
      </c>
      <c r="B856">
        <v>0.53308487790000003</v>
      </c>
      <c r="C856">
        <v>0</v>
      </c>
      <c r="D856">
        <f t="shared" si="28"/>
        <v>0</v>
      </c>
      <c r="E856" t="str">
        <f t="shared" si="28"/>
        <v/>
      </c>
      <c r="F856">
        <f t="shared" si="27"/>
        <v>0.53308487790000003</v>
      </c>
      <c r="G856" t="str">
        <f t="shared" si="27"/>
        <v/>
      </c>
    </row>
    <row r="857" spans="1:7" x14ac:dyDescent="0.2">
      <c r="A857" t="s">
        <v>2</v>
      </c>
      <c r="B857">
        <v>0.14510648300000001</v>
      </c>
      <c r="C857">
        <v>0</v>
      </c>
      <c r="D857">
        <f t="shared" si="28"/>
        <v>0</v>
      </c>
      <c r="E857" t="str">
        <f t="shared" si="28"/>
        <v/>
      </c>
      <c r="F857">
        <f t="shared" si="27"/>
        <v>0.14510648300000001</v>
      </c>
      <c r="G857" t="str">
        <f t="shared" si="27"/>
        <v/>
      </c>
    </row>
    <row r="858" spans="1:7" x14ac:dyDescent="0.2">
      <c r="A858" t="s">
        <v>2</v>
      </c>
      <c r="B858">
        <v>0.27087835970000002</v>
      </c>
      <c r="C858">
        <v>0</v>
      </c>
      <c r="D858">
        <f t="shared" si="28"/>
        <v>0</v>
      </c>
      <c r="E858" t="str">
        <f t="shared" si="28"/>
        <v/>
      </c>
      <c r="F858">
        <f t="shared" si="27"/>
        <v>0.27087835970000002</v>
      </c>
      <c r="G858" t="str">
        <f t="shared" si="27"/>
        <v/>
      </c>
    </row>
    <row r="859" spans="1:7" x14ac:dyDescent="0.2">
      <c r="A859" t="s">
        <v>0</v>
      </c>
      <c r="B859">
        <v>0.39906972569999999</v>
      </c>
      <c r="C859">
        <v>0</v>
      </c>
      <c r="D859" t="str">
        <f t="shared" si="28"/>
        <v/>
      </c>
      <c r="E859">
        <f t="shared" si="28"/>
        <v>0</v>
      </c>
      <c r="F859" t="str">
        <f t="shared" si="27"/>
        <v/>
      </c>
      <c r="G859">
        <f t="shared" si="27"/>
        <v>0.39906972569999999</v>
      </c>
    </row>
    <row r="860" spans="1:7" x14ac:dyDescent="0.2">
      <c r="A860" t="s">
        <v>2</v>
      </c>
      <c r="B860">
        <v>0.71925384530000003</v>
      </c>
      <c r="C860">
        <v>1</v>
      </c>
      <c r="D860">
        <f t="shared" si="28"/>
        <v>1</v>
      </c>
      <c r="E860" t="str">
        <f t="shared" si="28"/>
        <v/>
      </c>
      <c r="F860">
        <f t="shared" si="27"/>
        <v>0.71925384530000003</v>
      </c>
      <c r="G860" t="str">
        <f t="shared" si="27"/>
        <v/>
      </c>
    </row>
    <row r="861" spans="1:7" x14ac:dyDescent="0.2">
      <c r="A861" t="s">
        <v>0</v>
      </c>
      <c r="B861">
        <v>0.70440988670000004</v>
      </c>
      <c r="C861">
        <v>0</v>
      </c>
      <c r="D861" t="str">
        <f t="shared" si="28"/>
        <v/>
      </c>
      <c r="E861">
        <f t="shared" si="28"/>
        <v>0</v>
      </c>
      <c r="F861" t="str">
        <f t="shared" si="27"/>
        <v/>
      </c>
      <c r="G861">
        <f t="shared" si="27"/>
        <v>0.70440988670000004</v>
      </c>
    </row>
    <row r="862" spans="1:7" x14ac:dyDescent="0.2">
      <c r="A862" t="s">
        <v>2</v>
      </c>
      <c r="B862">
        <v>0.54233407499999997</v>
      </c>
      <c r="C862">
        <v>0</v>
      </c>
      <c r="D862">
        <f t="shared" si="28"/>
        <v>0</v>
      </c>
      <c r="E862" t="str">
        <f t="shared" si="28"/>
        <v/>
      </c>
      <c r="F862">
        <f t="shared" si="27"/>
        <v>0.54233407499999997</v>
      </c>
      <c r="G862" t="str">
        <f t="shared" si="27"/>
        <v/>
      </c>
    </row>
    <row r="863" spans="1:7" x14ac:dyDescent="0.2">
      <c r="A863" t="s">
        <v>2</v>
      </c>
      <c r="B863">
        <v>0.46109731539999999</v>
      </c>
      <c r="C863">
        <v>0</v>
      </c>
      <c r="D863">
        <f t="shared" si="28"/>
        <v>0</v>
      </c>
      <c r="E863" t="str">
        <f t="shared" si="28"/>
        <v/>
      </c>
      <c r="F863">
        <f t="shared" si="27"/>
        <v>0.46109731539999999</v>
      </c>
      <c r="G863" t="str">
        <f t="shared" si="27"/>
        <v/>
      </c>
    </row>
    <row r="864" spans="1:7" x14ac:dyDescent="0.2">
      <c r="A864" t="s">
        <v>0</v>
      </c>
      <c r="B864">
        <v>0.27216035750000001</v>
      </c>
      <c r="C864">
        <v>0</v>
      </c>
      <c r="D864" t="str">
        <f t="shared" si="28"/>
        <v/>
      </c>
      <c r="E864">
        <f t="shared" si="28"/>
        <v>0</v>
      </c>
      <c r="F864" t="str">
        <f t="shared" si="27"/>
        <v/>
      </c>
      <c r="G864">
        <f t="shared" si="27"/>
        <v>0.27216035750000001</v>
      </c>
    </row>
    <row r="865" spans="1:7" x14ac:dyDescent="0.2">
      <c r="A865" t="s">
        <v>0</v>
      </c>
      <c r="B865">
        <v>0.3787487491</v>
      </c>
      <c r="C865">
        <v>1</v>
      </c>
      <c r="D865" t="str">
        <f t="shared" si="28"/>
        <v/>
      </c>
      <c r="E865">
        <f t="shared" si="28"/>
        <v>1</v>
      </c>
      <c r="F865" t="str">
        <f t="shared" si="27"/>
        <v/>
      </c>
      <c r="G865">
        <f t="shared" si="27"/>
        <v>0.3787487491</v>
      </c>
    </row>
    <row r="866" spans="1:7" x14ac:dyDescent="0.2">
      <c r="A866" t="s">
        <v>2</v>
      </c>
      <c r="B866">
        <v>0.43478606549999999</v>
      </c>
      <c r="C866">
        <v>0</v>
      </c>
      <c r="D866">
        <f t="shared" si="28"/>
        <v>0</v>
      </c>
      <c r="E866" t="str">
        <f t="shared" si="28"/>
        <v/>
      </c>
      <c r="F866">
        <f t="shared" si="27"/>
        <v>0.43478606549999999</v>
      </c>
      <c r="G866" t="str">
        <f t="shared" si="27"/>
        <v/>
      </c>
    </row>
    <row r="867" spans="1:7" x14ac:dyDescent="0.2">
      <c r="A867" t="s">
        <v>0</v>
      </c>
      <c r="B867">
        <v>0.50594577159999998</v>
      </c>
      <c r="C867">
        <v>1</v>
      </c>
      <c r="D867" t="str">
        <f t="shared" si="28"/>
        <v/>
      </c>
      <c r="E867">
        <f t="shared" si="28"/>
        <v>1</v>
      </c>
      <c r="F867" t="str">
        <f t="shared" si="27"/>
        <v/>
      </c>
      <c r="G867">
        <f t="shared" si="27"/>
        <v>0.50594577159999998</v>
      </c>
    </row>
    <row r="868" spans="1:7" x14ac:dyDescent="0.2">
      <c r="A868" t="s">
        <v>2</v>
      </c>
      <c r="B868">
        <v>0.43303946780000002</v>
      </c>
      <c r="C868">
        <v>0</v>
      </c>
      <c r="D868">
        <f t="shared" si="28"/>
        <v>0</v>
      </c>
      <c r="E868" t="str">
        <f t="shared" si="28"/>
        <v/>
      </c>
      <c r="F868">
        <f t="shared" si="27"/>
        <v>0.43303946780000002</v>
      </c>
      <c r="G868" t="str">
        <f t="shared" si="27"/>
        <v/>
      </c>
    </row>
    <row r="869" spans="1:7" x14ac:dyDescent="0.2">
      <c r="A869" t="s">
        <v>0</v>
      </c>
      <c r="B869">
        <v>0.31140516699999998</v>
      </c>
      <c r="C869">
        <v>0</v>
      </c>
      <c r="D869" t="str">
        <f t="shared" si="28"/>
        <v/>
      </c>
      <c r="E869">
        <f t="shared" si="28"/>
        <v>0</v>
      </c>
      <c r="F869" t="str">
        <f t="shared" si="27"/>
        <v/>
      </c>
      <c r="G869">
        <f t="shared" si="27"/>
        <v>0.31140516699999998</v>
      </c>
    </row>
    <row r="870" spans="1:7" x14ac:dyDescent="0.2">
      <c r="A870" t="s">
        <v>2</v>
      </c>
      <c r="B870">
        <v>0.32606741659999999</v>
      </c>
      <c r="C870">
        <v>1</v>
      </c>
      <c r="D870">
        <f t="shared" si="28"/>
        <v>1</v>
      </c>
      <c r="E870" t="str">
        <f t="shared" si="28"/>
        <v/>
      </c>
      <c r="F870">
        <f t="shared" si="27"/>
        <v>0.32606741659999999</v>
      </c>
      <c r="G870" t="str">
        <f t="shared" si="27"/>
        <v/>
      </c>
    </row>
    <row r="871" spans="1:7" x14ac:dyDescent="0.2">
      <c r="A871" t="s">
        <v>2</v>
      </c>
      <c r="B871">
        <v>0.51550868510000003</v>
      </c>
      <c r="C871">
        <v>1</v>
      </c>
      <c r="D871">
        <f t="shared" si="28"/>
        <v>1</v>
      </c>
      <c r="E871" t="str">
        <f t="shared" si="28"/>
        <v/>
      </c>
      <c r="F871">
        <f t="shared" si="27"/>
        <v>0.51550868510000003</v>
      </c>
      <c r="G871" t="str">
        <f t="shared" si="27"/>
        <v/>
      </c>
    </row>
    <row r="872" spans="1:7" x14ac:dyDescent="0.2">
      <c r="A872" t="s">
        <v>0</v>
      </c>
      <c r="B872">
        <v>0.66368254829999995</v>
      </c>
      <c r="C872">
        <v>0</v>
      </c>
      <c r="D872" t="str">
        <f t="shared" si="28"/>
        <v/>
      </c>
      <c r="E872">
        <f t="shared" si="28"/>
        <v>0</v>
      </c>
      <c r="F872" t="str">
        <f t="shared" si="27"/>
        <v/>
      </c>
      <c r="G872">
        <f t="shared" si="27"/>
        <v>0.66368254829999995</v>
      </c>
    </row>
    <row r="873" spans="1:7" x14ac:dyDescent="0.2">
      <c r="A873" t="s">
        <v>2</v>
      </c>
      <c r="B873">
        <v>0.46182220239999999</v>
      </c>
      <c r="C873">
        <v>0</v>
      </c>
      <c r="D873">
        <f t="shared" si="28"/>
        <v>0</v>
      </c>
      <c r="E873" t="str">
        <f t="shared" si="28"/>
        <v/>
      </c>
      <c r="F873">
        <f t="shared" si="27"/>
        <v>0.46182220239999999</v>
      </c>
      <c r="G873" t="str">
        <f t="shared" si="27"/>
        <v/>
      </c>
    </row>
    <row r="874" spans="1:7" x14ac:dyDescent="0.2">
      <c r="A874" t="s">
        <v>2</v>
      </c>
      <c r="B874">
        <v>0.32905567899999999</v>
      </c>
      <c r="C874">
        <v>0</v>
      </c>
      <c r="D874">
        <f t="shared" si="28"/>
        <v>0</v>
      </c>
      <c r="E874" t="str">
        <f t="shared" si="28"/>
        <v/>
      </c>
      <c r="F874">
        <f t="shared" si="27"/>
        <v>0.32905567899999999</v>
      </c>
      <c r="G874" t="str">
        <f t="shared" si="27"/>
        <v/>
      </c>
    </row>
    <row r="875" spans="1:7" x14ac:dyDescent="0.2">
      <c r="A875" t="s">
        <v>2</v>
      </c>
      <c r="B875">
        <v>0.81197238589999998</v>
      </c>
      <c r="C875">
        <v>1</v>
      </c>
      <c r="D875">
        <f t="shared" si="28"/>
        <v>1</v>
      </c>
      <c r="E875" t="str">
        <f t="shared" si="28"/>
        <v/>
      </c>
      <c r="F875">
        <f t="shared" si="27"/>
        <v>0.81197238589999998</v>
      </c>
      <c r="G875" t="str">
        <f t="shared" si="27"/>
        <v/>
      </c>
    </row>
    <row r="876" spans="1:7" x14ac:dyDescent="0.2">
      <c r="A876" t="s">
        <v>2</v>
      </c>
      <c r="B876">
        <v>0.29383371689999999</v>
      </c>
      <c r="C876">
        <v>0</v>
      </c>
      <c r="D876">
        <f t="shared" si="28"/>
        <v>0</v>
      </c>
      <c r="E876" t="str">
        <f t="shared" si="28"/>
        <v/>
      </c>
      <c r="F876">
        <f t="shared" si="27"/>
        <v>0.29383371689999999</v>
      </c>
      <c r="G876" t="str">
        <f t="shared" si="27"/>
        <v/>
      </c>
    </row>
    <row r="877" spans="1:7" x14ac:dyDescent="0.2">
      <c r="A877" t="s">
        <v>2</v>
      </c>
      <c r="B877">
        <v>0.7442901999</v>
      </c>
      <c r="C877">
        <v>0</v>
      </c>
      <c r="D877">
        <f t="shared" si="28"/>
        <v>0</v>
      </c>
      <c r="E877" t="str">
        <f t="shared" si="28"/>
        <v/>
      </c>
      <c r="F877">
        <f t="shared" si="27"/>
        <v>0.7442901999</v>
      </c>
      <c r="G877" t="str">
        <f t="shared" si="27"/>
        <v/>
      </c>
    </row>
    <row r="878" spans="1:7" x14ac:dyDescent="0.2">
      <c r="A878" t="s">
        <v>2</v>
      </c>
      <c r="B878">
        <v>0.1684444933</v>
      </c>
      <c r="C878">
        <v>0</v>
      </c>
      <c r="D878">
        <f t="shared" si="28"/>
        <v>0</v>
      </c>
      <c r="E878" t="str">
        <f t="shared" si="28"/>
        <v/>
      </c>
      <c r="F878">
        <f t="shared" si="27"/>
        <v>0.1684444933</v>
      </c>
      <c r="G878" t="str">
        <f t="shared" si="27"/>
        <v/>
      </c>
    </row>
    <row r="879" spans="1:7" x14ac:dyDescent="0.2">
      <c r="A879" t="s">
        <v>2</v>
      </c>
      <c r="B879">
        <v>0.2301162615</v>
      </c>
      <c r="C879">
        <v>0</v>
      </c>
      <c r="D879">
        <f t="shared" si="28"/>
        <v>0</v>
      </c>
      <c r="E879" t="str">
        <f t="shared" si="28"/>
        <v/>
      </c>
      <c r="F879">
        <f t="shared" si="27"/>
        <v>0.2301162615</v>
      </c>
      <c r="G879" t="str">
        <f t="shared" si="27"/>
        <v/>
      </c>
    </row>
    <row r="880" spans="1:7" x14ac:dyDescent="0.2">
      <c r="A880" t="s">
        <v>2</v>
      </c>
      <c r="B880">
        <v>0.48372961799999997</v>
      </c>
      <c r="C880">
        <v>1</v>
      </c>
      <c r="D880">
        <f t="shared" si="28"/>
        <v>1</v>
      </c>
      <c r="E880" t="str">
        <f t="shared" si="28"/>
        <v/>
      </c>
      <c r="F880">
        <f t="shared" si="27"/>
        <v>0.48372961799999997</v>
      </c>
      <c r="G880" t="str">
        <f t="shared" si="27"/>
        <v/>
      </c>
    </row>
    <row r="881" spans="1:7" x14ac:dyDescent="0.2">
      <c r="A881" t="s">
        <v>2</v>
      </c>
      <c r="B881">
        <v>0.70853970340000005</v>
      </c>
      <c r="C881">
        <v>1</v>
      </c>
      <c r="D881">
        <f t="shared" si="28"/>
        <v>1</v>
      </c>
      <c r="E881" t="str">
        <f t="shared" si="28"/>
        <v/>
      </c>
      <c r="F881">
        <f t="shared" si="27"/>
        <v>0.70853970340000005</v>
      </c>
      <c r="G881" t="str">
        <f t="shared" si="27"/>
        <v/>
      </c>
    </row>
    <row r="882" spans="1:7" x14ac:dyDescent="0.2">
      <c r="A882" t="s">
        <v>2</v>
      </c>
      <c r="B882">
        <v>0.25782584930000002</v>
      </c>
      <c r="C882">
        <v>0</v>
      </c>
      <c r="D882">
        <f t="shared" si="28"/>
        <v>0</v>
      </c>
      <c r="E882" t="str">
        <f t="shared" si="28"/>
        <v/>
      </c>
      <c r="F882">
        <f t="shared" si="27"/>
        <v>0.25782584930000002</v>
      </c>
      <c r="G882" t="str">
        <f t="shared" si="27"/>
        <v/>
      </c>
    </row>
    <row r="883" spans="1:7" x14ac:dyDescent="0.2">
      <c r="A883" t="s">
        <v>0</v>
      </c>
      <c r="B883">
        <v>0.39700447010000001</v>
      </c>
      <c r="C883">
        <v>0</v>
      </c>
      <c r="D883" t="str">
        <f t="shared" si="28"/>
        <v/>
      </c>
      <c r="E883">
        <f t="shared" si="28"/>
        <v>0</v>
      </c>
      <c r="F883" t="str">
        <f t="shared" si="27"/>
        <v/>
      </c>
      <c r="G883">
        <f t="shared" si="27"/>
        <v>0.39700447010000001</v>
      </c>
    </row>
    <row r="884" spans="1:7" x14ac:dyDescent="0.2">
      <c r="A884" t="s">
        <v>0</v>
      </c>
      <c r="B884">
        <v>0.17932042849999999</v>
      </c>
      <c r="C884">
        <v>0</v>
      </c>
      <c r="D884" t="str">
        <f t="shared" si="28"/>
        <v/>
      </c>
      <c r="E884">
        <f t="shared" si="28"/>
        <v>0</v>
      </c>
      <c r="F884" t="str">
        <f t="shared" si="27"/>
        <v/>
      </c>
      <c r="G884">
        <f t="shared" si="27"/>
        <v>0.17932042849999999</v>
      </c>
    </row>
    <row r="885" spans="1:7" x14ac:dyDescent="0.2">
      <c r="A885" t="s">
        <v>0</v>
      </c>
      <c r="B885">
        <v>0.50794752519999997</v>
      </c>
      <c r="C885">
        <v>0</v>
      </c>
      <c r="D885" t="str">
        <f t="shared" si="28"/>
        <v/>
      </c>
      <c r="E885">
        <f t="shared" si="28"/>
        <v>0</v>
      </c>
      <c r="F885" t="str">
        <f t="shared" si="27"/>
        <v/>
      </c>
      <c r="G885">
        <f t="shared" si="27"/>
        <v>0.50794752519999997</v>
      </c>
    </row>
    <row r="886" spans="1:7" x14ac:dyDescent="0.2">
      <c r="A886" t="s">
        <v>0</v>
      </c>
      <c r="B886">
        <v>0.51719379850000002</v>
      </c>
      <c r="C886">
        <v>1</v>
      </c>
      <c r="D886" t="str">
        <f t="shared" si="28"/>
        <v/>
      </c>
      <c r="E886">
        <f t="shared" si="28"/>
        <v>1</v>
      </c>
      <c r="F886" t="str">
        <f t="shared" si="27"/>
        <v/>
      </c>
      <c r="G886">
        <f t="shared" si="27"/>
        <v>0.51719379850000002</v>
      </c>
    </row>
    <row r="887" spans="1:7" x14ac:dyDescent="0.2">
      <c r="A887" t="s">
        <v>2</v>
      </c>
      <c r="B887">
        <v>0.16021174099999999</v>
      </c>
      <c r="C887">
        <v>0</v>
      </c>
      <c r="D887">
        <f t="shared" si="28"/>
        <v>0</v>
      </c>
      <c r="E887" t="str">
        <f t="shared" si="28"/>
        <v/>
      </c>
      <c r="F887">
        <f t="shared" si="27"/>
        <v>0.16021174099999999</v>
      </c>
      <c r="G887" t="str">
        <f t="shared" si="27"/>
        <v/>
      </c>
    </row>
    <row r="888" spans="1:7" x14ac:dyDescent="0.2">
      <c r="A888" t="s">
        <v>2</v>
      </c>
      <c r="B888">
        <v>0.47048500700000001</v>
      </c>
      <c r="C888">
        <v>0</v>
      </c>
      <c r="D888">
        <f t="shared" si="28"/>
        <v>0</v>
      </c>
      <c r="E888" t="str">
        <f t="shared" si="28"/>
        <v/>
      </c>
      <c r="F888">
        <f t="shared" si="27"/>
        <v>0.47048500700000001</v>
      </c>
      <c r="G888" t="str">
        <f t="shared" si="27"/>
        <v/>
      </c>
    </row>
    <row r="889" spans="1:7" x14ac:dyDescent="0.2">
      <c r="A889" t="s">
        <v>0</v>
      </c>
      <c r="B889">
        <v>0.49062352409999999</v>
      </c>
      <c r="C889">
        <v>1</v>
      </c>
      <c r="D889" t="str">
        <f t="shared" si="28"/>
        <v/>
      </c>
      <c r="E889">
        <f t="shared" si="28"/>
        <v>1</v>
      </c>
      <c r="F889" t="str">
        <f t="shared" si="27"/>
        <v/>
      </c>
      <c r="G889">
        <f t="shared" si="27"/>
        <v>0.49062352409999999</v>
      </c>
    </row>
    <row r="890" spans="1:7" x14ac:dyDescent="0.2">
      <c r="A890" t="s">
        <v>0</v>
      </c>
      <c r="B890">
        <v>0.174596947</v>
      </c>
      <c r="C890">
        <v>0</v>
      </c>
      <c r="D890" t="str">
        <f t="shared" si="28"/>
        <v/>
      </c>
      <c r="E890">
        <f t="shared" si="28"/>
        <v>0</v>
      </c>
      <c r="F890" t="str">
        <f t="shared" si="27"/>
        <v/>
      </c>
      <c r="G890">
        <f t="shared" si="27"/>
        <v>0.174596947</v>
      </c>
    </row>
    <row r="891" spans="1:7" x14ac:dyDescent="0.2">
      <c r="A891" t="s">
        <v>2</v>
      </c>
      <c r="B891">
        <v>0.16515312700000001</v>
      </c>
      <c r="C891">
        <v>0</v>
      </c>
      <c r="D891">
        <f t="shared" si="28"/>
        <v>0</v>
      </c>
      <c r="E891" t="str">
        <f t="shared" si="28"/>
        <v/>
      </c>
      <c r="F891">
        <f t="shared" si="27"/>
        <v>0.16515312700000001</v>
      </c>
      <c r="G891" t="str">
        <f t="shared" si="27"/>
        <v/>
      </c>
    </row>
    <row r="892" spans="1:7" x14ac:dyDescent="0.2">
      <c r="A892" t="s">
        <v>0</v>
      </c>
      <c r="B892">
        <v>0.33506023229999998</v>
      </c>
      <c r="C892">
        <v>0</v>
      </c>
      <c r="D892" t="str">
        <f t="shared" si="28"/>
        <v/>
      </c>
      <c r="E892">
        <f t="shared" si="28"/>
        <v>0</v>
      </c>
      <c r="F892" t="str">
        <f t="shared" si="27"/>
        <v/>
      </c>
      <c r="G892">
        <f t="shared" si="27"/>
        <v>0.33506023229999998</v>
      </c>
    </row>
    <row r="893" spans="1:7" x14ac:dyDescent="0.2">
      <c r="A893" t="s">
        <v>2</v>
      </c>
      <c r="B893">
        <v>0.31722422620000001</v>
      </c>
      <c r="C893">
        <v>0</v>
      </c>
      <c r="D893">
        <f t="shared" si="28"/>
        <v>0</v>
      </c>
      <c r="E893" t="str">
        <f t="shared" si="28"/>
        <v/>
      </c>
      <c r="F893">
        <f t="shared" si="27"/>
        <v>0.31722422620000001</v>
      </c>
      <c r="G893" t="str">
        <f t="shared" si="27"/>
        <v/>
      </c>
    </row>
    <row r="894" spans="1:7" x14ac:dyDescent="0.2">
      <c r="A894" t="s">
        <v>2</v>
      </c>
      <c r="B894">
        <v>0.37176519769999999</v>
      </c>
      <c r="C894">
        <v>0</v>
      </c>
      <c r="D894">
        <f t="shared" si="28"/>
        <v>0</v>
      </c>
      <c r="E894" t="str">
        <f t="shared" si="28"/>
        <v/>
      </c>
      <c r="F894">
        <f t="shared" si="27"/>
        <v>0.37176519769999999</v>
      </c>
      <c r="G894" t="str">
        <f t="shared" si="27"/>
        <v/>
      </c>
    </row>
    <row r="895" spans="1:7" x14ac:dyDescent="0.2">
      <c r="A895" t="s">
        <v>2</v>
      </c>
      <c r="B895">
        <v>0.65538017400000004</v>
      </c>
      <c r="C895">
        <v>1</v>
      </c>
      <c r="D895">
        <f t="shared" si="28"/>
        <v>1</v>
      </c>
      <c r="E895" t="str">
        <f t="shared" si="28"/>
        <v/>
      </c>
      <c r="F895">
        <f t="shared" si="27"/>
        <v>0.65538017400000004</v>
      </c>
      <c r="G895" t="str">
        <f t="shared" si="27"/>
        <v/>
      </c>
    </row>
    <row r="896" spans="1:7" x14ac:dyDescent="0.2">
      <c r="A896" t="s">
        <v>0</v>
      </c>
      <c r="B896">
        <v>0.44151358819999997</v>
      </c>
      <c r="C896">
        <v>0</v>
      </c>
      <c r="D896" t="str">
        <f t="shared" si="28"/>
        <v/>
      </c>
      <c r="E896">
        <f t="shared" si="28"/>
        <v>0</v>
      </c>
      <c r="F896" t="str">
        <f t="shared" si="27"/>
        <v/>
      </c>
      <c r="G896">
        <f t="shared" si="27"/>
        <v>0.44151358819999997</v>
      </c>
    </row>
    <row r="897" spans="1:7" x14ac:dyDescent="0.2">
      <c r="A897" t="s">
        <v>0</v>
      </c>
      <c r="B897">
        <v>0.1531017717</v>
      </c>
      <c r="C897">
        <v>0</v>
      </c>
      <c r="D897" t="str">
        <f t="shared" si="28"/>
        <v/>
      </c>
      <c r="E897">
        <f t="shared" si="28"/>
        <v>0</v>
      </c>
      <c r="F897" t="str">
        <f t="shared" si="27"/>
        <v/>
      </c>
      <c r="G897">
        <f t="shared" si="27"/>
        <v>0.1531017717</v>
      </c>
    </row>
    <row r="898" spans="1:7" x14ac:dyDescent="0.2">
      <c r="A898" t="s">
        <v>2</v>
      </c>
      <c r="B898">
        <v>0.52579707239999995</v>
      </c>
      <c r="C898">
        <v>1</v>
      </c>
      <c r="D898">
        <f t="shared" si="28"/>
        <v>1</v>
      </c>
      <c r="E898" t="str">
        <f t="shared" si="28"/>
        <v/>
      </c>
      <c r="F898">
        <f t="shared" si="27"/>
        <v>0.52579707239999995</v>
      </c>
      <c r="G898" t="str">
        <f t="shared" si="27"/>
        <v/>
      </c>
    </row>
    <row r="899" spans="1:7" x14ac:dyDescent="0.2">
      <c r="A899" t="s">
        <v>2</v>
      </c>
      <c r="B899">
        <v>0.84940896359999996</v>
      </c>
      <c r="C899">
        <v>1</v>
      </c>
      <c r="D899">
        <f t="shared" si="28"/>
        <v>1</v>
      </c>
      <c r="E899" t="str">
        <f t="shared" si="28"/>
        <v/>
      </c>
      <c r="F899">
        <f t="shared" ref="F899:G962" si="29">IF($A899=F$1,$B899,"")</f>
        <v>0.84940896359999996</v>
      </c>
      <c r="G899" t="str">
        <f t="shared" si="29"/>
        <v/>
      </c>
    </row>
    <row r="900" spans="1:7" x14ac:dyDescent="0.2">
      <c r="A900" t="s">
        <v>0</v>
      </c>
      <c r="B900">
        <v>0.47400903259999999</v>
      </c>
      <c r="C900">
        <v>0</v>
      </c>
      <c r="D900" t="str">
        <f t="shared" si="28"/>
        <v/>
      </c>
      <c r="E900">
        <f t="shared" si="28"/>
        <v>0</v>
      </c>
      <c r="F900" t="str">
        <f t="shared" si="29"/>
        <v/>
      </c>
      <c r="G900">
        <f t="shared" si="29"/>
        <v>0.47400903259999999</v>
      </c>
    </row>
    <row r="901" spans="1:7" x14ac:dyDescent="0.2">
      <c r="A901" t="s">
        <v>2</v>
      </c>
      <c r="B901">
        <v>0.68826497720000002</v>
      </c>
      <c r="C901">
        <v>0</v>
      </c>
      <c r="D901">
        <f t="shared" ref="D901:E964" si="30">IF($A901=D$1,$C901,"")</f>
        <v>0</v>
      </c>
      <c r="E901" t="str">
        <f t="shared" si="30"/>
        <v/>
      </c>
      <c r="F901">
        <f t="shared" si="29"/>
        <v>0.68826497720000002</v>
      </c>
      <c r="G901" t="str">
        <f t="shared" si="29"/>
        <v/>
      </c>
    </row>
    <row r="902" spans="1:7" x14ac:dyDescent="0.2">
      <c r="A902" t="s">
        <v>2</v>
      </c>
      <c r="B902">
        <v>0.37669025950000001</v>
      </c>
      <c r="C902">
        <v>0</v>
      </c>
      <c r="D902">
        <f t="shared" si="30"/>
        <v>0</v>
      </c>
      <c r="E902" t="str">
        <f t="shared" si="30"/>
        <v/>
      </c>
      <c r="F902">
        <f t="shared" si="29"/>
        <v>0.37669025950000001</v>
      </c>
      <c r="G902" t="str">
        <f t="shared" si="29"/>
        <v/>
      </c>
    </row>
    <row r="903" spans="1:7" x14ac:dyDescent="0.2">
      <c r="A903" t="s">
        <v>2</v>
      </c>
      <c r="B903">
        <v>0.47590771199999998</v>
      </c>
      <c r="C903">
        <v>1</v>
      </c>
      <c r="D903">
        <f t="shared" si="30"/>
        <v>1</v>
      </c>
      <c r="E903" t="str">
        <f t="shared" si="30"/>
        <v/>
      </c>
      <c r="F903">
        <f t="shared" si="29"/>
        <v>0.47590771199999998</v>
      </c>
      <c r="G903" t="str">
        <f t="shared" si="29"/>
        <v/>
      </c>
    </row>
    <row r="904" spans="1:7" x14ac:dyDescent="0.2">
      <c r="A904" t="s">
        <v>2</v>
      </c>
      <c r="B904">
        <v>0.54833879669999996</v>
      </c>
      <c r="C904">
        <v>0</v>
      </c>
      <c r="D904">
        <f t="shared" si="30"/>
        <v>0</v>
      </c>
      <c r="E904" t="str">
        <f t="shared" si="30"/>
        <v/>
      </c>
      <c r="F904">
        <f t="shared" si="29"/>
        <v>0.54833879669999996</v>
      </c>
      <c r="G904" t="str">
        <f t="shared" si="29"/>
        <v/>
      </c>
    </row>
    <row r="905" spans="1:7" x14ac:dyDescent="0.2">
      <c r="A905" t="s">
        <v>2</v>
      </c>
      <c r="B905">
        <v>0.37231978189999998</v>
      </c>
      <c r="C905">
        <v>1</v>
      </c>
      <c r="D905">
        <f t="shared" si="30"/>
        <v>1</v>
      </c>
      <c r="E905" t="str">
        <f t="shared" si="30"/>
        <v/>
      </c>
      <c r="F905">
        <f t="shared" si="29"/>
        <v>0.37231978189999998</v>
      </c>
      <c r="G905" t="str">
        <f t="shared" si="29"/>
        <v/>
      </c>
    </row>
    <row r="906" spans="1:7" x14ac:dyDescent="0.2">
      <c r="A906" t="s">
        <v>2</v>
      </c>
      <c r="B906">
        <v>0.18309856159999999</v>
      </c>
      <c r="C906">
        <v>0</v>
      </c>
      <c r="D906">
        <f t="shared" si="30"/>
        <v>0</v>
      </c>
      <c r="E906" t="str">
        <f t="shared" si="30"/>
        <v/>
      </c>
      <c r="F906">
        <f t="shared" si="29"/>
        <v>0.18309856159999999</v>
      </c>
      <c r="G906" t="str">
        <f t="shared" si="29"/>
        <v/>
      </c>
    </row>
    <row r="907" spans="1:7" x14ac:dyDescent="0.2">
      <c r="A907" t="s">
        <v>2</v>
      </c>
      <c r="B907">
        <v>0.67607116980000004</v>
      </c>
      <c r="C907">
        <v>0</v>
      </c>
      <c r="D907">
        <f t="shared" si="30"/>
        <v>0</v>
      </c>
      <c r="E907" t="str">
        <f t="shared" si="30"/>
        <v/>
      </c>
      <c r="F907">
        <f t="shared" si="29"/>
        <v>0.67607116980000004</v>
      </c>
      <c r="G907" t="str">
        <f t="shared" si="29"/>
        <v/>
      </c>
    </row>
    <row r="908" spans="1:7" x14ac:dyDescent="0.2">
      <c r="A908" t="s">
        <v>2</v>
      </c>
      <c r="B908">
        <v>0.12941330770000001</v>
      </c>
      <c r="C908">
        <v>0</v>
      </c>
      <c r="D908">
        <f t="shared" si="30"/>
        <v>0</v>
      </c>
      <c r="E908" t="str">
        <f t="shared" si="30"/>
        <v/>
      </c>
      <c r="F908">
        <f t="shared" si="29"/>
        <v>0.12941330770000001</v>
      </c>
      <c r="G908" t="str">
        <f t="shared" si="29"/>
        <v/>
      </c>
    </row>
    <row r="909" spans="1:7" x14ac:dyDescent="0.2">
      <c r="A909" t="s">
        <v>2</v>
      </c>
      <c r="B909">
        <v>0.1499516135</v>
      </c>
      <c r="C909">
        <v>0</v>
      </c>
      <c r="D909">
        <f t="shared" si="30"/>
        <v>0</v>
      </c>
      <c r="E909" t="str">
        <f t="shared" si="30"/>
        <v/>
      </c>
      <c r="F909">
        <f t="shared" si="29"/>
        <v>0.1499516135</v>
      </c>
      <c r="G909" t="str">
        <f t="shared" si="29"/>
        <v/>
      </c>
    </row>
    <row r="910" spans="1:7" x14ac:dyDescent="0.2">
      <c r="A910" t="s">
        <v>0</v>
      </c>
      <c r="B910">
        <v>0.76981255280000005</v>
      </c>
      <c r="C910">
        <v>0</v>
      </c>
      <c r="D910" t="str">
        <f t="shared" si="30"/>
        <v/>
      </c>
      <c r="E910">
        <f t="shared" si="30"/>
        <v>0</v>
      </c>
      <c r="F910" t="str">
        <f t="shared" si="29"/>
        <v/>
      </c>
      <c r="G910">
        <f t="shared" si="29"/>
        <v>0.76981255280000005</v>
      </c>
    </row>
    <row r="911" spans="1:7" x14ac:dyDescent="0.2">
      <c r="A911" t="s">
        <v>2</v>
      </c>
      <c r="B911">
        <v>0.28269849279999998</v>
      </c>
      <c r="C911">
        <v>0</v>
      </c>
      <c r="D911">
        <f t="shared" si="30"/>
        <v>0</v>
      </c>
      <c r="E911" t="str">
        <f t="shared" si="30"/>
        <v/>
      </c>
      <c r="F911">
        <f t="shared" si="29"/>
        <v>0.28269849279999998</v>
      </c>
      <c r="G911" t="str">
        <f t="shared" si="29"/>
        <v/>
      </c>
    </row>
    <row r="912" spans="1:7" x14ac:dyDescent="0.2">
      <c r="A912" t="s">
        <v>2</v>
      </c>
      <c r="B912">
        <v>0.42978169980000003</v>
      </c>
      <c r="C912">
        <v>0</v>
      </c>
      <c r="D912">
        <f t="shared" si="30"/>
        <v>0</v>
      </c>
      <c r="E912" t="str">
        <f t="shared" si="30"/>
        <v/>
      </c>
      <c r="F912">
        <f t="shared" si="29"/>
        <v>0.42978169980000003</v>
      </c>
      <c r="G912" t="str">
        <f t="shared" si="29"/>
        <v/>
      </c>
    </row>
    <row r="913" spans="1:7" x14ac:dyDescent="0.2">
      <c r="A913" t="s">
        <v>2</v>
      </c>
      <c r="B913">
        <v>0.30929850409999998</v>
      </c>
      <c r="C913">
        <v>0</v>
      </c>
      <c r="D913">
        <f t="shared" si="30"/>
        <v>0</v>
      </c>
      <c r="E913" t="str">
        <f t="shared" si="30"/>
        <v/>
      </c>
      <c r="F913">
        <f t="shared" si="29"/>
        <v>0.30929850409999998</v>
      </c>
      <c r="G913" t="str">
        <f t="shared" si="29"/>
        <v/>
      </c>
    </row>
    <row r="914" spans="1:7" x14ac:dyDescent="0.2">
      <c r="A914" t="s">
        <v>2</v>
      </c>
      <c r="B914">
        <v>0.19852154129999999</v>
      </c>
      <c r="C914">
        <v>0</v>
      </c>
      <c r="D914">
        <f t="shared" si="30"/>
        <v>0</v>
      </c>
      <c r="E914" t="str">
        <f t="shared" si="30"/>
        <v/>
      </c>
      <c r="F914">
        <f t="shared" si="29"/>
        <v>0.19852154129999999</v>
      </c>
      <c r="G914" t="str">
        <f t="shared" si="29"/>
        <v/>
      </c>
    </row>
    <row r="915" spans="1:7" x14ac:dyDescent="0.2">
      <c r="A915" t="s">
        <v>0</v>
      </c>
      <c r="B915">
        <v>0.34715381849999999</v>
      </c>
      <c r="C915">
        <v>0</v>
      </c>
      <c r="D915" t="str">
        <f t="shared" si="30"/>
        <v/>
      </c>
      <c r="E915">
        <f t="shared" si="30"/>
        <v>0</v>
      </c>
      <c r="F915" t="str">
        <f t="shared" si="29"/>
        <v/>
      </c>
      <c r="G915">
        <f t="shared" si="29"/>
        <v>0.34715381849999999</v>
      </c>
    </row>
    <row r="916" spans="1:7" x14ac:dyDescent="0.2">
      <c r="A916" t="s">
        <v>2</v>
      </c>
      <c r="B916">
        <v>0.23175674739999999</v>
      </c>
      <c r="C916">
        <v>0</v>
      </c>
      <c r="D916">
        <f t="shared" si="30"/>
        <v>0</v>
      </c>
      <c r="E916" t="str">
        <f t="shared" si="30"/>
        <v/>
      </c>
      <c r="F916">
        <f t="shared" si="29"/>
        <v>0.23175674739999999</v>
      </c>
      <c r="G916" t="str">
        <f t="shared" si="29"/>
        <v/>
      </c>
    </row>
    <row r="917" spans="1:7" x14ac:dyDescent="0.2">
      <c r="A917" t="s">
        <v>2</v>
      </c>
      <c r="B917">
        <v>0.83222744589999997</v>
      </c>
      <c r="C917">
        <v>1</v>
      </c>
      <c r="D917">
        <f t="shared" si="30"/>
        <v>1</v>
      </c>
      <c r="E917" t="str">
        <f t="shared" si="30"/>
        <v/>
      </c>
      <c r="F917">
        <f t="shared" si="29"/>
        <v>0.83222744589999997</v>
      </c>
      <c r="G917" t="str">
        <f t="shared" si="29"/>
        <v/>
      </c>
    </row>
    <row r="918" spans="1:7" x14ac:dyDescent="0.2">
      <c r="A918" t="s">
        <v>0</v>
      </c>
      <c r="B918">
        <v>0.26175606940000001</v>
      </c>
      <c r="C918">
        <v>1</v>
      </c>
      <c r="D918" t="str">
        <f t="shared" si="30"/>
        <v/>
      </c>
      <c r="E918">
        <f t="shared" si="30"/>
        <v>1</v>
      </c>
      <c r="F918" t="str">
        <f t="shared" si="29"/>
        <v/>
      </c>
      <c r="G918">
        <f t="shared" si="29"/>
        <v>0.26175606940000001</v>
      </c>
    </row>
    <row r="919" spans="1:7" x14ac:dyDescent="0.2">
      <c r="A919" t="s">
        <v>2</v>
      </c>
      <c r="B919">
        <v>0.1235861372</v>
      </c>
      <c r="C919">
        <v>1</v>
      </c>
      <c r="D919">
        <f t="shared" si="30"/>
        <v>1</v>
      </c>
      <c r="E919" t="str">
        <f t="shared" si="30"/>
        <v/>
      </c>
      <c r="F919">
        <f t="shared" si="29"/>
        <v>0.1235861372</v>
      </c>
      <c r="G919" t="str">
        <f t="shared" si="29"/>
        <v/>
      </c>
    </row>
    <row r="920" spans="1:7" x14ac:dyDescent="0.2">
      <c r="A920" t="s">
        <v>2</v>
      </c>
      <c r="B920">
        <v>0.132565023</v>
      </c>
      <c r="C920">
        <v>0</v>
      </c>
      <c r="D920">
        <f t="shared" si="30"/>
        <v>0</v>
      </c>
      <c r="E920" t="str">
        <f t="shared" si="30"/>
        <v/>
      </c>
      <c r="F920">
        <f t="shared" si="29"/>
        <v>0.132565023</v>
      </c>
      <c r="G920" t="str">
        <f t="shared" si="29"/>
        <v/>
      </c>
    </row>
    <row r="921" spans="1:7" x14ac:dyDescent="0.2">
      <c r="A921" t="s">
        <v>2</v>
      </c>
      <c r="B921">
        <v>0.26274616629999997</v>
      </c>
      <c r="C921">
        <v>0</v>
      </c>
      <c r="D921">
        <f t="shared" si="30"/>
        <v>0</v>
      </c>
      <c r="E921" t="str">
        <f t="shared" si="30"/>
        <v/>
      </c>
      <c r="F921">
        <f t="shared" si="29"/>
        <v>0.26274616629999997</v>
      </c>
      <c r="G921" t="str">
        <f t="shared" si="29"/>
        <v/>
      </c>
    </row>
    <row r="922" spans="1:7" x14ac:dyDescent="0.2">
      <c r="A922" t="s">
        <v>2</v>
      </c>
      <c r="B922">
        <v>0.1165591867</v>
      </c>
      <c r="C922">
        <v>0</v>
      </c>
      <c r="D922">
        <f t="shared" si="30"/>
        <v>0</v>
      </c>
      <c r="E922" t="str">
        <f t="shared" si="30"/>
        <v/>
      </c>
      <c r="F922">
        <f t="shared" si="29"/>
        <v>0.1165591867</v>
      </c>
      <c r="G922" t="str">
        <f t="shared" si="29"/>
        <v/>
      </c>
    </row>
    <row r="923" spans="1:7" x14ac:dyDescent="0.2">
      <c r="A923" t="s">
        <v>2</v>
      </c>
      <c r="B923">
        <v>0.22794410609999999</v>
      </c>
      <c r="C923">
        <v>1</v>
      </c>
      <c r="D923">
        <f t="shared" si="30"/>
        <v>1</v>
      </c>
      <c r="E923" t="str">
        <f t="shared" si="30"/>
        <v/>
      </c>
      <c r="F923">
        <f t="shared" si="29"/>
        <v>0.22794410609999999</v>
      </c>
      <c r="G923" t="str">
        <f t="shared" si="29"/>
        <v/>
      </c>
    </row>
    <row r="924" spans="1:7" x14ac:dyDescent="0.2">
      <c r="A924" t="s">
        <v>0</v>
      </c>
      <c r="B924">
        <v>0.51217510629999996</v>
      </c>
      <c r="C924">
        <v>0</v>
      </c>
      <c r="D924" t="str">
        <f t="shared" si="30"/>
        <v/>
      </c>
      <c r="E924">
        <f t="shared" si="30"/>
        <v>0</v>
      </c>
      <c r="F924" t="str">
        <f t="shared" si="29"/>
        <v/>
      </c>
      <c r="G924">
        <f t="shared" si="29"/>
        <v>0.51217510629999996</v>
      </c>
    </row>
    <row r="925" spans="1:7" x14ac:dyDescent="0.2">
      <c r="A925" t="s">
        <v>2</v>
      </c>
      <c r="B925">
        <v>0.78842807739999998</v>
      </c>
      <c r="C925">
        <v>1</v>
      </c>
      <c r="D925">
        <f t="shared" si="30"/>
        <v>1</v>
      </c>
      <c r="E925" t="str">
        <f t="shared" si="30"/>
        <v/>
      </c>
      <c r="F925">
        <f t="shared" si="29"/>
        <v>0.78842807739999998</v>
      </c>
      <c r="G925" t="str">
        <f t="shared" si="29"/>
        <v/>
      </c>
    </row>
    <row r="926" spans="1:7" x14ac:dyDescent="0.2">
      <c r="A926" t="s">
        <v>2</v>
      </c>
      <c r="B926">
        <v>0.50594577159999998</v>
      </c>
      <c r="C926">
        <v>1</v>
      </c>
      <c r="D926">
        <f t="shared" si="30"/>
        <v>1</v>
      </c>
      <c r="E926" t="str">
        <f t="shared" si="30"/>
        <v/>
      </c>
      <c r="F926">
        <f t="shared" si="29"/>
        <v>0.50594577159999998</v>
      </c>
      <c r="G926" t="str">
        <f t="shared" si="29"/>
        <v/>
      </c>
    </row>
    <row r="927" spans="1:7" x14ac:dyDescent="0.2">
      <c r="A927" t="s">
        <v>2</v>
      </c>
      <c r="B927">
        <v>0.51494717869999995</v>
      </c>
      <c r="C927">
        <v>1</v>
      </c>
      <c r="D927">
        <f t="shared" si="30"/>
        <v>1</v>
      </c>
      <c r="E927" t="str">
        <f t="shared" si="30"/>
        <v/>
      </c>
      <c r="F927">
        <f t="shared" si="29"/>
        <v>0.51494717869999995</v>
      </c>
      <c r="G927" t="str">
        <f t="shared" si="29"/>
        <v/>
      </c>
    </row>
    <row r="928" spans="1:7" x14ac:dyDescent="0.2">
      <c r="A928" t="s">
        <v>0</v>
      </c>
      <c r="B928">
        <v>0.53888207519999998</v>
      </c>
      <c r="C928">
        <v>0</v>
      </c>
      <c r="D928" t="str">
        <f t="shared" si="30"/>
        <v/>
      </c>
      <c r="E928">
        <f t="shared" si="30"/>
        <v>0</v>
      </c>
      <c r="F928" t="str">
        <f t="shared" si="29"/>
        <v/>
      </c>
      <c r="G928">
        <f t="shared" si="29"/>
        <v>0.53888207519999998</v>
      </c>
    </row>
    <row r="929" spans="1:7" x14ac:dyDescent="0.2">
      <c r="A929" t="s">
        <v>0</v>
      </c>
      <c r="B929">
        <v>0.65689289510000004</v>
      </c>
      <c r="C929">
        <v>1</v>
      </c>
      <c r="D929" t="str">
        <f t="shared" si="30"/>
        <v/>
      </c>
      <c r="E929">
        <f t="shared" si="30"/>
        <v>1</v>
      </c>
      <c r="F929" t="str">
        <f t="shared" si="29"/>
        <v/>
      </c>
      <c r="G929">
        <f t="shared" si="29"/>
        <v>0.65689289510000004</v>
      </c>
    </row>
    <row r="930" spans="1:7" x14ac:dyDescent="0.2">
      <c r="A930" t="s">
        <v>2</v>
      </c>
      <c r="B930">
        <v>0.22350025979999999</v>
      </c>
      <c r="C930">
        <v>0</v>
      </c>
      <c r="D930">
        <f t="shared" si="30"/>
        <v>0</v>
      </c>
      <c r="E930" t="str">
        <f t="shared" si="30"/>
        <v/>
      </c>
      <c r="F930">
        <f t="shared" si="29"/>
        <v>0.22350025979999999</v>
      </c>
      <c r="G930" t="str">
        <f t="shared" si="29"/>
        <v/>
      </c>
    </row>
    <row r="931" spans="1:7" x14ac:dyDescent="0.2">
      <c r="A931" t="s">
        <v>0</v>
      </c>
      <c r="B931">
        <v>0.1166324239</v>
      </c>
      <c r="C931">
        <v>0</v>
      </c>
      <c r="D931" t="str">
        <f t="shared" si="30"/>
        <v/>
      </c>
      <c r="E931">
        <f t="shared" si="30"/>
        <v>0</v>
      </c>
      <c r="F931" t="str">
        <f t="shared" si="29"/>
        <v/>
      </c>
      <c r="G931">
        <f t="shared" si="29"/>
        <v>0.1166324239</v>
      </c>
    </row>
    <row r="932" spans="1:7" x14ac:dyDescent="0.2">
      <c r="A932" t="s">
        <v>2</v>
      </c>
      <c r="B932">
        <v>0.74659981509999995</v>
      </c>
      <c r="C932">
        <v>1</v>
      </c>
      <c r="D932">
        <f t="shared" si="30"/>
        <v>1</v>
      </c>
      <c r="E932" t="str">
        <f t="shared" si="30"/>
        <v/>
      </c>
      <c r="F932">
        <f t="shared" si="29"/>
        <v>0.74659981509999995</v>
      </c>
      <c r="G932" t="str">
        <f t="shared" si="29"/>
        <v/>
      </c>
    </row>
    <row r="933" spans="1:7" x14ac:dyDescent="0.2">
      <c r="A933" t="s">
        <v>0</v>
      </c>
      <c r="B933">
        <v>0.13057294929999999</v>
      </c>
      <c r="C933">
        <v>0</v>
      </c>
      <c r="D933" t="str">
        <f t="shared" si="30"/>
        <v/>
      </c>
      <c r="E933">
        <f t="shared" si="30"/>
        <v>0</v>
      </c>
      <c r="F933" t="str">
        <f t="shared" si="29"/>
        <v/>
      </c>
      <c r="G933">
        <f t="shared" si="29"/>
        <v>0.13057294929999999</v>
      </c>
    </row>
    <row r="934" spans="1:7" x14ac:dyDescent="0.2">
      <c r="A934" t="s">
        <v>2</v>
      </c>
      <c r="B934">
        <v>0.83209582989999997</v>
      </c>
      <c r="C934">
        <v>1</v>
      </c>
      <c r="D934">
        <f t="shared" si="30"/>
        <v>1</v>
      </c>
      <c r="E934" t="str">
        <f t="shared" si="30"/>
        <v/>
      </c>
      <c r="F934">
        <f t="shared" si="29"/>
        <v>0.83209582989999997</v>
      </c>
      <c r="G934" t="str">
        <f t="shared" si="29"/>
        <v/>
      </c>
    </row>
    <row r="935" spans="1:7" x14ac:dyDescent="0.2">
      <c r="A935" t="s">
        <v>2</v>
      </c>
      <c r="B935">
        <v>0.14950536980000001</v>
      </c>
      <c r="C935">
        <v>1</v>
      </c>
      <c r="D935">
        <f t="shared" si="30"/>
        <v>1</v>
      </c>
      <c r="E935" t="str">
        <f t="shared" si="30"/>
        <v/>
      </c>
      <c r="F935">
        <f t="shared" si="29"/>
        <v>0.14950536980000001</v>
      </c>
      <c r="G935" t="str">
        <f t="shared" si="29"/>
        <v/>
      </c>
    </row>
    <row r="936" spans="1:7" x14ac:dyDescent="0.2">
      <c r="A936" t="s">
        <v>2</v>
      </c>
      <c r="B936">
        <v>0.62967028319999996</v>
      </c>
      <c r="C936">
        <v>0</v>
      </c>
      <c r="D936">
        <f t="shared" si="30"/>
        <v>0</v>
      </c>
      <c r="E936" t="str">
        <f t="shared" si="30"/>
        <v/>
      </c>
      <c r="F936">
        <f t="shared" si="29"/>
        <v>0.62967028319999996</v>
      </c>
      <c r="G936" t="str">
        <f t="shared" si="29"/>
        <v/>
      </c>
    </row>
    <row r="937" spans="1:7" x14ac:dyDescent="0.2">
      <c r="A937" t="s">
        <v>2</v>
      </c>
      <c r="B937">
        <v>0.39941330780000001</v>
      </c>
      <c r="C937">
        <v>0</v>
      </c>
      <c r="D937">
        <f t="shared" si="30"/>
        <v>0</v>
      </c>
      <c r="E937" t="str">
        <f t="shared" si="30"/>
        <v/>
      </c>
      <c r="F937">
        <f t="shared" si="29"/>
        <v>0.39941330780000001</v>
      </c>
      <c r="G937" t="str">
        <f t="shared" si="29"/>
        <v/>
      </c>
    </row>
    <row r="938" spans="1:7" x14ac:dyDescent="0.2">
      <c r="A938" t="s">
        <v>2</v>
      </c>
      <c r="B938">
        <v>0.1207081941</v>
      </c>
      <c r="C938">
        <v>0</v>
      </c>
      <c r="D938">
        <f t="shared" si="30"/>
        <v>0</v>
      </c>
      <c r="E938" t="str">
        <f t="shared" si="30"/>
        <v/>
      </c>
      <c r="F938">
        <f t="shared" si="29"/>
        <v>0.1207081941</v>
      </c>
      <c r="G938" t="str">
        <f t="shared" si="29"/>
        <v/>
      </c>
    </row>
    <row r="939" spans="1:7" x14ac:dyDescent="0.2">
      <c r="A939" t="s">
        <v>2</v>
      </c>
      <c r="B939">
        <v>0.42355374890000003</v>
      </c>
      <c r="C939">
        <v>0</v>
      </c>
      <c r="D939">
        <f t="shared" si="30"/>
        <v>0</v>
      </c>
      <c r="E939" t="str">
        <f t="shared" si="30"/>
        <v/>
      </c>
      <c r="F939">
        <f t="shared" si="29"/>
        <v>0.42355374890000003</v>
      </c>
      <c r="G939" t="str">
        <f t="shared" si="29"/>
        <v/>
      </c>
    </row>
    <row r="940" spans="1:7" x14ac:dyDescent="0.2">
      <c r="A940" t="s">
        <v>2</v>
      </c>
      <c r="B940">
        <v>0.6152180384</v>
      </c>
      <c r="C940">
        <v>0</v>
      </c>
      <c r="D940">
        <f t="shared" si="30"/>
        <v>0</v>
      </c>
      <c r="E940" t="str">
        <f t="shared" si="30"/>
        <v/>
      </c>
      <c r="F940">
        <f t="shared" si="29"/>
        <v>0.6152180384</v>
      </c>
      <c r="G940" t="str">
        <f t="shared" si="29"/>
        <v/>
      </c>
    </row>
    <row r="941" spans="1:7" x14ac:dyDescent="0.2">
      <c r="A941" t="s">
        <v>2</v>
      </c>
      <c r="B941">
        <v>0.50266481630000004</v>
      </c>
      <c r="C941">
        <v>1</v>
      </c>
      <c r="D941">
        <f t="shared" si="30"/>
        <v>1</v>
      </c>
      <c r="E941" t="str">
        <f t="shared" si="30"/>
        <v/>
      </c>
      <c r="F941">
        <f t="shared" si="29"/>
        <v>0.50266481630000004</v>
      </c>
      <c r="G941" t="str">
        <f t="shared" si="29"/>
        <v/>
      </c>
    </row>
    <row r="942" spans="1:7" x14ac:dyDescent="0.2">
      <c r="A942" t="s">
        <v>2</v>
      </c>
      <c r="B942">
        <v>0.32970664820000001</v>
      </c>
      <c r="C942">
        <v>1</v>
      </c>
      <c r="D942">
        <f t="shared" si="30"/>
        <v>1</v>
      </c>
      <c r="E942" t="str">
        <f t="shared" si="30"/>
        <v/>
      </c>
      <c r="F942">
        <f t="shared" si="29"/>
        <v>0.32970664820000001</v>
      </c>
      <c r="G942" t="str">
        <f t="shared" si="29"/>
        <v/>
      </c>
    </row>
    <row r="943" spans="1:7" x14ac:dyDescent="0.2">
      <c r="A943" t="s">
        <v>2</v>
      </c>
      <c r="B943">
        <v>0.39752354080000002</v>
      </c>
      <c r="C943">
        <v>1</v>
      </c>
      <c r="D943">
        <f t="shared" si="30"/>
        <v>1</v>
      </c>
      <c r="E943" t="str">
        <f t="shared" si="30"/>
        <v/>
      </c>
      <c r="F943">
        <f t="shared" si="29"/>
        <v>0.39752354080000002</v>
      </c>
      <c r="G943" t="str">
        <f t="shared" si="29"/>
        <v/>
      </c>
    </row>
    <row r="944" spans="1:7" x14ac:dyDescent="0.2">
      <c r="A944" t="s">
        <v>0</v>
      </c>
      <c r="B944">
        <v>0.17774449449999999</v>
      </c>
      <c r="C944">
        <v>0</v>
      </c>
      <c r="D944" t="str">
        <f t="shared" si="30"/>
        <v/>
      </c>
      <c r="E944">
        <f t="shared" si="30"/>
        <v>0</v>
      </c>
      <c r="F944" t="str">
        <f t="shared" si="29"/>
        <v/>
      </c>
      <c r="G944">
        <f t="shared" si="29"/>
        <v>0.17774449449999999</v>
      </c>
    </row>
    <row r="945" spans="1:7" x14ac:dyDescent="0.2">
      <c r="A945" t="s">
        <v>0</v>
      </c>
      <c r="B945">
        <v>0.31523209889999998</v>
      </c>
      <c r="C945">
        <v>0</v>
      </c>
      <c r="D945" t="str">
        <f t="shared" si="30"/>
        <v/>
      </c>
      <c r="E945">
        <f t="shared" si="30"/>
        <v>0</v>
      </c>
      <c r="F945" t="str">
        <f t="shared" si="29"/>
        <v/>
      </c>
      <c r="G945">
        <f t="shared" si="29"/>
        <v>0.31523209889999998</v>
      </c>
    </row>
    <row r="946" spans="1:7" x14ac:dyDescent="0.2">
      <c r="A946" t="s">
        <v>2</v>
      </c>
      <c r="B946">
        <v>0.30592173659999999</v>
      </c>
      <c r="C946">
        <v>0</v>
      </c>
      <c r="D946">
        <f t="shared" si="30"/>
        <v>0</v>
      </c>
      <c r="E946" t="str">
        <f t="shared" si="30"/>
        <v/>
      </c>
      <c r="F946">
        <f t="shared" si="29"/>
        <v>0.30592173659999999</v>
      </c>
      <c r="G946" t="str">
        <f t="shared" si="29"/>
        <v/>
      </c>
    </row>
    <row r="947" spans="1:7" x14ac:dyDescent="0.2">
      <c r="A947" t="s">
        <v>0</v>
      </c>
      <c r="B947">
        <v>0.41493306520000001</v>
      </c>
      <c r="C947">
        <v>1</v>
      </c>
      <c r="D947" t="str">
        <f t="shared" si="30"/>
        <v/>
      </c>
      <c r="E947">
        <f t="shared" si="30"/>
        <v>1</v>
      </c>
      <c r="F947" t="str">
        <f t="shared" si="29"/>
        <v/>
      </c>
      <c r="G947">
        <f t="shared" si="29"/>
        <v>0.41493306520000001</v>
      </c>
    </row>
    <row r="948" spans="1:7" x14ac:dyDescent="0.2">
      <c r="A948" t="s">
        <v>2</v>
      </c>
      <c r="B948">
        <v>0.25146738210000003</v>
      </c>
      <c r="C948">
        <v>0</v>
      </c>
      <c r="D948">
        <f t="shared" si="30"/>
        <v>0</v>
      </c>
      <c r="E948" t="str">
        <f t="shared" si="30"/>
        <v/>
      </c>
      <c r="F948">
        <f t="shared" si="29"/>
        <v>0.25146738210000003</v>
      </c>
      <c r="G948" t="str">
        <f t="shared" si="29"/>
        <v/>
      </c>
    </row>
    <row r="949" spans="1:7" x14ac:dyDescent="0.2">
      <c r="A949" t="s">
        <v>2</v>
      </c>
      <c r="B949">
        <v>0.489879695</v>
      </c>
      <c r="C949">
        <v>1</v>
      </c>
      <c r="D949">
        <f t="shared" si="30"/>
        <v>1</v>
      </c>
      <c r="E949" t="str">
        <f t="shared" si="30"/>
        <v/>
      </c>
      <c r="F949">
        <f t="shared" si="29"/>
        <v>0.489879695</v>
      </c>
      <c r="G949" t="str">
        <f t="shared" si="29"/>
        <v/>
      </c>
    </row>
    <row r="950" spans="1:7" x14ac:dyDescent="0.2">
      <c r="A950" t="s">
        <v>2</v>
      </c>
      <c r="B950">
        <v>0.69267852500000004</v>
      </c>
      <c r="C950">
        <v>1</v>
      </c>
      <c r="D950">
        <f t="shared" si="30"/>
        <v>1</v>
      </c>
      <c r="E950" t="str">
        <f t="shared" si="30"/>
        <v/>
      </c>
      <c r="F950">
        <f t="shared" si="29"/>
        <v>0.69267852500000004</v>
      </c>
      <c r="G950" t="str">
        <f t="shared" si="29"/>
        <v/>
      </c>
    </row>
    <row r="951" spans="1:7" x14ac:dyDescent="0.2">
      <c r="A951" t="s">
        <v>2</v>
      </c>
      <c r="B951">
        <v>0.21313219210000001</v>
      </c>
      <c r="C951">
        <v>0</v>
      </c>
      <c r="D951">
        <f t="shared" si="30"/>
        <v>0</v>
      </c>
      <c r="E951" t="str">
        <f t="shared" si="30"/>
        <v/>
      </c>
      <c r="F951">
        <f t="shared" si="29"/>
        <v>0.21313219210000001</v>
      </c>
      <c r="G951" t="str">
        <f t="shared" si="29"/>
        <v/>
      </c>
    </row>
    <row r="952" spans="1:7" x14ac:dyDescent="0.2">
      <c r="A952" t="s">
        <v>2</v>
      </c>
      <c r="B952">
        <v>0.43568431089999998</v>
      </c>
      <c r="C952">
        <v>1</v>
      </c>
      <c r="D952">
        <f t="shared" si="30"/>
        <v>1</v>
      </c>
      <c r="E952" t="str">
        <f t="shared" si="30"/>
        <v/>
      </c>
      <c r="F952">
        <f t="shared" si="29"/>
        <v>0.43568431089999998</v>
      </c>
      <c r="G952" t="str">
        <f t="shared" si="29"/>
        <v/>
      </c>
    </row>
    <row r="953" spans="1:7" x14ac:dyDescent="0.2">
      <c r="A953" t="s">
        <v>0</v>
      </c>
      <c r="B953">
        <v>0.44553927500000001</v>
      </c>
      <c r="C953">
        <v>1</v>
      </c>
      <c r="D953" t="str">
        <f t="shared" si="30"/>
        <v/>
      </c>
      <c r="E953">
        <f t="shared" si="30"/>
        <v>1</v>
      </c>
      <c r="F953" t="str">
        <f t="shared" si="29"/>
        <v/>
      </c>
      <c r="G953">
        <f t="shared" si="29"/>
        <v>0.44553927500000001</v>
      </c>
    </row>
    <row r="954" spans="1:7" x14ac:dyDescent="0.2">
      <c r="A954" t="s">
        <v>2</v>
      </c>
      <c r="B954">
        <v>0.69423360450000005</v>
      </c>
      <c r="C954">
        <v>1</v>
      </c>
      <c r="D954">
        <f t="shared" si="30"/>
        <v>1</v>
      </c>
      <c r="E954" t="str">
        <f t="shared" si="30"/>
        <v/>
      </c>
      <c r="F954">
        <f t="shared" si="29"/>
        <v>0.69423360450000005</v>
      </c>
      <c r="G954" t="str">
        <f t="shared" si="29"/>
        <v/>
      </c>
    </row>
    <row r="955" spans="1:7" x14ac:dyDescent="0.2">
      <c r="A955" t="s">
        <v>2</v>
      </c>
      <c r="B955">
        <v>0.38734884159999999</v>
      </c>
      <c r="C955">
        <v>0</v>
      </c>
      <c r="D955">
        <f t="shared" si="30"/>
        <v>0</v>
      </c>
      <c r="E955" t="str">
        <f t="shared" si="30"/>
        <v/>
      </c>
      <c r="F955">
        <f t="shared" si="29"/>
        <v>0.38734884159999999</v>
      </c>
      <c r="G955" t="str">
        <f t="shared" si="29"/>
        <v/>
      </c>
    </row>
    <row r="956" spans="1:7" x14ac:dyDescent="0.2">
      <c r="A956" t="s">
        <v>2</v>
      </c>
      <c r="B956">
        <v>0.23302575440000001</v>
      </c>
      <c r="C956">
        <v>0</v>
      </c>
      <c r="D956">
        <f t="shared" si="30"/>
        <v>0</v>
      </c>
      <c r="E956" t="str">
        <f t="shared" si="30"/>
        <v/>
      </c>
      <c r="F956">
        <f t="shared" si="29"/>
        <v>0.23302575440000001</v>
      </c>
      <c r="G956" t="str">
        <f t="shared" si="29"/>
        <v/>
      </c>
    </row>
    <row r="957" spans="1:7" x14ac:dyDescent="0.2">
      <c r="A957" t="s">
        <v>2</v>
      </c>
      <c r="B957">
        <v>0.55097474219999998</v>
      </c>
      <c r="C957">
        <v>1</v>
      </c>
      <c r="D957">
        <f t="shared" si="30"/>
        <v>1</v>
      </c>
      <c r="E957" t="str">
        <f t="shared" si="30"/>
        <v/>
      </c>
      <c r="F957">
        <f t="shared" si="29"/>
        <v>0.55097474219999998</v>
      </c>
      <c r="G957" t="str">
        <f t="shared" si="29"/>
        <v/>
      </c>
    </row>
    <row r="958" spans="1:7" x14ac:dyDescent="0.2">
      <c r="A958" t="s">
        <v>2</v>
      </c>
      <c r="B958">
        <v>0.77755561169999998</v>
      </c>
      <c r="C958">
        <v>1</v>
      </c>
      <c r="D958">
        <f t="shared" si="30"/>
        <v>1</v>
      </c>
      <c r="E958" t="str">
        <f t="shared" si="30"/>
        <v/>
      </c>
      <c r="F958">
        <f t="shared" si="29"/>
        <v>0.77755561169999998</v>
      </c>
      <c r="G958" t="str">
        <f t="shared" si="29"/>
        <v/>
      </c>
    </row>
    <row r="959" spans="1:7" x14ac:dyDescent="0.2">
      <c r="A959" t="s">
        <v>2</v>
      </c>
      <c r="B959">
        <v>0.41436032969999997</v>
      </c>
      <c r="C959">
        <v>0</v>
      </c>
      <c r="D959">
        <f t="shared" si="30"/>
        <v>0</v>
      </c>
      <c r="E959" t="str">
        <f t="shared" si="30"/>
        <v/>
      </c>
      <c r="F959">
        <f t="shared" si="29"/>
        <v>0.41436032969999997</v>
      </c>
      <c r="G959" t="str">
        <f t="shared" si="29"/>
        <v/>
      </c>
    </row>
    <row r="960" spans="1:7" x14ac:dyDescent="0.2">
      <c r="A960" t="s">
        <v>2</v>
      </c>
      <c r="B960">
        <v>0.1890608627</v>
      </c>
      <c r="C960">
        <v>0</v>
      </c>
      <c r="D960">
        <f t="shared" si="30"/>
        <v>0</v>
      </c>
      <c r="E960" t="str">
        <f t="shared" si="30"/>
        <v/>
      </c>
      <c r="F960">
        <f t="shared" si="29"/>
        <v>0.1890608627</v>
      </c>
      <c r="G960" t="str">
        <f t="shared" si="29"/>
        <v/>
      </c>
    </row>
    <row r="961" spans="1:7" x14ac:dyDescent="0.2">
      <c r="A961" t="s">
        <v>2</v>
      </c>
      <c r="B961">
        <v>0.14919599189999999</v>
      </c>
      <c r="C961">
        <v>0</v>
      </c>
      <c r="D961">
        <f t="shared" si="30"/>
        <v>0</v>
      </c>
      <c r="E961" t="str">
        <f t="shared" si="30"/>
        <v/>
      </c>
      <c r="F961">
        <f t="shared" si="29"/>
        <v>0.14919599189999999</v>
      </c>
      <c r="G961" t="str">
        <f t="shared" si="29"/>
        <v/>
      </c>
    </row>
    <row r="962" spans="1:7" x14ac:dyDescent="0.2">
      <c r="A962" t="s">
        <v>2</v>
      </c>
      <c r="B962">
        <v>0.41431064719999999</v>
      </c>
      <c r="C962">
        <v>0</v>
      </c>
      <c r="D962">
        <f t="shared" si="30"/>
        <v>0</v>
      </c>
      <c r="E962" t="str">
        <f t="shared" si="30"/>
        <v/>
      </c>
      <c r="F962">
        <f t="shared" si="29"/>
        <v>0.41431064719999999</v>
      </c>
      <c r="G962" t="str">
        <f t="shared" si="29"/>
        <v/>
      </c>
    </row>
    <row r="963" spans="1:7" x14ac:dyDescent="0.2">
      <c r="A963" t="s">
        <v>2</v>
      </c>
      <c r="B963">
        <v>0.19443558559999999</v>
      </c>
      <c r="C963">
        <v>0</v>
      </c>
      <c r="D963">
        <f t="shared" si="30"/>
        <v>0</v>
      </c>
      <c r="E963" t="str">
        <f t="shared" si="30"/>
        <v/>
      </c>
      <c r="F963">
        <f t="shared" ref="F963:G1002" si="31">IF($A963=F$1,$B963,"")</f>
        <v>0.19443558559999999</v>
      </c>
      <c r="G963" t="str">
        <f t="shared" si="31"/>
        <v/>
      </c>
    </row>
    <row r="964" spans="1:7" x14ac:dyDescent="0.2">
      <c r="A964" t="s">
        <v>0</v>
      </c>
      <c r="B964">
        <v>0.73535618930000002</v>
      </c>
      <c r="C964">
        <v>1</v>
      </c>
      <c r="D964" t="str">
        <f t="shared" si="30"/>
        <v/>
      </c>
      <c r="E964">
        <f t="shared" si="30"/>
        <v>1</v>
      </c>
      <c r="F964" t="str">
        <f t="shared" si="31"/>
        <v/>
      </c>
      <c r="G964">
        <f t="shared" si="31"/>
        <v>0.73535618930000002</v>
      </c>
    </row>
    <row r="965" spans="1:7" x14ac:dyDescent="0.2">
      <c r="A965" t="s">
        <v>0</v>
      </c>
      <c r="B965">
        <v>0.15705201790000001</v>
      </c>
      <c r="C965">
        <v>1</v>
      </c>
      <c r="D965" t="str">
        <f t="shared" ref="D965:E1002" si="32">IF($A965=D$1,$C965,"")</f>
        <v/>
      </c>
      <c r="E965">
        <f t="shared" si="32"/>
        <v>1</v>
      </c>
      <c r="F965" t="str">
        <f t="shared" si="31"/>
        <v/>
      </c>
      <c r="G965">
        <f t="shared" si="31"/>
        <v>0.15705201790000001</v>
      </c>
    </row>
    <row r="966" spans="1:7" x14ac:dyDescent="0.2">
      <c r="A966" t="s">
        <v>2</v>
      </c>
      <c r="B966">
        <v>9.4841450499999994E-2</v>
      </c>
      <c r="C966">
        <v>0</v>
      </c>
      <c r="D966">
        <f t="shared" si="32"/>
        <v>0</v>
      </c>
      <c r="E966" t="str">
        <f t="shared" si="32"/>
        <v/>
      </c>
      <c r="F966">
        <f t="shared" si="31"/>
        <v>9.4841450499999994E-2</v>
      </c>
      <c r="G966" t="str">
        <f t="shared" si="31"/>
        <v/>
      </c>
    </row>
    <row r="967" spans="1:7" x14ac:dyDescent="0.2">
      <c r="A967" t="s">
        <v>2</v>
      </c>
      <c r="B967">
        <v>0.43869893580000002</v>
      </c>
      <c r="C967">
        <v>0</v>
      </c>
      <c r="D967">
        <f t="shared" si="32"/>
        <v>0</v>
      </c>
      <c r="E967" t="str">
        <f t="shared" si="32"/>
        <v/>
      </c>
      <c r="F967">
        <f t="shared" si="31"/>
        <v>0.43869893580000002</v>
      </c>
      <c r="G967" t="str">
        <f t="shared" si="31"/>
        <v/>
      </c>
    </row>
    <row r="968" spans="1:7" x14ac:dyDescent="0.2">
      <c r="A968" t="s">
        <v>2</v>
      </c>
      <c r="B968">
        <v>0.31454181279999999</v>
      </c>
      <c r="C968">
        <v>0</v>
      </c>
      <c r="D968">
        <f t="shared" si="32"/>
        <v>0</v>
      </c>
      <c r="E968" t="str">
        <f t="shared" si="32"/>
        <v/>
      </c>
      <c r="F968">
        <f t="shared" si="31"/>
        <v>0.31454181279999999</v>
      </c>
      <c r="G968" t="str">
        <f t="shared" si="31"/>
        <v/>
      </c>
    </row>
    <row r="969" spans="1:7" x14ac:dyDescent="0.2">
      <c r="A969" t="s">
        <v>2</v>
      </c>
      <c r="B969">
        <v>0.54338590040000001</v>
      </c>
      <c r="C969">
        <v>0</v>
      </c>
      <c r="D969">
        <f t="shared" si="32"/>
        <v>0</v>
      </c>
      <c r="E969" t="str">
        <f t="shared" si="32"/>
        <v/>
      </c>
      <c r="F969">
        <f t="shared" si="31"/>
        <v>0.54338590040000001</v>
      </c>
      <c r="G969" t="str">
        <f t="shared" si="31"/>
        <v/>
      </c>
    </row>
    <row r="970" spans="1:7" x14ac:dyDescent="0.2">
      <c r="A970" t="s">
        <v>0</v>
      </c>
      <c r="B970">
        <v>0.4045779108</v>
      </c>
      <c r="C970">
        <v>0</v>
      </c>
      <c r="D970" t="str">
        <f t="shared" si="32"/>
        <v/>
      </c>
      <c r="E970">
        <f t="shared" si="32"/>
        <v>0</v>
      </c>
      <c r="F970" t="str">
        <f t="shared" si="31"/>
        <v/>
      </c>
      <c r="G970">
        <f t="shared" si="31"/>
        <v>0.4045779108</v>
      </c>
    </row>
    <row r="971" spans="1:7" x14ac:dyDescent="0.2">
      <c r="A971" t="s">
        <v>0</v>
      </c>
      <c r="B971">
        <v>0.46543760280000002</v>
      </c>
      <c r="C971">
        <v>0</v>
      </c>
      <c r="D971" t="str">
        <f t="shared" si="32"/>
        <v/>
      </c>
      <c r="E971">
        <f t="shared" si="32"/>
        <v>0</v>
      </c>
      <c r="F971" t="str">
        <f t="shared" si="31"/>
        <v/>
      </c>
      <c r="G971">
        <f t="shared" si="31"/>
        <v>0.46543760280000002</v>
      </c>
    </row>
    <row r="972" spans="1:7" x14ac:dyDescent="0.2">
      <c r="A972" t="s">
        <v>2</v>
      </c>
      <c r="B972">
        <v>0.57609245730000003</v>
      </c>
      <c r="C972">
        <v>1</v>
      </c>
      <c r="D972">
        <f t="shared" si="32"/>
        <v>1</v>
      </c>
      <c r="E972" t="str">
        <f t="shared" si="32"/>
        <v/>
      </c>
      <c r="F972">
        <f t="shared" si="31"/>
        <v>0.57609245730000003</v>
      </c>
      <c r="G972" t="str">
        <f t="shared" si="31"/>
        <v/>
      </c>
    </row>
    <row r="973" spans="1:7" x14ac:dyDescent="0.2">
      <c r="A973" t="s">
        <v>0</v>
      </c>
      <c r="B973">
        <v>0.40392689040000002</v>
      </c>
      <c r="C973">
        <v>0</v>
      </c>
      <c r="D973" t="str">
        <f t="shared" si="32"/>
        <v/>
      </c>
      <c r="E973">
        <f t="shared" si="32"/>
        <v>0</v>
      </c>
      <c r="F973" t="str">
        <f t="shared" si="31"/>
        <v/>
      </c>
      <c r="G973">
        <f t="shared" si="31"/>
        <v>0.40392689040000002</v>
      </c>
    </row>
    <row r="974" spans="1:7" x14ac:dyDescent="0.2">
      <c r="A974" t="s">
        <v>0</v>
      </c>
      <c r="B974">
        <v>0.56421616419999998</v>
      </c>
      <c r="C974">
        <v>0</v>
      </c>
      <c r="D974" t="str">
        <f t="shared" si="32"/>
        <v/>
      </c>
      <c r="E974">
        <f t="shared" si="32"/>
        <v>0</v>
      </c>
      <c r="F974" t="str">
        <f t="shared" si="31"/>
        <v/>
      </c>
      <c r="G974">
        <f t="shared" si="31"/>
        <v>0.56421616419999998</v>
      </c>
    </row>
    <row r="975" spans="1:7" x14ac:dyDescent="0.2">
      <c r="A975" t="s">
        <v>0</v>
      </c>
      <c r="B975">
        <v>0.49808526479999998</v>
      </c>
      <c r="C975">
        <v>1</v>
      </c>
      <c r="D975" t="str">
        <f t="shared" si="32"/>
        <v/>
      </c>
      <c r="E975">
        <f t="shared" si="32"/>
        <v>1</v>
      </c>
      <c r="F975" t="str">
        <f t="shared" si="31"/>
        <v/>
      </c>
      <c r="G975">
        <f t="shared" si="31"/>
        <v>0.49808526479999998</v>
      </c>
    </row>
    <row r="976" spans="1:7" x14ac:dyDescent="0.2">
      <c r="A976" t="s">
        <v>2</v>
      </c>
      <c r="B976">
        <v>0.45816755980000001</v>
      </c>
      <c r="C976">
        <v>0</v>
      </c>
      <c r="D976">
        <f t="shared" si="32"/>
        <v>0</v>
      </c>
      <c r="E976" t="str">
        <f t="shared" si="32"/>
        <v/>
      </c>
      <c r="F976">
        <f t="shared" si="31"/>
        <v>0.45816755980000001</v>
      </c>
      <c r="G976" t="str">
        <f t="shared" si="31"/>
        <v/>
      </c>
    </row>
    <row r="977" spans="1:7" x14ac:dyDescent="0.2">
      <c r="A977" t="s">
        <v>2</v>
      </c>
      <c r="B977">
        <v>0.468646968</v>
      </c>
      <c r="C977">
        <v>1</v>
      </c>
      <c r="D977">
        <f t="shared" si="32"/>
        <v>1</v>
      </c>
      <c r="E977" t="str">
        <f t="shared" si="32"/>
        <v/>
      </c>
      <c r="F977">
        <f t="shared" si="31"/>
        <v>0.468646968</v>
      </c>
      <c r="G977" t="str">
        <f t="shared" si="31"/>
        <v/>
      </c>
    </row>
    <row r="978" spans="1:7" x14ac:dyDescent="0.2">
      <c r="A978" t="s">
        <v>2</v>
      </c>
      <c r="B978">
        <v>0.82424966639999997</v>
      </c>
      <c r="C978">
        <v>1</v>
      </c>
      <c r="D978">
        <f t="shared" si="32"/>
        <v>1</v>
      </c>
      <c r="E978" t="str">
        <f t="shared" si="32"/>
        <v/>
      </c>
      <c r="F978">
        <f t="shared" si="31"/>
        <v>0.82424966639999997</v>
      </c>
      <c r="G978" t="str">
        <f t="shared" si="31"/>
        <v/>
      </c>
    </row>
    <row r="979" spans="1:7" x14ac:dyDescent="0.2">
      <c r="A979" t="s">
        <v>2</v>
      </c>
      <c r="B979">
        <v>0.78776513979999996</v>
      </c>
      <c r="C979">
        <v>0</v>
      </c>
      <c r="D979">
        <f t="shared" si="32"/>
        <v>0</v>
      </c>
      <c r="E979" t="str">
        <f t="shared" si="32"/>
        <v/>
      </c>
      <c r="F979">
        <f t="shared" si="31"/>
        <v>0.78776513979999996</v>
      </c>
      <c r="G979" t="str">
        <f t="shared" si="31"/>
        <v/>
      </c>
    </row>
    <row r="980" spans="1:7" x14ac:dyDescent="0.2">
      <c r="A980" t="s">
        <v>2</v>
      </c>
      <c r="B980">
        <v>0.78715349820000002</v>
      </c>
      <c r="C980">
        <v>1</v>
      </c>
      <c r="D980">
        <f t="shared" si="32"/>
        <v>1</v>
      </c>
      <c r="E980" t="str">
        <f t="shared" si="32"/>
        <v/>
      </c>
      <c r="F980">
        <f t="shared" si="31"/>
        <v>0.78715349820000002</v>
      </c>
      <c r="G980" t="str">
        <f t="shared" si="31"/>
        <v/>
      </c>
    </row>
    <row r="981" spans="1:7" x14ac:dyDescent="0.2">
      <c r="A981" t="s">
        <v>2</v>
      </c>
      <c r="B981">
        <v>0.61600794039999995</v>
      </c>
      <c r="C981">
        <v>1</v>
      </c>
      <c r="D981">
        <f t="shared" si="32"/>
        <v>1</v>
      </c>
      <c r="E981" t="str">
        <f t="shared" si="32"/>
        <v/>
      </c>
      <c r="F981">
        <f t="shared" si="31"/>
        <v>0.61600794039999995</v>
      </c>
      <c r="G981" t="str">
        <f t="shared" si="31"/>
        <v/>
      </c>
    </row>
    <row r="982" spans="1:7" x14ac:dyDescent="0.2">
      <c r="A982" t="s">
        <v>2</v>
      </c>
      <c r="B982">
        <v>0.32910175000000003</v>
      </c>
      <c r="C982">
        <v>0</v>
      </c>
      <c r="D982">
        <f t="shared" si="32"/>
        <v>0</v>
      </c>
      <c r="E982" t="str">
        <f t="shared" si="32"/>
        <v/>
      </c>
      <c r="F982">
        <f t="shared" si="31"/>
        <v>0.32910175000000003</v>
      </c>
      <c r="G982" t="str">
        <f t="shared" si="31"/>
        <v/>
      </c>
    </row>
    <row r="983" spans="1:7" x14ac:dyDescent="0.2">
      <c r="A983" t="s">
        <v>2</v>
      </c>
      <c r="B983">
        <v>0.46085372499999999</v>
      </c>
      <c r="C983">
        <v>1</v>
      </c>
      <c r="D983">
        <f t="shared" si="32"/>
        <v>1</v>
      </c>
      <c r="E983" t="str">
        <f t="shared" si="32"/>
        <v/>
      </c>
      <c r="F983">
        <f t="shared" si="31"/>
        <v>0.46085372499999999</v>
      </c>
      <c r="G983" t="str">
        <f t="shared" si="31"/>
        <v/>
      </c>
    </row>
    <row r="984" spans="1:7" x14ac:dyDescent="0.2">
      <c r="A984" t="s">
        <v>0</v>
      </c>
      <c r="B984">
        <v>0.27881755270000003</v>
      </c>
      <c r="C984">
        <v>0</v>
      </c>
      <c r="D984" t="str">
        <f t="shared" si="32"/>
        <v/>
      </c>
      <c r="E984">
        <f t="shared" si="32"/>
        <v>0</v>
      </c>
      <c r="F984" t="str">
        <f t="shared" si="31"/>
        <v/>
      </c>
      <c r="G984">
        <f t="shared" si="31"/>
        <v>0.27881755270000003</v>
      </c>
    </row>
    <row r="985" spans="1:7" x14ac:dyDescent="0.2">
      <c r="A985" t="s">
        <v>2</v>
      </c>
      <c r="B985">
        <v>0.50461931360000001</v>
      </c>
      <c r="C985">
        <v>0</v>
      </c>
      <c r="D985">
        <f t="shared" si="32"/>
        <v>0</v>
      </c>
      <c r="E985" t="str">
        <f t="shared" si="32"/>
        <v/>
      </c>
      <c r="F985">
        <f t="shared" si="31"/>
        <v>0.50461931360000001</v>
      </c>
      <c r="G985" t="str">
        <f t="shared" si="31"/>
        <v/>
      </c>
    </row>
    <row r="986" spans="1:7" x14ac:dyDescent="0.2">
      <c r="A986" t="s">
        <v>2</v>
      </c>
      <c r="B986">
        <v>0.3868774901</v>
      </c>
      <c r="C986">
        <v>0</v>
      </c>
      <c r="D986">
        <f t="shared" si="32"/>
        <v>0</v>
      </c>
      <c r="E986" t="str">
        <f t="shared" si="32"/>
        <v/>
      </c>
      <c r="F986">
        <f t="shared" si="31"/>
        <v>0.3868774901</v>
      </c>
      <c r="G986" t="str">
        <f t="shared" si="31"/>
        <v/>
      </c>
    </row>
    <row r="987" spans="1:7" x14ac:dyDescent="0.2">
      <c r="A987" t="s">
        <v>0</v>
      </c>
      <c r="B987">
        <v>0.63370491490000003</v>
      </c>
      <c r="C987">
        <v>0</v>
      </c>
      <c r="D987" t="str">
        <f t="shared" si="32"/>
        <v/>
      </c>
      <c r="E987">
        <f t="shared" si="32"/>
        <v>0</v>
      </c>
      <c r="F987" t="str">
        <f t="shared" si="31"/>
        <v/>
      </c>
      <c r="G987">
        <f t="shared" si="31"/>
        <v>0.63370491490000003</v>
      </c>
    </row>
    <row r="988" spans="1:7" x14ac:dyDescent="0.2">
      <c r="A988" t="s">
        <v>0</v>
      </c>
      <c r="B988">
        <v>0.64958753459999996</v>
      </c>
      <c r="C988">
        <v>1</v>
      </c>
      <c r="D988" t="str">
        <f t="shared" si="32"/>
        <v/>
      </c>
      <c r="E988">
        <f t="shared" si="32"/>
        <v>1</v>
      </c>
      <c r="F988" t="str">
        <f t="shared" si="31"/>
        <v/>
      </c>
      <c r="G988">
        <f t="shared" si="31"/>
        <v>0.64958753459999996</v>
      </c>
    </row>
    <row r="989" spans="1:7" x14ac:dyDescent="0.2">
      <c r="A989" t="s">
        <v>2</v>
      </c>
      <c r="B989">
        <v>0.55984688979999997</v>
      </c>
      <c r="C989">
        <v>0</v>
      </c>
      <c r="D989">
        <f t="shared" si="32"/>
        <v>0</v>
      </c>
      <c r="E989" t="str">
        <f t="shared" si="32"/>
        <v/>
      </c>
      <c r="F989">
        <f t="shared" si="31"/>
        <v>0.55984688979999997</v>
      </c>
      <c r="G989" t="str">
        <f t="shared" si="31"/>
        <v/>
      </c>
    </row>
    <row r="990" spans="1:7" x14ac:dyDescent="0.2">
      <c r="A990" t="s">
        <v>0</v>
      </c>
      <c r="B990">
        <v>0.30879861619999999</v>
      </c>
      <c r="C990">
        <v>1</v>
      </c>
      <c r="D990" t="str">
        <f t="shared" si="32"/>
        <v/>
      </c>
      <c r="E990">
        <f t="shared" si="32"/>
        <v>1</v>
      </c>
      <c r="F990" t="str">
        <f t="shared" si="31"/>
        <v/>
      </c>
      <c r="G990">
        <f t="shared" si="31"/>
        <v>0.30879861619999999</v>
      </c>
    </row>
    <row r="991" spans="1:7" x14ac:dyDescent="0.2">
      <c r="A991" t="s">
        <v>2</v>
      </c>
      <c r="B991">
        <v>0.20712923059999999</v>
      </c>
      <c r="C991">
        <v>1</v>
      </c>
      <c r="D991">
        <f t="shared" si="32"/>
        <v>1</v>
      </c>
      <c r="E991" t="str">
        <f t="shared" si="32"/>
        <v/>
      </c>
      <c r="F991">
        <f t="shared" si="31"/>
        <v>0.20712923059999999</v>
      </c>
      <c r="G991" t="str">
        <f t="shared" si="31"/>
        <v/>
      </c>
    </row>
    <row r="992" spans="1:7" x14ac:dyDescent="0.2">
      <c r="A992" t="s">
        <v>0</v>
      </c>
      <c r="B992">
        <v>0.13749060960000001</v>
      </c>
      <c r="C992">
        <v>0</v>
      </c>
      <c r="D992" t="str">
        <f t="shared" si="32"/>
        <v/>
      </c>
      <c r="E992">
        <f t="shared" si="32"/>
        <v>0</v>
      </c>
      <c r="F992" t="str">
        <f t="shared" si="31"/>
        <v/>
      </c>
      <c r="G992">
        <f t="shared" si="31"/>
        <v>0.13749060960000001</v>
      </c>
    </row>
    <row r="993" spans="1:7" x14ac:dyDescent="0.2">
      <c r="A993" t="s">
        <v>2</v>
      </c>
      <c r="B993">
        <v>7.7720041899999995E-2</v>
      </c>
      <c r="C993">
        <v>0</v>
      </c>
      <c r="D993">
        <f t="shared" si="32"/>
        <v>0</v>
      </c>
      <c r="E993" t="str">
        <f t="shared" si="32"/>
        <v/>
      </c>
      <c r="F993">
        <f t="shared" si="31"/>
        <v>7.7720041899999995E-2</v>
      </c>
      <c r="G993" t="str">
        <f t="shared" si="31"/>
        <v/>
      </c>
    </row>
    <row r="994" spans="1:7" x14ac:dyDescent="0.2">
      <c r="A994" t="s">
        <v>2</v>
      </c>
      <c r="B994">
        <v>0.2015323564</v>
      </c>
      <c r="C994">
        <v>0</v>
      </c>
      <c r="D994">
        <f t="shared" si="32"/>
        <v>0</v>
      </c>
      <c r="E994" t="str">
        <f t="shared" si="32"/>
        <v/>
      </c>
      <c r="F994">
        <f t="shared" si="31"/>
        <v>0.2015323564</v>
      </c>
      <c r="G994" t="str">
        <f t="shared" si="31"/>
        <v/>
      </c>
    </row>
    <row r="995" spans="1:7" x14ac:dyDescent="0.2">
      <c r="A995" t="s">
        <v>0</v>
      </c>
      <c r="B995">
        <v>0.80050805729999996</v>
      </c>
      <c r="C995">
        <v>1</v>
      </c>
      <c r="D995" t="str">
        <f t="shared" si="32"/>
        <v/>
      </c>
      <c r="E995">
        <f t="shared" si="32"/>
        <v>1</v>
      </c>
      <c r="F995" t="str">
        <f t="shared" si="31"/>
        <v/>
      </c>
      <c r="G995">
        <f t="shared" si="31"/>
        <v>0.80050805729999996</v>
      </c>
    </row>
    <row r="996" spans="1:7" x14ac:dyDescent="0.2">
      <c r="A996" t="s">
        <v>2</v>
      </c>
      <c r="B996">
        <v>0.3979029872</v>
      </c>
      <c r="C996">
        <v>0</v>
      </c>
      <c r="D996">
        <f t="shared" si="32"/>
        <v>0</v>
      </c>
      <c r="E996" t="str">
        <f t="shared" si="32"/>
        <v/>
      </c>
      <c r="F996">
        <f t="shared" si="31"/>
        <v>0.3979029872</v>
      </c>
      <c r="G996" t="str">
        <f t="shared" si="31"/>
        <v/>
      </c>
    </row>
    <row r="997" spans="1:7" x14ac:dyDescent="0.2">
      <c r="A997" t="s">
        <v>0</v>
      </c>
      <c r="B997">
        <v>0.82864516519999998</v>
      </c>
      <c r="C997">
        <v>1</v>
      </c>
      <c r="D997" t="str">
        <f t="shared" si="32"/>
        <v/>
      </c>
      <c r="E997">
        <f t="shared" si="32"/>
        <v>1</v>
      </c>
      <c r="F997" t="str">
        <f t="shared" si="31"/>
        <v/>
      </c>
      <c r="G997">
        <f t="shared" si="31"/>
        <v>0.82864516519999998</v>
      </c>
    </row>
    <row r="998" spans="1:7" x14ac:dyDescent="0.2">
      <c r="A998" t="s">
        <v>0</v>
      </c>
      <c r="B998">
        <v>0.10628441280000001</v>
      </c>
      <c r="C998">
        <v>0</v>
      </c>
      <c r="D998" t="str">
        <f t="shared" si="32"/>
        <v/>
      </c>
      <c r="E998">
        <f t="shared" si="32"/>
        <v>0</v>
      </c>
      <c r="F998" t="str">
        <f t="shared" si="31"/>
        <v/>
      </c>
      <c r="G998">
        <f t="shared" si="31"/>
        <v>0.10628441280000001</v>
      </c>
    </row>
    <row r="999" spans="1:7" x14ac:dyDescent="0.2">
      <c r="A999" t="s">
        <v>2</v>
      </c>
      <c r="B999">
        <v>0.38589128610000001</v>
      </c>
      <c r="C999">
        <v>0</v>
      </c>
      <c r="D999">
        <f t="shared" si="32"/>
        <v>0</v>
      </c>
      <c r="E999" t="str">
        <f t="shared" si="32"/>
        <v/>
      </c>
      <c r="F999">
        <f t="shared" si="31"/>
        <v>0.38589128610000001</v>
      </c>
      <c r="G999" t="str">
        <f t="shared" si="31"/>
        <v/>
      </c>
    </row>
    <row r="1000" spans="1:7" x14ac:dyDescent="0.2">
      <c r="A1000" t="s">
        <v>2</v>
      </c>
      <c r="B1000">
        <v>0.33517997560000001</v>
      </c>
      <c r="C1000">
        <v>0</v>
      </c>
      <c r="D1000">
        <f t="shared" si="32"/>
        <v>0</v>
      </c>
      <c r="E1000" t="str">
        <f t="shared" si="32"/>
        <v/>
      </c>
      <c r="F1000">
        <f t="shared" si="31"/>
        <v>0.33517997560000001</v>
      </c>
      <c r="G1000" t="str">
        <f t="shared" si="31"/>
        <v/>
      </c>
    </row>
    <row r="1001" spans="1:7" x14ac:dyDescent="0.2">
      <c r="A1001" t="s">
        <v>0</v>
      </c>
      <c r="B1001">
        <v>0.87257346049999995</v>
      </c>
      <c r="C1001">
        <v>1</v>
      </c>
      <c r="D1001" t="str">
        <f t="shared" si="32"/>
        <v/>
      </c>
      <c r="E1001">
        <f t="shared" si="32"/>
        <v>1</v>
      </c>
      <c r="F1001" t="str">
        <f t="shared" si="31"/>
        <v/>
      </c>
      <c r="G1001">
        <f t="shared" si="31"/>
        <v>0.87257346049999995</v>
      </c>
    </row>
    <row r="1002" spans="1:7" x14ac:dyDescent="0.2">
      <c r="A1002" t="s">
        <v>2</v>
      </c>
      <c r="B1002">
        <v>0.42976985600000001</v>
      </c>
      <c r="C1002">
        <v>0</v>
      </c>
      <c r="D1002">
        <f t="shared" si="32"/>
        <v>0</v>
      </c>
      <c r="E1002" t="str">
        <f t="shared" si="32"/>
        <v/>
      </c>
      <c r="F1002">
        <f t="shared" si="31"/>
        <v>0.42976985600000001</v>
      </c>
      <c r="G1002" t="str">
        <f t="shared" si="31"/>
        <v/>
      </c>
    </row>
    <row r="1003" spans="1:7" x14ac:dyDescent="0.2">
      <c r="A1003" t="s">
        <v>2</v>
      </c>
      <c r="B1003">
        <v>0.52114491220000003</v>
      </c>
      <c r="C1003">
        <v>0</v>
      </c>
      <c r="D1003">
        <f t="shared" ref="D1003:E1066" si="33">IF($A1003=D$1,$C1003,"")</f>
        <v>0</v>
      </c>
      <c r="E1003" t="str">
        <f t="shared" si="33"/>
        <v/>
      </c>
      <c r="F1003">
        <f t="shared" ref="F1003:G1066" si="34">IF($A1003=F$1,$B1003,"")</f>
        <v>0.52114491220000003</v>
      </c>
      <c r="G1003" t="str">
        <f t="shared" si="34"/>
        <v/>
      </c>
    </row>
    <row r="1004" spans="1:7" x14ac:dyDescent="0.2">
      <c r="A1004" t="s">
        <v>0</v>
      </c>
      <c r="B1004">
        <v>0.22432473750000001</v>
      </c>
      <c r="C1004">
        <v>0</v>
      </c>
      <c r="D1004" t="str">
        <f t="shared" si="33"/>
        <v/>
      </c>
      <c r="E1004">
        <f t="shared" si="33"/>
        <v>0</v>
      </c>
      <c r="F1004" t="str">
        <f t="shared" si="34"/>
        <v/>
      </c>
      <c r="G1004">
        <f t="shared" si="34"/>
        <v>0.22432473750000001</v>
      </c>
    </row>
    <row r="1005" spans="1:7" x14ac:dyDescent="0.2">
      <c r="A1005" t="s">
        <v>0</v>
      </c>
      <c r="B1005">
        <v>0.2706551391</v>
      </c>
      <c r="C1005">
        <v>0</v>
      </c>
      <c r="D1005" t="str">
        <f t="shared" si="33"/>
        <v/>
      </c>
      <c r="E1005">
        <f t="shared" si="33"/>
        <v>0</v>
      </c>
      <c r="F1005" t="str">
        <f t="shared" si="34"/>
        <v/>
      </c>
      <c r="G1005">
        <f t="shared" si="34"/>
        <v>0.2706551391</v>
      </c>
    </row>
    <row r="1006" spans="1:7" x14ac:dyDescent="0.2">
      <c r="A1006" t="s">
        <v>2</v>
      </c>
      <c r="B1006">
        <v>0.3013969588</v>
      </c>
      <c r="C1006">
        <v>1</v>
      </c>
      <c r="D1006">
        <f t="shared" si="33"/>
        <v>1</v>
      </c>
      <c r="E1006" t="str">
        <f t="shared" si="33"/>
        <v/>
      </c>
      <c r="F1006">
        <f t="shared" si="34"/>
        <v>0.3013969588</v>
      </c>
      <c r="G1006" t="str">
        <f t="shared" si="34"/>
        <v/>
      </c>
    </row>
    <row r="1007" spans="1:7" x14ac:dyDescent="0.2">
      <c r="A1007" t="s">
        <v>2</v>
      </c>
      <c r="B1007">
        <v>9.6294673299999994E-2</v>
      </c>
      <c r="C1007">
        <v>0</v>
      </c>
      <c r="D1007">
        <f t="shared" si="33"/>
        <v>0</v>
      </c>
      <c r="E1007" t="str">
        <f t="shared" si="33"/>
        <v/>
      </c>
      <c r="F1007">
        <f t="shared" si="34"/>
        <v>9.6294673299999994E-2</v>
      </c>
      <c r="G1007" t="str">
        <f t="shared" si="34"/>
        <v/>
      </c>
    </row>
    <row r="1008" spans="1:7" x14ac:dyDescent="0.2">
      <c r="A1008" t="s">
        <v>2</v>
      </c>
      <c r="B1008">
        <v>0.54774458100000001</v>
      </c>
      <c r="C1008">
        <v>1</v>
      </c>
      <c r="D1008">
        <f t="shared" si="33"/>
        <v>1</v>
      </c>
      <c r="E1008" t="str">
        <f t="shared" si="33"/>
        <v/>
      </c>
      <c r="F1008">
        <f t="shared" si="34"/>
        <v>0.54774458100000001</v>
      </c>
      <c r="G1008" t="str">
        <f t="shared" si="34"/>
        <v/>
      </c>
    </row>
    <row r="1009" spans="1:7" x14ac:dyDescent="0.2">
      <c r="A1009" t="s">
        <v>2</v>
      </c>
      <c r="B1009">
        <v>0.3013829281</v>
      </c>
      <c r="C1009">
        <v>0</v>
      </c>
      <c r="D1009">
        <f t="shared" si="33"/>
        <v>0</v>
      </c>
      <c r="E1009" t="str">
        <f t="shared" si="33"/>
        <v/>
      </c>
      <c r="F1009">
        <f t="shared" si="34"/>
        <v>0.3013829281</v>
      </c>
      <c r="G1009" t="str">
        <f t="shared" si="34"/>
        <v/>
      </c>
    </row>
    <row r="1010" spans="1:7" x14ac:dyDescent="0.2">
      <c r="A1010" t="s">
        <v>0</v>
      </c>
      <c r="B1010">
        <v>0.33812139829999999</v>
      </c>
      <c r="C1010">
        <v>0</v>
      </c>
      <c r="D1010" t="str">
        <f t="shared" si="33"/>
        <v/>
      </c>
      <c r="E1010">
        <f t="shared" si="33"/>
        <v>0</v>
      </c>
      <c r="F1010" t="str">
        <f t="shared" si="34"/>
        <v/>
      </c>
      <c r="G1010">
        <f t="shared" si="34"/>
        <v>0.33812139829999999</v>
      </c>
    </row>
    <row r="1011" spans="1:7" x14ac:dyDescent="0.2">
      <c r="A1011" t="s">
        <v>2</v>
      </c>
      <c r="B1011">
        <v>9.5983547700000005E-2</v>
      </c>
      <c r="C1011">
        <v>0</v>
      </c>
      <c r="D1011">
        <f t="shared" si="33"/>
        <v>0</v>
      </c>
      <c r="E1011" t="str">
        <f t="shared" si="33"/>
        <v/>
      </c>
      <c r="F1011">
        <f t="shared" si="34"/>
        <v>9.5983547700000005E-2</v>
      </c>
      <c r="G1011" t="str">
        <f t="shared" si="34"/>
        <v/>
      </c>
    </row>
    <row r="1012" spans="1:7" x14ac:dyDescent="0.2">
      <c r="A1012" t="s">
        <v>0</v>
      </c>
      <c r="B1012">
        <v>0.64107370149999998</v>
      </c>
      <c r="C1012">
        <v>0</v>
      </c>
      <c r="D1012" t="str">
        <f t="shared" si="33"/>
        <v/>
      </c>
      <c r="E1012">
        <f t="shared" si="33"/>
        <v>0</v>
      </c>
      <c r="F1012" t="str">
        <f t="shared" si="34"/>
        <v/>
      </c>
      <c r="G1012">
        <f t="shared" si="34"/>
        <v>0.64107370149999998</v>
      </c>
    </row>
    <row r="1013" spans="1:7" x14ac:dyDescent="0.2">
      <c r="A1013" t="s">
        <v>2</v>
      </c>
      <c r="B1013">
        <v>0.4957586893</v>
      </c>
      <c r="C1013">
        <v>0</v>
      </c>
      <c r="D1013">
        <f t="shared" si="33"/>
        <v>0</v>
      </c>
      <c r="E1013" t="str">
        <f t="shared" si="33"/>
        <v/>
      </c>
      <c r="F1013">
        <f t="shared" si="34"/>
        <v>0.4957586893</v>
      </c>
      <c r="G1013" t="str">
        <f t="shared" si="34"/>
        <v/>
      </c>
    </row>
    <row r="1014" spans="1:7" x14ac:dyDescent="0.2">
      <c r="A1014" t="s">
        <v>2</v>
      </c>
      <c r="B1014">
        <v>0.58816044479999996</v>
      </c>
      <c r="C1014">
        <v>1</v>
      </c>
      <c r="D1014">
        <f t="shared" si="33"/>
        <v>1</v>
      </c>
      <c r="E1014" t="str">
        <f t="shared" si="33"/>
        <v/>
      </c>
      <c r="F1014">
        <f t="shared" si="34"/>
        <v>0.58816044479999996</v>
      </c>
      <c r="G1014" t="str">
        <f t="shared" si="34"/>
        <v/>
      </c>
    </row>
    <row r="1015" spans="1:7" x14ac:dyDescent="0.2">
      <c r="A1015" t="s">
        <v>2</v>
      </c>
      <c r="B1015">
        <v>0.3027828286</v>
      </c>
      <c r="C1015">
        <v>1</v>
      </c>
      <c r="D1015">
        <f t="shared" si="33"/>
        <v>1</v>
      </c>
      <c r="E1015" t="str">
        <f t="shared" si="33"/>
        <v/>
      </c>
      <c r="F1015">
        <f t="shared" si="34"/>
        <v>0.3027828286</v>
      </c>
      <c r="G1015" t="str">
        <f t="shared" si="34"/>
        <v/>
      </c>
    </row>
    <row r="1016" spans="1:7" x14ac:dyDescent="0.2">
      <c r="A1016" t="s">
        <v>2</v>
      </c>
      <c r="B1016">
        <v>0.42075334399999997</v>
      </c>
      <c r="C1016">
        <v>0</v>
      </c>
      <c r="D1016">
        <f t="shared" si="33"/>
        <v>0</v>
      </c>
      <c r="E1016" t="str">
        <f t="shared" si="33"/>
        <v/>
      </c>
      <c r="F1016">
        <f t="shared" si="34"/>
        <v>0.42075334399999997</v>
      </c>
      <c r="G1016" t="str">
        <f t="shared" si="34"/>
        <v/>
      </c>
    </row>
    <row r="1017" spans="1:7" x14ac:dyDescent="0.2">
      <c r="A1017" t="s">
        <v>0</v>
      </c>
      <c r="B1017">
        <v>0.26137894569999998</v>
      </c>
      <c r="C1017">
        <v>0</v>
      </c>
      <c r="D1017" t="str">
        <f t="shared" si="33"/>
        <v/>
      </c>
      <c r="E1017">
        <f t="shared" si="33"/>
        <v>0</v>
      </c>
      <c r="F1017" t="str">
        <f t="shared" si="34"/>
        <v/>
      </c>
      <c r="G1017">
        <f t="shared" si="34"/>
        <v>0.26137894569999998</v>
      </c>
    </row>
    <row r="1018" spans="1:7" x14ac:dyDescent="0.2">
      <c r="A1018" t="s">
        <v>2</v>
      </c>
      <c r="B1018">
        <v>0.1220933916</v>
      </c>
      <c r="C1018">
        <v>0</v>
      </c>
      <c r="D1018">
        <f t="shared" si="33"/>
        <v>0</v>
      </c>
      <c r="E1018" t="str">
        <f t="shared" si="33"/>
        <v/>
      </c>
      <c r="F1018">
        <f t="shared" si="34"/>
        <v>0.1220933916</v>
      </c>
      <c r="G1018" t="str">
        <f t="shared" si="34"/>
        <v/>
      </c>
    </row>
    <row r="1019" spans="1:7" x14ac:dyDescent="0.2">
      <c r="A1019" t="s">
        <v>2</v>
      </c>
      <c r="B1019">
        <v>0.24377013259999999</v>
      </c>
      <c r="C1019">
        <v>0</v>
      </c>
      <c r="D1019">
        <f t="shared" si="33"/>
        <v>0</v>
      </c>
      <c r="E1019" t="str">
        <f t="shared" si="33"/>
        <v/>
      </c>
      <c r="F1019">
        <f t="shared" si="34"/>
        <v>0.24377013259999999</v>
      </c>
      <c r="G1019" t="str">
        <f t="shared" si="34"/>
        <v/>
      </c>
    </row>
    <row r="1020" spans="1:7" x14ac:dyDescent="0.2">
      <c r="A1020" t="s">
        <v>2</v>
      </c>
      <c r="B1020">
        <v>0.31544277710000002</v>
      </c>
      <c r="C1020">
        <v>0</v>
      </c>
      <c r="D1020">
        <f t="shared" si="33"/>
        <v>0</v>
      </c>
      <c r="E1020" t="str">
        <f t="shared" si="33"/>
        <v/>
      </c>
      <c r="F1020">
        <f t="shared" si="34"/>
        <v>0.31544277710000002</v>
      </c>
      <c r="G1020" t="str">
        <f t="shared" si="34"/>
        <v/>
      </c>
    </row>
    <row r="1021" spans="1:7" x14ac:dyDescent="0.2">
      <c r="A1021" t="s">
        <v>2</v>
      </c>
      <c r="B1021">
        <v>0.42611616499999999</v>
      </c>
      <c r="C1021">
        <v>0</v>
      </c>
      <c r="D1021">
        <f t="shared" si="33"/>
        <v>0</v>
      </c>
      <c r="E1021" t="str">
        <f t="shared" si="33"/>
        <v/>
      </c>
      <c r="F1021">
        <f t="shared" si="34"/>
        <v>0.42611616499999999</v>
      </c>
      <c r="G1021" t="str">
        <f t="shared" si="34"/>
        <v/>
      </c>
    </row>
    <row r="1022" spans="1:7" x14ac:dyDescent="0.2">
      <c r="A1022" t="s">
        <v>2</v>
      </c>
      <c r="B1022">
        <v>0.17551486559999999</v>
      </c>
      <c r="C1022">
        <v>0</v>
      </c>
      <c r="D1022">
        <f t="shared" si="33"/>
        <v>0</v>
      </c>
      <c r="E1022" t="str">
        <f t="shared" si="33"/>
        <v/>
      </c>
      <c r="F1022">
        <f t="shared" si="34"/>
        <v>0.17551486559999999</v>
      </c>
      <c r="G1022" t="str">
        <f t="shared" si="34"/>
        <v/>
      </c>
    </row>
    <row r="1023" spans="1:7" x14ac:dyDescent="0.2">
      <c r="A1023" t="s">
        <v>2</v>
      </c>
      <c r="B1023">
        <v>0.15564404170000001</v>
      </c>
      <c r="C1023">
        <v>0</v>
      </c>
      <c r="D1023">
        <f t="shared" si="33"/>
        <v>0</v>
      </c>
      <c r="E1023" t="str">
        <f t="shared" si="33"/>
        <v/>
      </c>
      <c r="F1023">
        <f t="shared" si="34"/>
        <v>0.15564404170000001</v>
      </c>
      <c r="G1023" t="str">
        <f t="shared" si="34"/>
        <v/>
      </c>
    </row>
    <row r="1024" spans="1:7" x14ac:dyDescent="0.2">
      <c r="A1024" t="s">
        <v>0</v>
      </c>
      <c r="B1024">
        <v>0.3979129871</v>
      </c>
      <c r="C1024">
        <v>1</v>
      </c>
      <c r="D1024" t="str">
        <f t="shared" si="33"/>
        <v/>
      </c>
      <c r="E1024">
        <f t="shared" si="33"/>
        <v>1</v>
      </c>
      <c r="F1024" t="str">
        <f t="shared" si="34"/>
        <v/>
      </c>
      <c r="G1024">
        <f t="shared" si="34"/>
        <v>0.3979129871</v>
      </c>
    </row>
    <row r="1025" spans="1:7" x14ac:dyDescent="0.2">
      <c r="A1025" t="s">
        <v>2</v>
      </c>
      <c r="B1025">
        <v>0.42894705789999998</v>
      </c>
      <c r="C1025">
        <v>0</v>
      </c>
      <c r="D1025">
        <f t="shared" si="33"/>
        <v>0</v>
      </c>
      <c r="E1025" t="str">
        <f t="shared" si="33"/>
        <v/>
      </c>
      <c r="F1025">
        <f t="shared" si="34"/>
        <v>0.42894705789999998</v>
      </c>
      <c r="G1025" t="str">
        <f t="shared" si="34"/>
        <v/>
      </c>
    </row>
    <row r="1026" spans="1:7" x14ac:dyDescent="0.2">
      <c r="A1026" t="s">
        <v>2</v>
      </c>
      <c r="B1026">
        <v>0.56907185859999998</v>
      </c>
      <c r="C1026">
        <v>0</v>
      </c>
      <c r="D1026">
        <f t="shared" si="33"/>
        <v>0</v>
      </c>
      <c r="E1026" t="str">
        <f t="shared" si="33"/>
        <v/>
      </c>
      <c r="F1026">
        <f t="shared" si="34"/>
        <v>0.56907185859999998</v>
      </c>
      <c r="G1026" t="str">
        <f t="shared" si="34"/>
        <v/>
      </c>
    </row>
    <row r="1027" spans="1:7" x14ac:dyDescent="0.2">
      <c r="A1027" t="s">
        <v>2</v>
      </c>
      <c r="B1027">
        <v>0.48456805879999998</v>
      </c>
      <c r="C1027">
        <v>0</v>
      </c>
      <c r="D1027">
        <f t="shared" si="33"/>
        <v>0</v>
      </c>
      <c r="E1027" t="str">
        <f t="shared" si="33"/>
        <v/>
      </c>
      <c r="F1027">
        <f t="shared" si="34"/>
        <v>0.48456805879999998</v>
      </c>
      <c r="G1027" t="str">
        <f t="shared" si="34"/>
        <v/>
      </c>
    </row>
    <row r="1028" spans="1:7" x14ac:dyDescent="0.2">
      <c r="A1028" t="s">
        <v>2</v>
      </c>
      <c r="B1028">
        <v>0.27431706119999999</v>
      </c>
      <c r="C1028">
        <v>0</v>
      </c>
      <c r="D1028">
        <f t="shared" si="33"/>
        <v>0</v>
      </c>
      <c r="E1028" t="str">
        <f t="shared" si="33"/>
        <v/>
      </c>
      <c r="F1028">
        <f t="shared" si="34"/>
        <v>0.27431706119999999</v>
      </c>
      <c r="G1028" t="str">
        <f t="shared" si="34"/>
        <v/>
      </c>
    </row>
    <row r="1029" spans="1:7" x14ac:dyDescent="0.2">
      <c r="A1029" t="s">
        <v>0</v>
      </c>
      <c r="B1029">
        <v>0.69423360450000005</v>
      </c>
      <c r="C1029">
        <v>1</v>
      </c>
      <c r="D1029" t="str">
        <f t="shared" si="33"/>
        <v/>
      </c>
      <c r="E1029">
        <f t="shared" si="33"/>
        <v>1</v>
      </c>
      <c r="F1029" t="str">
        <f t="shared" si="34"/>
        <v/>
      </c>
      <c r="G1029">
        <f t="shared" si="34"/>
        <v>0.69423360450000005</v>
      </c>
    </row>
    <row r="1030" spans="1:7" x14ac:dyDescent="0.2">
      <c r="A1030" t="s">
        <v>2</v>
      </c>
      <c r="B1030">
        <v>0.56892595199999996</v>
      </c>
      <c r="C1030">
        <v>1</v>
      </c>
      <c r="D1030">
        <f t="shared" si="33"/>
        <v>1</v>
      </c>
      <c r="E1030" t="str">
        <f t="shared" si="33"/>
        <v/>
      </c>
      <c r="F1030">
        <f t="shared" si="34"/>
        <v>0.56892595199999996</v>
      </c>
      <c r="G1030" t="str">
        <f t="shared" si="34"/>
        <v/>
      </c>
    </row>
    <row r="1031" spans="1:7" x14ac:dyDescent="0.2">
      <c r="A1031" t="s">
        <v>2</v>
      </c>
      <c r="B1031">
        <v>0.56037957319999998</v>
      </c>
      <c r="C1031">
        <v>1</v>
      </c>
      <c r="D1031">
        <f t="shared" si="33"/>
        <v>1</v>
      </c>
      <c r="E1031" t="str">
        <f t="shared" si="33"/>
        <v/>
      </c>
      <c r="F1031">
        <f t="shared" si="34"/>
        <v>0.56037957319999998</v>
      </c>
      <c r="G1031" t="str">
        <f t="shared" si="34"/>
        <v/>
      </c>
    </row>
    <row r="1032" spans="1:7" x14ac:dyDescent="0.2">
      <c r="A1032" t="s">
        <v>2</v>
      </c>
      <c r="B1032">
        <v>0.25632962180000002</v>
      </c>
      <c r="C1032">
        <v>0</v>
      </c>
      <c r="D1032">
        <f t="shared" si="33"/>
        <v>0</v>
      </c>
      <c r="E1032" t="str">
        <f t="shared" si="33"/>
        <v/>
      </c>
      <c r="F1032">
        <f t="shared" si="34"/>
        <v>0.25632962180000002</v>
      </c>
      <c r="G1032" t="str">
        <f t="shared" si="34"/>
        <v/>
      </c>
    </row>
    <row r="1033" spans="1:7" x14ac:dyDescent="0.2">
      <c r="A1033" t="s">
        <v>0</v>
      </c>
      <c r="B1033">
        <v>0.2637200428</v>
      </c>
      <c r="C1033">
        <v>1</v>
      </c>
      <c r="D1033" t="str">
        <f t="shared" si="33"/>
        <v/>
      </c>
      <c r="E1033">
        <f t="shared" si="33"/>
        <v>1</v>
      </c>
      <c r="F1033" t="str">
        <f t="shared" si="34"/>
        <v/>
      </c>
      <c r="G1033">
        <f t="shared" si="34"/>
        <v>0.2637200428</v>
      </c>
    </row>
    <row r="1034" spans="1:7" x14ac:dyDescent="0.2">
      <c r="A1034" t="s">
        <v>2</v>
      </c>
      <c r="B1034">
        <v>0.39790676460000002</v>
      </c>
      <c r="C1034">
        <v>0</v>
      </c>
      <c r="D1034">
        <f t="shared" si="33"/>
        <v>0</v>
      </c>
      <c r="E1034" t="str">
        <f t="shared" si="33"/>
        <v/>
      </c>
      <c r="F1034">
        <f t="shared" si="34"/>
        <v>0.39790676460000002</v>
      </c>
      <c r="G1034" t="str">
        <f t="shared" si="34"/>
        <v/>
      </c>
    </row>
    <row r="1035" spans="1:7" x14ac:dyDescent="0.2">
      <c r="A1035" t="s">
        <v>2</v>
      </c>
      <c r="B1035">
        <v>0.2832765578</v>
      </c>
      <c r="C1035">
        <v>0</v>
      </c>
      <c r="D1035">
        <f t="shared" si="33"/>
        <v>0</v>
      </c>
      <c r="E1035" t="str">
        <f t="shared" si="33"/>
        <v/>
      </c>
      <c r="F1035">
        <f t="shared" si="34"/>
        <v>0.2832765578</v>
      </c>
      <c r="G1035" t="str">
        <f t="shared" si="34"/>
        <v/>
      </c>
    </row>
    <row r="1036" spans="1:7" x14ac:dyDescent="0.2">
      <c r="A1036" t="s">
        <v>2</v>
      </c>
      <c r="B1036">
        <v>0.1044754671</v>
      </c>
      <c r="C1036">
        <v>0</v>
      </c>
      <c r="D1036">
        <f t="shared" si="33"/>
        <v>0</v>
      </c>
      <c r="E1036" t="str">
        <f t="shared" si="33"/>
        <v/>
      </c>
      <c r="F1036">
        <f t="shared" si="34"/>
        <v>0.1044754671</v>
      </c>
      <c r="G1036" t="str">
        <f t="shared" si="34"/>
        <v/>
      </c>
    </row>
    <row r="1037" spans="1:7" x14ac:dyDescent="0.2">
      <c r="A1037" t="s">
        <v>2</v>
      </c>
      <c r="B1037">
        <v>0.55061253119999998</v>
      </c>
      <c r="C1037">
        <v>1</v>
      </c>
      <c r="D1037">
        <f t="shared" si="33"/>
        <v>1</v>
      </c>
      <c r="E1037" t="str">
        <f t="shared" si="33"/>
        <v/>
      </c>
      <c r="F1037">
        <f t="shared" si="34"/>
        <v>0.55061253119999998</v>
      </c>
      <c r="G1037" t="str">
        <f t="shared" si="34"/>
        <v/>
      </c>
    </row>
    <row r="1038" spans="1:7" x14ac:dyDescent="0.2">
      <c r="A1038" t="s">
        <v>2</v>
      </c>
      <c r="B1038">
        <v>0.32903931279999998</v>
      </c>
      <c r="C1038">
        <v>0</v>
      </c>
      <c r="D1038">
        <f t="shared" si="33"/>
        <v>0</v>
      </c>
      <c r="E1038" t="str">
        <f t="shared" si="33"/>
        <v/>
      </c>
      <c r="F1038">
        <f t="shared" si="34"/>
        <v>0.32903931279999998</v>
      </c>
      <c r="G1038" t="str">
        <f t="shared" si="34"/>
        <v/>
      </c>
    </row>
    <row r="1039" spans="1:7" x14ac:dyDescent="0.2">
      <c r="A1039" t="s">
        <v>2</v>
      </c>
      <c r="B1039">
        <v>0.57503463929999998</v>
      </c>
      <c r="C1039">
        <v>1</v>
      </c>
      <c r="D1039">
        <f t="shared" si="33"/>
        <v>1</v>
      </c>
      <c r="E1039" t="str">
        <f t="shared" si="33"/>
        <v/>
      </c>
      <c r="F1039">
        <f t="shared" si="34"/>
        <v>0.57503463929999998</v>
      </c>
      <c r="G1039" t="str">
        <f t="shared" si="34"/>
        <v/>
      </c>
    </row>
    <row r="1040" spans="1:7" x14ac:dyDescent="0.2">
      <c r="A1040" t="s">
        <v>2</v>
      </c>
      <c r="B1040">
        <v>0.35709651590000002</v>
      </c>
      <c r="C1040">
        <v>0</v>
      </c>
      <c r="D1040">
        <f t="shared" si="33"/>
        <v>0</v>
      </c>
      <c r="E1040" t="str">
        <f t="shared" si="33"/>
        <v/>
      </c>
      <c r="F1040">
        <f t="shared" si="34"/>
        <v>0.35709651590000002</v>
      </c>
      <c r="G1040" t="str">
        <f t="shared" si="34"/>
        <v/>
      </c>
    </row>
    <row r="1041" spans="1:7" x14ac:dyDescent="0.2">
      <c r="A1041" t="s">
        <v>2</v>
      </c>
      <c r="B1041">
        <v>0.60997677279999996</v>
      </c>
      <c r="C1041">
        <v>1</v>
      </c>
      <c r="D1041">
        <f t="shared" si="33"/>
        <v>1</v>
      </c>
      <c r="E1041" t="str">
        <f t="shared" si="33"/>
        <v/>
      </c>
      <c r="F1041">
        <f t="shared" si="34"/>
        <v>0.60997677279999996</v>
      </c>
      <c r="G1041" t="str">
        <f t="shared" si="34"/>
        <v/>
      </c>
    </row>
    <row r="1042" spans="1:7" x14ac:dyDescent="0.2">
      <c r="A1042" t="s">
        <v>2</v>
      </c>
      <c r="B1042">
        <v>0.61700492979999999</v>
      </c>
      <c r="C1042">
        <v>1</v>
      </c>
      <c r="D1042">
        <f t="shared" si="33"/>
        <v>1</v>
      </c>
      <c r="E1042" t="str">
        <f t="shared" si="33"/>
        <v/>
      </c>
      <c r="F1042">
        <f t="shared" si="34"/>
        <v>0.61700492979999999</v>
      </c>
      <c r="G1042" t="str">
        <f t="shared" si="34"/>
        <v/>
      </c>
    </row>
    <row r="1043" spans="1:7" x14ac:dyDescent="0.2">
      <c r="A1043" t="s">
        <v>0</v>
      </c>
      <c r="B1043">
        <v>8.1767814199999997E-2</v>
      </c>
      <c r="C1043">
        <v>0</v>
      </c>
      <c r="D1043" t="str">
        <f t="shared" si="33"/>
        <v/>
      </c>
      <c r="E1043">
        <f t="shared" si="33"/>
        <v>0</v>
      </c>
      <c r="F1043" t="str">
        <f t="shared" si="34"/>
        <v/>
      </c>
      <c r="G1043">
        <f t="shared" si="34"/>
        <v>8.1767814199999997E-2</v>
      </c>
    </row>
    <row r="1044" spans="1:7" x14ac:dyDescent="0.2">
      <c r="A1044" t="s">
        <v>2</v>
      </c>
      <c r="B1044">
        <v>0.30936782439999999</v>
      </c>
      <c r="C1044">
        <v>1</v>
      </c>
      <c r="D1044">
        <f t="shared" si="33"/>
        <v>1</v>
      </c>
      <c r="E1044" t="str">
        <f t="shared" si="33"/>
        <v/>
      </c>
      <c r="F1044">
        <f t="shared" si="34"/>
        <v>0.30936782439999999</v>
      </c>
      <c r="G1044" t="str">
        <f t="shared" si="34"/>
        <v/>
      </c>
    </row>
    <row r="1045" spans="1:7" x14ac:dyDescent="0.2">
      <c r="A1045" t="s">
        <v>2</v>
      </c>
      <c r="B1045">
        <v>0.63858940649999996</v>
      </c>
      <c r="C1045">
        <v>1</v>
      </c>
      <c r="D1045">
        <f t="shared" si="33"/>
        <v>1</v>
      </c>
      <c r="E1045" t="str">
        <f t="shared" si="33"/>
        <v/>
      </c>
      <c r="F1045">
        <f t="shared" si="34"/>
        <v>0.63858940649999996</v>
      </c>
      <c r="G1045" t="str">
        <f t="shared" si="34"/>
        <v/>
      </c>
    </row>
    <row r="1046" spans="1:7" x14ac:dyDescent="0.2">
      <c r="A1046" t="s">
        <v>0</v>
      </c>
      <c r="B1046">
        <v>0.2184456259</v>
      </c>
      <c r="C1046">
        <v>0</v>
      </c>
      <c r="D1046" t="str">
        <f t="shared" si="33"/>
        <v/>
      </c>
      <c r="E1046">
        <f t="shared" si="33"/>
        <v>0</v>
      </c>
      <c r="F1046" t="str">
        <f t="shared" si="34"/>
        <v/>
      </c>
      <c r="G1046">
        <f t="shared" si="34"/>
        <v>0.2184456259</v>
      </c>
    </row>
    <row r="1047" spans="1:7" x14ac:dyDescent="0.2">
      <c r="A1047" t="s">
        <v>2</v>
      </c>
      <c r="B1047">
        <v>9.6759289700000001E-2</v>
      </c>
      <c r="C1047">
        <v>0</v>
      </c>
      <c r="D1047">
        <f t="shared" si="33"/>
        <v>0</v>
      </c>
      <c r="E1047" t="str">
        <f t="shared" si="33"/>
        <v/>
      </c>
      <c r="F1047">
        <f t="shared" si="34"/>
        <v>9.6759289700000001E-2</v>
      </c>
      <c r="G1047" t="str">
        <f t="shared" si="34"/>
        <v/>
      </c>
    </row>
    <row r="1048" spans="1:7" x14ac:dyDescent="0.2">
      <c r="A1048" t="s">
        <v>0</v>
      </c>
      <c r="B1048">
        <v>0.90108967610000001</v>
      </c>
      <c r="C1048">
        <v>1</v>
      </c>
      <c r="D1048" t="str">
        <f t="shared" si="33"/>
        <v/>
      </c>
      <c r="E1048">
        <f t="shared" si="33"/>
        <v>1</v>
      </c>
      <c r="F1048" t="str">
        <f t="shared" si="34"/>
        <v/>
      </c>
      <c r="G1048">
        <f t="shared" si="34"/>
        <v>0.90108967610000001</v>
      </c>
    </row>
    <row r="1049" spans="1:7" x14ac:dyDescent="0.2">
      <c r="A1049" t="s">
        <v>2</v>
      </c>
      <c r="B1049">
        <v>0.3799875305</v>
      </c>
      <c r="C1049">
        <v>0</v>
      </c>
      <c r="D1049">
        <f t="shared" si="33"/>
        <v>0</v>
      </c>
      <c r="E1049" t="str">
        <f t="shared" si="33"/>
        <v/>
      </c>
      <c r="F1049">
        <f t="shared" si="34"/>
        <v>0.3799875305</v>
      </c>
      <c r="G1049" t="str">
        <f t="shared" si="34"/>
        <v/>
      </c>
    </row>
    <row r="1050" spans="1:7" x14ac:dyDescent="0.2">
      <c r="A1050" t="s">
        <v>2</v>
      </c>
      <c r="B1050">
        <v>0.37996771759999998</v>
      </c>
      <c r="C1050">
        <v>0</v>
      </c>
      <c r="D1050">
        <f t="shared" si="33"/>
        <v>0</v>
      </c>
      <c r="E1050" t="str">
        <f t="shared" si="33"/>
        <v/>
      </c>
      <c r="F1050">
        <f t="shared" si="34"/>
        <v>0.37996771759999998</v>
      </c>
      <c r="G1050" t="str">
        <f t="shared" si="34"/>
        <v/>
      </c>
    </row>
    <row r="1051" spans="1:7" x14ac:dyDescent="0.2">
      <c r="A1051" t="s">
        <v>2</v>
      </c>
      <c r="B1051">
        <v>0.47847357109999999</v>
      </c>
      <c r="C1051">
        <v>0</v>
      </c>
      <c r="D1051">
        <f t="shared" si="33"/>
        <v>0</v>
      </c>
      <c r="E1051" t="str">
        <f t="shared" si="33"/>
        <v/>
      </c>
      <c r="F1051">
        <f t="shared" si="34"/>
        <v>0.47847357109999999</v>
      </c>
      <c r="G1051" t="str">
        <f t="shared" si="34"/>
        <v/>
      </c>
    </row>
    <row r="1052" spans="1:7" x14ac:dyDescent="0.2">
      <c r="A1052" t="s">
        <v>0</v>
      </c>
      <c r="B1052">
        <v>0.12749383650000001</v>
      </c>
      <c r="C1052">
        <v>0</v>
      </c>
      <c r="D1052" t="str">
        <f t="shared" si="33"/>
        <v/>
      </c>
      <c r="E1052">
        <f t="shared" si="33"/>
        <v>0</v>
      </c>
      <c r="F1052" t="str">
        <f t="shared" si="34"/>
        <v/>
      </c>
      <c r="G1052">
        <f t="shared" si="34"/>
        <v>0.12749383650000001</v>
      </c>
    </row>
    <row r="1053" spans="1:7" x14ac:dyDescent="0.2">
      <c r="A1053" t="s">
        <v>2</v>
      </c>
      <c r="B1053">
        <v>0.1823518026</v>
      </c>
      <c r="C1053">
        <v>1</v>
      </c>
      <c r="D1053">
        <f t="shared" si="33"/>
        <v>1</v>
      </c>
      <c r="E1053" t="str">
        <f t="shared" si="33"/>
        <v/>
      </c>
      <c r="F1053">
        <f t="shared" si="34"/>
        <v>0.1823518026</v>
      </c>
      <c r="G1053" t="str">
        <f t="shared" si="34"/>
        <v/>
      </c>
    </row>
    <row r="1054" spans="1:7" x14ac:dyDescent="0.2">
      <c r="A1054" t="s">
        <v>2</v>
      </c>
      <c r="B1054">
        <v>0.53182872400000003</v>
      </c>
      <c r="C1054">
        <v>0</v>
      </c>
      <c r="D1054">
        <f t="shared" si="33"/>
        <v>0</v>
      </c>
      <c r="E1054" t="str">
        <f t="shared" si="33"/>
        <v/>
      </c>
      <c r="F1054">
        <f t="shared" si="34"/>
        <v>0.53182872400000003</v>
      </c>
      <c r="G1054" t="str">
        <f t="shared" si="34"/>
        <v/>
      </c>
    </row>
    <row r="1055" spans="1:7" x14ac:dyDescent="0.2">
      <c r="A1055" t="s">
        <v>2</v>
      </c>
      <c r="B1055">
        <v>0.4475164693</v>
      </c>
      <c r="C1055">
        <v>1</v>
      </c>
      <c r="D1055">
        <f t="shared" si="33"/>
        <v>1</v>
      </c>
      <c r="E1055" t="str">
        <f t="shared" si="33"/>
        <v/>
      </c>
      <c r="F1055">
        <f t="shared" si="34"/>
        <v>0.4475164693</v>
      </c>
      <c r="G1055" t="str">
        <f t="shared" si="34"/>
        <v/>
      </c>
    </row>
    <row r="1056" spans="1:7" x14ac:dyDescent="0.2">
      <c r="A1056" t="s">
        <v>2</v>
      </c>
      <c r="B1056">
        <v>0.51308611449999997</v>
      </c>
      <c r="C1056">
        <v>0</v>
      </c>
      <c r="D1056">
        <f t="shared" si="33"/>
        <v>0</v>
      </c>
      <c r="E1056" t="str">
        <f t="shared" si="33"/>
        <v/>
      </c>
      <c r="F1056">
        <f t="shared" si="34"/>
        <v>0.51308611449999997</v>
      </c>
      <c r="G1056" t="str">
        <f t="shared" si="34"/>
        <v/>
      </c>
    </row>
    <row r="1057" spans="1:7" x14ac:dyDescent="0.2">
      <c r="A1057" t="s">
        <v>0</v>
      </c>
      <c r="B1057">
        <v>0.36686106499999999</v>
      </c>
      <c r="C1057">
        <v>1</v>
      </c>
      <c r="D1057" t="str">
        <f t="shared" si="33"/>
        <v/>
      </c>
      <c r="E1057">
        <f t="shared" si="33"/>
        <v>1</v>
      </c>
      <c r="F1057" t="str">
        <f t="shared" si="34"/>
        <v/>
      </c>
      <c r="G1057">
        <f t="shared" si="34"/>
        <v>0.36686106499999999</v>
      </c>
    </row>
    <row r="1058" spans="1:7" x14ac:dyDescent="0.2">
      <c r="A1058" t="s">
        <v>2</v>
      </c>
      <c r="B1058">
        <v>0.26140937149999999</v>
      </c>
      <c r="C1058">
        <v>0</v>
      </c>
      <c r="D1058">
        <f t="shared" si="33"/>
        <v>0</v>
      </c>
      <c r="E1058" t="str">
        <f t="shared" si="33"/>
        <v/>
      </c>
      <c r="F1058">
        <f t="shared" si="34"/>
        <v>0.26140937149999999</v>
      </c>
      <c r="G1058" t="str">
        <f t="shared" si="34"/>
        <v/>
      </c>
    </row>
    <row r="1059" spans="1:7" x14ac:dyDescent="0.2">
      <c r="A1059" t="s">
        <v>0</v>
      </c>
      <c r="B1059">
        <v>0.1241725256</v>
      </c>
      <c r="C1059">
        <v>0</v>
      </c>
      <c r="D1059" t="str">
        <f t="shared" si="33"/>
        <v/>
      </c>
      <c r="E1059">
        <f t="shared" si="33"/>
        <v>0</v>
      </c>
      <c r="F1059" t="str">
        <f t="shared" si="34"/>
        <v/>
      </c>
      <c r="G1059">
        <f t="shared" si="34"/>
        <v>0.1241725256</v>
      </c>
    </row>
    <row r="1060" spans="1:7" x14ac:dyDescent="0.2">
      <c r="A1060" t="s">
        <v>2</v>
      </c>
      <c r="B1060">
        <v>0.14192487610000001</v>
      </c>
      <c r="C1060">
        <v>0</v>
      </c>
      <c r="D1060">
        <f t="shared" si="33"/>
        <v>0</v>
      </c>
      <c r="E1060" t="str">
        <f t="shared" si="33"/>
        <v/>
      </c>
      <c r="F1060">
        <f t="shared" si="34"/>
        <v>0.14192487610000001</v>
      </c>
      <c r="G1060" t="str">
        <f t="shared" si="34"/>
        <v/>
      </c>
    </row>
    <row r="1061" spans="1:7" x14ac:dyDescent="0.2">
      <c r="A1061" t="s">
        <v>2</v>
      </c>
      <c r="B1061">
        <v>0.5490204139</v>
      </c>
      <c r="C1061">
        <v>1</v>
      </c>
      <c r="D1061">
        <f t="shared" si="33"/>
        <v>1</v>
      </c>
      <c r="E1061" t="str">
        <f t="shared" si="33"/>
        <v/>
      </c>
      <c r="F1061">
        <f t="shared" si="34"/>
        <v>0.5490204139</v>
      </c>
      <c r="G1061" t="str">
        <f t="shared" si="34"/>
        <v/>
      </c>
    </row>
    <row r="1062" spans="1:7" x14ac:dyDescent="0.2">
      <c r="A1062" t="s">
        <v>2</v>
      </c>
      <c r="B1062">
        <v>0.42700941609999998</v>
      </c>
      <c r="C1062">
        <v>1</v>
      </c>
      <c r="D1062">
        <f t="shared" si="33"/>
        <v>1</v>
      </c>
      <c r="E1062" t="str">
        <f t="shared" si="33"/>
        <v/>
      </c>
      <c r="F1062">
        <f t="shared" si="34"/>
        <v>0.42700941609999998</v>
      </c>
      <c r="G1062" t="str">
        <f t="shared" si="34"/>
        <v/>
      </c>
    </row>
    <row r="1063" spans="1:7" x14ac:dyDescent="0.2">
      <c r="A1063" t="s">
        <v>0</v>
      </c>
      <c r="B1063">
        <v>0.39174810119999998</v>
      </c>
      <c r="C1063">
        <v>1</v>
      </c>
      <c r="D1063" t="str">
        <f t="shared" si="33"/>
        <v/>
      </c>
      <c r="E1063">
        <f t="shared" si="33"/>
        <v>1</v>
      </c>
      <c r="F1063" t="str">
        <f t="shared" si="34"/>
        <v/>
      </c>
      <c r="G1063">
        <f t="shared" si="34"/>
        <v>0.39174810119999998</v>
      </c>
    </row>
    <row r="1064" spans="1:7" x14ac:dyDescent="0.2">
      <c r="A1064" t="s">
        <v>0</v>
      </c>
      <c r="B1064">
        <v>0.261700514</v>
      </c>
      <c r="C1064">
        <v>0</v>
      </c>
      <c r="D1064" t="str">
        <f t="shared" si="33"/>
        <v/>
      </c>
      <c r="E1064">
        <f t="shared" si="33"/>
        <v>0</v>
      </c>
      <c r="F1064" t="str">
        <f t="shared" si="34"/>
        <v/>
      </c>
      <c r="G1064">
        <f t="shared" si="34"/>
        <v>0.261700514</v>
      </c>
    </row>
    <row r="1065" spans="1:7" x14ac:dyDescent="0.2">
      <c r="A1065" t="s">
        <v>2</v>
      </c>
      <c r="B1065">
        <v>0.73560634290000004</v>
      </c>
      <c r="C1065">
        <v>0</v>
      </c>
      <c r="D1065">
        <f t="shared" si="33"/>
        <v>0</v>
      </c>
      <c r="E1065" t="str">
        <f t="shared" si="33"/>
        <v/>
      </c>
      <c r="F1065">
        <f t="shared" si="34"/>
        <v>0.73560634290000004</v>
      </c>
      <c r="G1065" t="str">
        <f t="shared" si="34"/>
        <v/>
      </c>
    </row>
    <row r="1066" spans="1:7" x14ac:dyDescent="0.2">
      <c r="A1066" t="s">
        <v>2</v>
      </c>
      <c r="B1066">
        <v>0.35517587029999997</v>
      </c>
      <c r="C1066">
        <v>0</v>
      </c>
      <c r="D1066">
        <f t="shared" si="33"/>
        <v>0</v>
      </c>
      <c r="E1066" t="str">
        <f t="shared" si="33"/>
        <v/>
      </c>
      <c r="F1066">
        <f t="shared" si="34"/>
        <v>0.35517587029999997</v>
      </c>
      <c r="G1066" t="str">
        <f t="shared" si="34"/>
        <v/>
      </c>
    </row>
    <row r="1067" spans="1:7" x14ac:dyDescent="0.2">
      <c r="A1067" t="s">
        <v>0</v>
      </c>
      <c r="B1067">
        <v>0.27234307530000001</v>
      </c>
      <c r="C1067">
        <v>0</v>
      </c>
      <c r="D1067" t="str">
        <f t="shared" ref="D1067:E1130" si="35">IF($A1067=D$1,$C1067,"")</f>
        <v/>
      </c>
      <c r="E1067">
        <f t="shared" si="35"/>
        <v>0</v>
      </c>
      <c r="F1067" t="str">
        <f t="shared" ref="F1067:G1130" si="36">IF($A1067=F$1,$B1067,"")</f>
        <v/>
      </c>
      <c r="G1067">
        <f t="shared" si="36"/>
        <v>0.27234307530000001</v>
      </c>
    </row>
    <row r="1068" spans="1:7" x14ac:dyDescent="0.2">
      <c r="A1068" t="s">
        <v>2</v>
      </c>
      <c r="B1068">
        <v>0.55006515040000004</v>
      </c>
      <c r="C1068">
        <v>0</v>
      </c>
      <c r="D1068">
        <f t="shared" si="35"/>
        <v>0</v>
      </c>
      <c r="E1068" t="str">
        <f t="shared" si="35"/>
        <v/>
      </c>
      <c r="F1068">
        <f t="shared" si="36"/>
        <v>0.55006515040000004</v>
      </c>
      <c r="G1068" t="str">
        <f t="shared" si="36"/>
        <v/>
      </c>
    </row>
    <row r="1069" spans="1:7" x14ac:dyDescent="0.2">
      <c r="A1069" t="s">
        <v>0</v>
      </c>
      <c r="B1069">
        <v>0.26540982730000001</v>
      </c>
      <c r="C1069">
        <v>1</v>
      </c>
      <c r="D1069" t="str">
        <f t="shared" si="35"/>
        <v/>
      </c>
      <c r="E1069">
        <f t="shared" si="35"/>
        <v>1</v>
      </c>
      <c r="F1069" t="str">
        <f t="shared" si="36"/>
        <v/>
      </c>
      <c r="G1069">
        <f t="shared" si="36"/>
        <v>0.26540982730000001</v>
      </c>
    </row>
    <row r="1070" spans="1:7" x14ac:dyDescent="0.2">
      <c r="A1070" t="s">
        <v>2</v>
      </c>
      <c r="B1070">
        <v>0.25669732150000002</v>
      </c>
      <c r="C1070">
        <v>0</v>
      </c>
      <c r="D1070">
        <f t="shared" si="35"/>
        <v>0</v>
      </c>
      <c r="E1070" t="str">
        <f t="shared" si="35"/>
        <v/>
      </c>
      <c r="F1070">
        <f t="shared" si="36"/>
        <v>0.25669732150000002</v>
      </c>
      <c r="G1070" t="str">
        <f t="shared" si="36"/>
        <v/>
      </c>
    </row>
    <row r="1071" spans="1:7" x14ac:dyDescent="0.2">
      <c r="A1071" t="s">
        <v>2</v>
      </c>
      <c r="B1071">
        <v>0.58584622919999996</v>
      </c>
      <c r="C1071">
        <v>1</v>
      </c>
      <c r="D1071">
        <f t="shared" si="35"/>
        <v>1</v>
      </c>
      <c r="E1071" t="str">
        <f t="shared" si="35"/>
        <v/>
      </c>
      <c r="F1071">
        <f t="shared" si="36"/>
        <v>0.58584622919999996</v>
      </c>
      <c r="G1071" t="str">
        <f t="shared" si="36"/>
        <v/>
      </c>
    </row>
    <row r="1072" spans="1:7" x14ac:dyDescent="0.2">
      <c r="A1072" t="s">
        <v>2</v>
      </c>
      <c r="B1072">
        <v>0.62317399279999997</v>
      </c>
      <c r="C1072">
        <v>0</v>
      </c>
      <c r="D1072">
        <f t="shared" si="35"/>
        <v>0</v>
      </c>
      <c r="E1072" t="str">
        <f t="shared" si="35"/>
        <v/>
      </c>
      <c r="F1072">
        <f t="shared" si="36"/>
        <v>0.62317399279999997</v>
      </c>
      <c r="G1072" t="str">
        <f t="shared" si="36"/>
        <v/>
      </c>
    </row>
    <row r="1073" spans="1:7" x14ac:dyDescent="0.2">
      <c r="A1073" t="s">
        <v>2</v>
      </c>
      <c r="B1073">
        <v>0.27392777289999998</v>
      </c>
      <c r="C1073">
        <v>0</v>
      </c>
      <c r="D1073">
        <f t="shared" si="35"/>
        <v>0</v>
      </c>
      <c r="E1073" t="str">
        <f t="shared" si="35"/>
        <v/>
      </c>
      <c r="F1073">
        <f t="shared" si="36"/>
        <v>0.27392777289999998</v>
      </c>
      <c r="G1073" t="str">
        <f t="shared" si="36"/>
        <v/>
      </c>
    </row>
    <row r="1074" spans="1:7" x14ac:dyDescent="0.2">
      <c r="A1074" t="s">
        <v>0</v>
      </c>
      <c r="B1074">
        <v>0.6468487154</v>
      </c>
      <c r="C1074">
        <v>0</v>
      </c>
      <c r="D1074" t="str">
        <f t="shared" si="35"/>
        <v/>
      </c>
      <c r="E1074">
        <f t="shared" si="35"/>
        <v>0</v>
      </c>
      <c r="F1074" t="str">
        <f t="shared" si="36"/>
        <v/>
      </c>
      <c r="G1074">
        <f t="shared" si="36"/>
        <v>0.6468487154</v>
      </c>
    </row>
    <row r="1075" spans="1:7" x14ac:dyDescent="0.2">
      <c r="A1075" t="s">
        <v>2</v>
      </c>
      <c r="B1075">
        <v>0.46026287890000001</v>
      </c>
      <c r="C1075">
        <v>1</v>
      </c>
      <c r="D1075">
        <f t="shared" si="35"/>
        <v>1</v>
      </c>
      <c r="E1075" t="str">
        <f t="shared" si="35"/>
        <v/>
      </c>
      <c r="F1075">
        <f t="shared" si="36"/>
        <v>0.46026287890000001</v>
      </c>
      <c r="G1075" t="str">
        <f t="shared" si="36"/>
        <v/>
      </c>
    </row>
    <row r="1076" spans="1:7" x14ac:dyDescent="0.2">
      <c r="A1076" t="s">
        <v>0</v>
      </c>
      <c r="B1076">
        <v>0.49203747149999999</v>
      </c>
      <c r="C1076">
        <v>1</v>
      </c>
      <c r="D1076" t="str">
        <f t="shared" si="35"/>
        <v/>
      </c>
      <c r="E1076">
        <f t="shared" si="35"/>
        <v>1</v>
      </c>
      <c r="F1076" t="str">
        <f t="shared" si="36"/>
        <v/>
      </c>
      <c r="G1076">
        <f t="shared" si="36"/>
        <v>0.49203747149999999</v>
      </c>
    </row>
    <row r="1077" spans="1:7" x14ac:dyDescent="0.2">
      <c r="A1077" t="s">
        <v>2</v>
      </c>
      <c r="B1077">
        <v>0.2493319916</v>
      </c>
      <c r="C1077">
        <v>1</v>
      </c>
      <c r="D1077">
        <f t="shared" si="35"/>
        <v>1</v>
      </c>
      <c r="E1077" t="str">
        <f t="shared" si="35"/>
        <v/>
      </c>
      <c r="F1077">
        <f t="shared" si="36"/>
        <v>0.2493319916</v>
      </c>
      <c r="G1077" t="str">
        <f t="shared" si="36"/>
        <v/>
      </c>
    </row>
    <row r="1078" spans="1:7" x14ac:dyDescent="0.2">
      <c r="A1078" t="s">
        <v>0</v>
      </c>
      <c r="B1078">
        <v>0.51217510629999996</v>
      </c>
      <c r="C1078">
        <v>1</v>
      </c>
      <c r="D1078" t="str">
        <f t="shared" si="35"/>
        <v/>
      </c>
      <c r="E1078">
        <f t="shared" si="35"/>
        <v>1</v>
      </c>
      <c r="F1078" t="str">
        <f t="shared" si="36"/>
        <v/>
      </c>
      <c r="G1078">
        <f t="shared" si="36"/>
        <v>0.51217510629999996</v>
      </c>
    </row>
    <row r="1079" spans="1:7" x14ac:dyDescent="0.2">
      <c r="A1079" t="s">
        <v>0</v>
      </c>
      <c r="B1079">
        <v>0.1280602965</v>
      </c>
      <c r="C1079">
        <v>0</v>
      </c>
      <c r="D1079" t="str">
        <f t="shared" si="35"/>
        <v/>
      </c>
      <c r="E1079">
        <f t="shared" si="35"/>
        <v>0</v>
      </c>
      <c r="F1079" t="str">
        <f t="shared" si="36"/>
        <v/>
      </c>
      <c r="G1079">
        <f t="shared" si="36"/>
        <v>0.1280602965</v>
      </c>
    </row>
    <row r="1080" spans="1:7" x14ac:dyDescent="0.2">
      <c r="A1080" t="s">
        <v>0</v>
      </c>
      <c r="B1080">
        <v>0.24774235180000001</v>
      </c>
      <c r="C1080">
        <v>1</v>
      </c>
      <c r="D1080" t="str">
        <f t="shared" si="35"/>
        <v/>
      </c>
      <c r="E1080">
        <f t="shared" si="35"/>
        <v>1</v>
      </c>
      <c r="F1080" t="str">
        <f t="shared" si="36"/>
        <v/>
      </c>
      <c r="G1080">
        <f t="shared" si="36"/>
        <v>0.24774235180000001</v>
      </c>
    </row>
    <row r="1081" spans="1:7" x14ac:dyDescent="0.2">
      <c r="A1081" t="s">
        <v>0</v>
      </c>
      <c r="B1081">
        <v>0.80961112619999998</v>
      </c>
      <c r="C1081">
        <v>0</v>
      </c>
      <c r="D1081" t="str">
        <f t="shared" si="35"/>
        <v/>
      </c>
      <c r="E1081">
        <f t="shared" si="35"/>
        <v>0</v>
      </c>
      <c r="F1081" t="str">
        <f t="shared" si="36"/>
        <v/>
      </c>
      <c r="G1081">
        <f t="shared" si="36"/>
        <v>0.80961112619999998</v>
      </c>
    </row>
    <row r="1082" spans="1:7" x14ac:dyDescent="0.2">
      <c r="A1082" t="s">
        <v>2</v>
      </c>
      <c r="B1082">
        <v>0.82593346069999996</v>
      </c>
      <c r="C1082">
        <v>0</v>
      </c>
      <c r="D1082">
        <f t="shared" si="35"/>
        <v>0</v>
      </c>
      <c r="E1082" t="str">
        <f t="shared" si="35"/>
        <v/>
      </c>
      <c r="F1082">
        <f t="shared" si="36"/>
        <v>0.82593346069999996</v>
      </c>
      <c r="G1082" t="str">
        <f t="shared" si="36"/>
        <v/>
      </c>
    </row>
    <row r="1083" spans="1:7" x14ac:dyDescent="0.2">
      <c r="A1083" t="s">
        <v>2</v>
      </c>
      <c r="B1083">
        <v>0.14991930179999999</v>
      </c>
      <c r="C1083">
        <v>0</v>
      </c>
      <c r="D1083">
        <f t="shared" si="35"/>
        <v>0</v>
      </c>
      <c r="E1083" t="str">
        <f t="shared" si="35"/>
        <v/>
      </c>
      <c r="F1083">
        <f t="shared" si="36"/>
        <v>0.14991930179999999</v>
      </c>
      <c r="G1083" t="str">
        <f t="shared" si="36"/>
        <v/>
      </c>
    </row>
    <row r="1084" spans="1:7" x14ac:dyDescent="0.2">
      <c r="A1084" t="s">
        <v>0</v>
      </c>
      <c r="B1084">
        <v>0.58328577479999999</v>
      </c>
      <c r="C1084">
        <v>0</v>
      </c>
      <c r="D1084" t="str">
        <f t="shared" si="35"/>
        <v/>
      </c>
      <c r="E1084">
        <f t="shared" si="35"/>
        <v>0</v>
      </c>
      <c r="F1084" t="str">
        <f t="shared" si="36"/>
        <v/>
      </c>
      <c r="G1084">
        <f t="shared" si="36"/>
        <v>0.58328577479999999</v>
      </c>
    </row>
    <row r="1085" spans="1:7" x14ac:dyDescent="0.2">
      <c r="A1085" t="s">
        <v>2</v>
      </c>
      <c r="B1085">
        <v>0.34008307830000001</v>
      </c>
      <c r="C1085">
        <v>0</v>
      </c>
      <c r="D1085">
        <f t="shared" si="35"/>
        <v>0</v>
      </c>
      <c r="E1085" t="str">
        <f t="shared" si="35"/>
        <v/>
      </c>
      <c r="F1085">
        <f t="shared" si="36"/>
        <v>0.34008307830000001</v>
      </c>
      <c r="G1085" t="str">
        <f t="shared" si="36"/>
        <v/>
      </c>
    </row>
    <row r="1086" spans="1:7" x14ac:dyDescent="0.2">
      <c r="A1086" t="s">
        <v>0</v>
      </c>
      <c r="B1086">
        <v>0.3068564204</v>
      </c>
      <c r="C1086">
        <v>1</v>
      </c>
      <c r="D1086" t="str">
        <f t="shared" si="35"/>
        <v/>
      </c>
      <c r="E1086">
        <f t="shared" si="35"/>
        <v>1</v>
      </c>
      <c r="F1086" t="str">
        <f t="shared" si="36"/>
        <v/>
      </c>
      <c r="G1086">
        <f t="shared" si="36"/>
        <v>0.3068564204</v>
      </c>
    </row>
    <row r="1087" spans="1:7" x14ac:dyDescent="0.2">
      <c r="A1087" t="s">
        <v>2</v>
      </c>
      <c r="B1087">
        <v>0.77922439259999998</v>
      </c>
      <c r="C1087">
        <v>1</v>
      </c>
      <c r="D1087">
        <f t="shared" si="35"/>
        <v>1</v>
      </c>
      <c r="E1087" t="str">
        <f t="shared" si="35"/>
        <v/>
      </c>
      <c r="F1087">
        <f t="shared" si="36"/>
        <v>0.77922439259999998</v>
      </c>
      <c r="G1087" t="str">
        <f t="shared" si="36"/>
        <v/>
      </c>
    </row>
    <row r="1088" spans="1:7" x14ac:dyDescent="0.2">
      <c r="A1088" t="s">
        <v>2</v>
      </c>
      <c r="B1088">
        <v>0.62757609520000002</v>
      </c>
      <c r="C1088">
        <v>0</v>
      </c>
      <c r="D1088">
        <f t="shared" si="35"/>
        <v>0</v>
      </c>
      <c r="E1088" t="str">
        <f t="shared" si="35"/>
        <v/>
      </c>
      <c r="F1088">
        <f t="shared" si="36"/>
        <v>0.62757609520000002</v>
      </c>
      <c r="G1088" t="str">
        <f t="shared" si="36"/>
        <v/>
      </c>
    </row>
    <row r="1089" spans="1:7" x14ac:dyDescent="0.2">
      <c r="A1089" t="s">
        <v>0</v>
      </c>
      <c r="B1089">
        <v>0.58649227559999995</v>
      </c>
      <c r="C1089">
        <v>1</v>
      </c>
      <c r="D1089" t="str">
        <f t="shared" si="35"/>
        <v/>
      </c>
      <c r="E1089">
        <f t="shared" si="35"/>
        <v>1</v>
      </c>
      <c r="F1089" t="str">
        <f t="shared" si="36"/>
        <v/>
      </c>
      <c r="G1089">
        <f t="shared" si="36"/>
        <v>0.58649227559999995</v>
      </c>
    </row>
    <row r="1090" spans="1:7" x14ac:dyDescent="0.2">
      <c r="A1090" t="s">
        <v>2</v>
      </c>
      <c r="B1090">
        <v>0.43873625360000001</v>
      </c>
      <c r="C1090">
        <v>1</v>
      </c>
      <c r="D1090">
        <f t="shared" si="35"/>
        <v>1</v>
      </c>
      <c r="E1090" t="str">
        <f t="shared" si="35"/>
        <v/>
      </c>
      <c r="F1090">
        <f t="shared" si="36"/>
        <v>0.43873625360000001</v>
      </c>
      <c r="G1090" t="str">
        <f t="shared" si="36"/>
        <v/>
      </c>
    </row>
    <row r="1091" spans="1:7" x14ac:dyDescent="0.2">
      <c r="A1091" t="s">
        <v>0</v>
      </c>
      <c r="B1091">
        <v>0.74777944370000005</v>
      </c>
      <c r="C1091">
        <v>1</v>
      </c>
      <c r="D1091" t="str">
        <f t="shared" si="35"/>
        <v/>
      </c>
      <c r="E1091">
        <f t="shared" si="35"/>
        <v>1</v>
      </c>
      <c r="F1091" t="str">
        <f t="shared" si="36"/>
        <v/>
      </c>
      <c r="G1091">
        <f t="shared" si="36"/>
        <v>0.74777944370000005</v>
      </c>
    </row>
    <row r="1092" spans="1:7" x14ac:dyDescent="0.2">
      <c r="A1092" t="s">
        <v>2</v>
      </c>
      <c r="B1092">
        <v>0.42553893240000001</v>
      </c>
      <c r="C1092">
        <v>0</v>
      </c>
      <c r="D1092">
        <f t="shared" si="35"/>
        <v>0</v>
      </c>
      <c r="E1092" t="str">
        <f t="shared" si="35"/>
        <v/>
      </c>
      <c r="F1092">
        <f t="shared" si="36"/>
        <v>0.42553893240000001</v>
      </c>
      <c r="G1092" t="str">
        <f t="shared" si="36"/>
        <v/>
      </c>
    </row>
    <row r="1093" spans="1:7" x14ac:dyDescent="0.2">
      <c r="A1093" t="s">
        <v>2</v>
      </c>
      <c r="B1093">
        <v>0.216950331</v>
      </c>
      <c r="C1093">
        <v>0</v>
      </c>
      <c r="D1093">
        <f t="shared" si="35"/>
        <v>0</v>
      </c>
      <c r="E1093" t="str">
        <f t="shared" si="35"/>
        <v/>
      </c>
      <c r="F1093">
        <f t="shared" si="36"/>
        <v>0.216950331</v>
      </c>
      <c r="G1093" t="str">
        <f t="shared" si="36"/>
        <v/>
      </c>
    </row>
    <row r="1094" spans="1:7" x14ac:dyDescent="0.2">
      <c r="A1094" t="s">
        <v>2</v>
      </c>
      <c r="B1094">
        <v>0.22343618900000001</v>
      </c>
      <c r="C1094">
        <v>0</v>
      </c>
      <c r="D1094">
        <f t="shared" si="35"/>
        <v>0</v>
      </c>
      <c r="E1094" t="str">
        <f t="shared" si="35"/>
        <v/>
      </c>
      <c r="F1094">
        <f t="shared" si="36"/>
        <v>0.22343618900000001</v>
      </c>
      <c r="G1094" t="str">
        <f t="shared" si="36"/>
        <v/>
      </c>
    </row>
    <row r="1095" spans="1:7" x14ac:dyDescent="0.2">
      <c r="A1095" t="s">
        <v>2</v>
      </c>
      <c r="B1095">
        <v>0.2136780653</v>
      </c>
      <c r="C1095">
        <v>0</v>
      </c>
      <c r="D1095">
        <f t="shared" si="35"/>
        <v>0</v>
      </c>
      <c r="E1095" t="str">
        <f t="shared" si="35"/>
        <v/>
      </c>
      <c r="F1095">
        <f t="shared" si="36"/>
        <v>0.2136780653</v>
      </c>
      <c r="G1095" t="str">
        <f t="shared" si="36"/>
        <v/>
      </c>
    </row>
    <row r="1096" spans="1:7" x14ac:dyDescent="0.2">
      <c r="A1096" t="s">
        <v>0</v>
      </c>
      <c r="B1096">
        <v>0.45421270540000003</v>
      </c>
      <c r="C1096">
        <v>1</v>
      </c>
      <c r="D1096" t="str">
        <f t="shared" si="35"/>
        <v/>
      </c>
      <c r="E1096">
        <f t="shared" si="35"/>
        <v>1</v>
      </c>
      <c r="F1096" t="str">
        <f t="shared" si="36"/>
        <v/>
      </c>
      <c r="G1096">
        <f t="shared" si="36"/>
        <v>0.45421270540000003</v>
      </c>
    </row>
    <row r="1097" spans="1:7" x14ac:dyDescent="0.2">
      <c r="A1097" t="s">
        <v>0</v>
      </c>
      <c r="B1097">
        <v>9.4202579800000005E-2</v>
      </c>
      <c r="C1097">
        <v>0</v>
      </c>
      <c r="D1097" t="str">
        <f t="shared" si="35"/>
        <v/>
      </c>
      <c r="E1097">
        <f t="shared" si="35"/>
        <v>0</v>
      </c>
      <c r="F1097" t="str">
        <f t="shared" si="36"/>
        <v/>
      </c>
      <c r="G1097">
        <f t="shared" si="36"/>
        <v>9.4202579800000005E-2</v>
      </c>
    </row>
    <row r="1098" spans="1:7" x14ac:dyDescent="0.2">
      <c r="A1098" t="s">
        <v>2</v>
      </c>
      <c r="B1098">
        <v>0.23467942750000001</v>
      </c>
      <c r="C1098">
        <v>0</v>
      </c>
      <c r="D1098">
        <f t="shared" si="35"/>
        <v>0</v>
      </c>
      <c r="E1098" t="str">
        <f t="shared" si="35"/>
        <v/>
      </c>
      <c r="F1098">
        <f t="shared" si="36"/>
        <v>0.23467942750000001</v>
      </c>
      <c r="G1098" t="str">
        <f t="shared" si="36"/>
        <v/>
      </c>
    </row>
    <row r="1099" spans="1:7" x14ac:dyDescent="0.2">
      <c r="A1099" t="s">
        <v>2</v>
      </c>
      <c r="B1099">
        <v>0.33512348549999998</v>
      </c>
      <c r="C1099">
        <v>0</v>
      </c>
      <c r="D1099">
        <f t="shared" si="35"/>
        <v>0</v>
      </c>
      <c r="E1099" t="str">
        <f t="shared" si="35"/>
        <v/>
      </c>
      <c r="F1099">
        <f t="shared" si="36"/>
        <v>0.33512348549999998</v>
      </c>
      <c r="G1099" t="str">
        <f t="shared" si="36"/>
        <v/>
      </c>
    </row>
    <row r="1100" spans="1:7" x14ac:dyDescent="0.2">
      <c r="A1100" t="s">
        <v>2</v>
      </c>
      <c r="B1100">
        <v>0.37477889660000002</v>
      </c>
      <c r="C1100">
        <v>1</v>
      </c>
      <c r="D1100">
        <f t="shared" si="35"/>
        <v>1</v>
      </c>
      <c r="E1100" t="str">
        <f t="shared" si="35"/>
        <v/>
      </c>
      <c r="F1100">
        <f t="shared" si="36"/>
        <v>0.37477889660000002</v>
      </c>
      <c r="G1100" t="str">
        <f t="shared" si="36"/>
        <v/>
      </c>
    </row>
    <row r="1101" spans="1:7" x14ac:dyDescent="0.2">
      <c r="A1101" t="s">
        <v>2</v>
      </c>
      <c r="B1101">
        <v>0.32809035609999998</v>
      </c>
      <c r="C1101">
        <v>0</v>
      </c>
      <c r="D1101">
        <f t="shared" si="35"/>
        <v>0</v>
      </c>
      <c r="E1101" t="str">
        <f t="shared" si="35"/>
        <v/>
      </c>
      <c r="F1101">
        <f t="shared" si="36"/>
        <v>0.32809035609999998</v>
      </c>
      <c r="G1101" t="str">
        <f t="shared" si="36"/>
        <v/>
      </c>
    </row>
    <row r="1102" spans="1:7" x14ac:dyDescent="0.2">
      <c r="A1102" t="s">
        <v>2</v>
      </c>
      <c r="B1102">
        <v>0.52850105420000004</v>
      </c>
      <c r="C1102">
        <v>0</v>
      </c>
      <c r="D1102">
        <f t="shared" si="35"/>
        <v>0</v>
      </c>
      <c r="E1102" t="str">
        <f t="shared" si="35"/>
        <v/>
      </c>
      <c r="F1102">
        <f t="shared" si="36"/>
        <v>0.52850105420000004</v>
      </c>
      <c r="G1102" t="str">
        <f t="shared" si="36"/>
        <v/>
      </c>
    </row>
    <row r="1103" spans="1:7" x14ac:dyDescent="0.2">
      <c r="A1103" t="s">
        <v>2</v>
      </c>
      <c r="B1103">
        <v>0.85965835970000004</v>
      </c>
      <c r="C1103">
        <v>1</v>
      </c>
      <c r="D1103">
        <f t="shared" si="35"/>
        <v>1</v>
      </c>
      <c r="E1103" t="str">
        <f t="shared" si="35"/>
        <v/>
      </c>
      <c r="F1103">
        <f t="shared" si="36"/>
        <v>0.85965835970000004</v>
      </c>
      <c r="G1103" t="str">
        <f t="shared" si="36"/>
        <v/>
      </c>
    </row>
    <row r="1104" spans="1:7" x14ac:dyDescent="0.2">
      <c r="A1104" t="s">
        <v>0</v>
      </c>
      <c r="B1104">
        <v>0.83873738630000005</v>
      </c>
      <c r="C1104">
        <v>1</v>
      </c>
      <c r="D1104" t="str">
        <f t="shared" si="35"/>
        <v/>
      </c>
      <c r="E1104">
        <f t="shared" si="35"/>
        <v>1</v>
      </c>
      <c r="F1104" t="str">
        <f t="shared" si="36"/>
        <v/>
      </c>
      <c r="G1104">
        <f t="shared" si="36"/>
        <v>0.83873738630000005</v>
      </c>
    </row>
    <row r="1105" spans="1:7" x14ac:dyDescent="0.2">
      <c r="A1105" t="s">
        <v>2</v>
      </c>
      <c r="B1105">
        <v>0.22813312290000001</v>
      </c>
      <c r="C1105">
        <v>0</v>
      </c>
      <c r="D1105">
        <f t="shared" si="35"/>
        <v>0</v>
      </c>
      <c r="E1105" t="str">
        <f t="shared" si="35"/>
        <v/>
      </c>
      <c r="F1105">
        <f t="shared" si="36"/>
        <v>0.22813312290000001</v>
      </c>
      <c r="G1105" t="str">
        <f t="shared" si="36"/>
        <v/>
      </c>
    </row>
    <row r="1106" spans="1:7" x14ac:dyDescent="0.2">
      <c r="A1106" t="s">
        <v>2</v>
      </c>
      <c r="B1106">
        <v>0.51144827559999995</v>
      </c>
      <c r="C1106">
        <v>0</v>
      </c>
      <c r="D1106">
        <f t="shared" si="35"/>
        <v>0</v>
      </c>
      <c r="E1106" t="str">
        <f t="shared" si="35"/>
        <v/>
      </c>
      <c r="F1106">
        <f t="shared" si="36"/>
        <v>0.51144827559999995</v>
      </c>
      <c r="G1106" t="str">
        <f t="shared" si="36"/>
        <v/>
      </c>
    </row>
    <row r="1107" spans="1:7" x14ac:dyDescent="0.2">
      <c r="A1107" t="s">
        <v>2</v>
      </c>
      <c r="B1107">
        <v>0.69107663129999997</v>
      </c>
      <c r="C1107">
        <v>0</v>
      </c>
      <c r="D1107">
        <f t="shared" si="35"/>
        <v>0</v>
      </c>
      <c r="E1107" t="str">
        <f t="shared" si="35"/>
        <v/>
      </c>
      <c r="F1107">
        <f t="shared" si="36"/>
        <v>0.69107663129999997</v>
      </c>
      <c r="G1107" t="str">
        <f t="shared" si="36"/>
        <v/>
      </c>
    </row>
    <row r="1108" spans="1:7" x14ac:dyDescent="0.2">
      <c r="A1108" t="s">
        <v>2</v>
      </c>
      <c r="B1108">
        <v>0.88949238720000001</v>
      </c>
      <c r="C1108">
        <v>1</v>
      </c>
      <c r="D1108">
        <f t="shared" si="35"/>
        <v>1</v>
      </c>
      <c r="E1108" t="str">
        <f t="shared" si="35"/>
        <v/>
      </c>
      <c r="F1108">
        <f t="shared" si="36"/>
        <v>0.88949238720000001</v>
      </c>
      <c r="G1108" t="str">
        <f t="shared" si="36"/>
        <v/>
      </c>
    </row>
    <row r="1109" spans="1:7" x14ac:dyDescent="0.2">
      <c r="A1109" t="s">
        <v>2</v>
      </c>
      <c r="B1109">
        <v>0.1203143418</v>
      </c>
      <c r="C1109">
        <v>0</v>
      </c>
      <c r="D1109">
        <f t="shared" si="35"/>
        <v>0</v>
      </c>
      <c r="E1109" t="str">
        <f t="shared" si="35"/>
        <v/>
      </c>
      <c r="F1109">
        <f t="shared" si="36"/>
        <v>0.1203143418</v>
      </c>
      <c r="G1109" t="str">
        <f t="shared" si="36"/>
        <v/>
      </c>
    </row>
    <row r="1110" spans="1:7" x14ac:dyDescent="0.2">
      <c r="A1110" t="s">
        <v>2</v>
      </c>
      <c r="B1110">
        <v>0.1508270854</v>
      </c>
      <c r="C1110">
        <v>0</v>
      </c>
      <c r="D1110">
        <f t="shared" si="35"/>
        <v>0</v>
      </c>
      <c r="E1110" t="str">
        <f t="shared" si="35"/>
        <v/>
      </c>
      <c r="F1110">
        <f t="shared" si="36"/>
        <v>0.1508270854</v>
      </c>
      <c r="G1110" t="str">
        <f t="shared" si="36"/>
        <v/>
      </c>
    </row>
    <row r="1111" spans="1:7" x14ac:dyDescent="0.2">
      <c r="A1111" t="s">
        <v>0</v>
      </c>
      <c r="B1111">
        <v>0.4829122132</v>
      </c>
      <c r="C1111">
        <v>1</v>
      </c>
      <c r="D1111" t="str">
        <f t="shared" si="35"/>
        <v/>
      </c>
      <c r="E1111">
        <f t="shared" si="35"/>
        <v>1</v>
      </c>
      <c r="F1111" t="str">
        <f t="shared" si="36"/>
        <v/>
      </c>
      <c r="G1111">
        <f t="shared" si="36"/>
        <v>0.4829122132</v>
      </c>
    </row>
    <row r="1112" spans="1:7" x14ac:dyDescent="0.2">
      <c r="A1112" t="s">
        <v>2</v>
      </c>
      <c r="B1112">
        <v>0.137608225</v>
      </c>
      <c r="C1112">
        <v>1</v>
      </c>
      <c r="D1112">
        <f t="shared" si="35"/>
        <v>1</v>
      </c>
      <c r="E1112" t="str">
        <f t="shared" si="35"/>
        <v/>
      </c>
      <c r="F1112">
        <f t="shared" si="36"/>
        <v>0.137608225</v>
      </c>
      <c r="G1112" t="str">
        <f t="shared" si="36"/>
        <v/>
      </c>
    </row>
    <row r="1113" spans="1:7" x14ac:dyDescent="0.2">
      <c r="A1113" t="s">
        <v>2</v>
      </c>
      <c r="B1113">
        <v>0.53027435840000003</v>
      </c>
      <c r="C1113">
        <v>0</v>
      </c>
      <c r="D1113">
        <f t="shared" si="35"/>
        <v>0</v>
      </c>
      <c r="E1113" t="str">
        <f t="shared" si="35"/>
        <v/>
      </c>
      <c r="F1113">
        <f t="shared" si="36"/>
        <v>0.53027435840000003</v>
      </c>
      <c r="G1113" t="str">
        <f t="shared" si="36"/>
        <v/>
      </c>
    </row>
    <row r="1114" spans="1:7" x14ac:dyDescent="0.2">
      <c r="A1114" t="s">
        <v>2</v>
      </c>
      <c r="B1114">
        <v>0.3013969588</v>
      </c>
      <c r="C1114">
        <v>1</v>
      </c>
      <c r="D1114">
        <f t="shared" si="35"/>
        <v>1</v>
      </c>
      <c r="E1114" t="str">
        <f t="shared" si="35"/>
        <v/>
      </c>
      <c r="F1114">
        <f t="shared" si="36"/>
        <v>0.3013969588</v>
      </c>
      <c r="G1114" t="str">
        <f t="shared" si="36"/>
        <v/>
      </c>
    </row>
    <row r="1115" spans="1:7" x14ac:dyDescent="0.2">
      <c r="A1115" t="s">
        <v>2</v>
      </c>
      <c r="B1115">
        <v>0.13889500129999999</v>
      </c>
      <c r="C1115">
        <v>0</v>
      </c>
      <c r="D1115">
        <f t="shared" si="35"/>
        <v>0</v>
      </c>
      <c r="E1115" t="str">
        <f t="shared" si="35"/>
        <v/>
      </c>
      <c r="F1115">
        <f t="shared" si="36"/>
        <v>0.13889500129999999</v>
      </c>
      <c r="G1115" t="str">
        <f t="shared" si="36"/>
        <v/>
      </c>
    </row>
    <row r="1116" spans="1:7" x14ac:dyDescent="0.2">
      <c r="A1116" t="s">
        <v>2</v>
      </c>
      <c r="B1116">
        <v>0.33633706400000002</v>
      </c>
      <c r="C1116">
        <v>0</v>
      </c>
      <c r="D1116">
        <f t="shared" si="35"/>
        <v>0</v>
      </c>
      <c r="E1116" t="str">
        <f t="shared" si="35"/>
        <v/>
      </c>
      <c r="F1116">
        <f t="shared" si="36"/>
        <v>0.33633706400000002</v>
      </c>
      <c r="G1116" t="str">
        <f t="shared" si="36"/>
        <v/>
      </c>
    </row>
    <row r="1117" spans="1:7" x14ac:dyDescent="0.2">
      <c r="A1117" t="s">
        <v>0</v>
      </c>
      <c r="B1117">
        <v>0.48744570669999998</v>
      </c>
      <c r="C1117">
        <v>0</v>
      </c>
      <c r="D1117" t="str">
        <f t="shared" si="35"/>
        <v/>
      </c>
      <c r="E1117">
        <f t="shared" si="35"/>
        <v>0</v>
      </c>
      <c r="F1117" t="str">
        <f t="shared" si="36"/>
        <v/>
      </c>
      <c r="G1117">
        <f t="shared" si="36"/>
        <v>0.48744570669999998</v>
      </c>
    </row>
    <row r="1118" spans="1:7" x14ac:dyDescent="0.2">
      <c r="A1118" t="s">
        <v>2</v>
      </c>
      <c r="B1118">
        <v>0.55891988270000004</v>
      </c>
      <c r="C1118">
        <v>1</v>
      </c>
      <c r="D1118">
        <f t="shared" si="35"/>
        <v>1</v>
      </c>
      <c r="E1118" t="str">
        <f t="shared" si="35"/>
        <v/>
      </c>
      <c r="F1118">
        <f t="shared" si="36"/>
        <v>0.55891988270000004</v>
      </c>
      <c r="G1118" t="str">
        <f t="shared" si="36"/>
        <v/>
      </c>
    </row>
    <row r="1119" spans="1:7" x14ac:dyDescent="0.2">
      <c r="A1119" t="s">
        <v>0</v>
      </c>
      <c r="B1119">
        <v>0.70993905879999997</v>
      </c>
      <c r="C1119">
        <v>0</v>
      </c>
      <c r="D1119" t="str">
        <f t="shared" si="35"/>
        <v/>
      </c>
      <c r="E1119">
        <f t="shared" si="35"/>
        <v>0</v>
      </c>
      <c r="F1119" t="str">
        <f t="shared" si="36"/>
        <v/>
      </c>
      <c r="G1119">
        <f t="shared" si="36"/>
        <v>0.70993905879999997</v>
      </c>
    </row>
    <row r="1120" spans="1:7" x14ac:dyDescent="0.2">
      <c r="A1120" t="s">
        <v>0</v>
      </c>
      <c r="B1120">
        <v>0.52727757249999996</v>
      </c>
      <c r="C1120">
        <v>1</v>
      </c>
      <c r="D1120" t="str">
        <f t="shared" si="35"/>
        <v/>
      </c>
      <c r="E1120">
        <f t="shared" si="35"/>
        <v>1</v>
      </c>
      <c r="F1120" t="str">
        <f t="shared" si="36"/>
        <v/>
      </c>
      <c r="G1120">
        <f t="shared" si="36"/>
        <v>0.52727757249999996</v>
      </c>
    </row>
    <row r="1121" spans="1:7" x14ac:dyDescent="0.2">
      <c r="A1121" t="s">
        <v>2</v>
      </c>
      <c r="B1121">
        <v>0.1516012477</v>
      </c>
      <c r="C1121">
        <v>0</v>
      </c>
      <c r="D1121">
        <f t="shared" si="35"/>
        <v>0</v>
      </c>
      <c r="E1121" t="str">
        <f t="shared" si="35"/>
        <v/>
      </c>
      <c r="F1121">
        <f t="shared" si="36"/>
        <v>0.1516012477</v>
      </c>
      <c r="G1121" t="str">
        <f t="shared" si="36"/>
        <v/>
      </c>
    </row>
    <row r="1122" spans="1:7" x14ac:dyDescent="0.2">
      <c r="A1122" t="s">
        <v>2</v>
      </c>
      <c r="B1122">
        <v>0.32740866429999999</v>
      </c>
      <c r="C1122">
        <v>0</v>
      </c>
      <c r="D1122">
        <f t="shared" si="35"/>
        <v>0</v>
      </c>
      <c r="E1122" t="str">
        <f t="shared" si="35"/>
        <v/>
      </c>
      <c r="F1122">
        <f t="shared" si="36"/>
        <v>0.32740866429999999</v>
      </c>
      <c r="G1122" t="str">
        <f t="shared" si="36"/>
        <v/>
      </c>
    </row>
    <row r="1123" spans="1:7" x14ac:dyDescent="0.2">
      <c r="A1123" t="s">
        <v>2</v>
      </c>
      <c r="B1123">
        <v>0.39752354080000002</v>
      </c>
      <c r="C1123">
        <v>1</v>
      </c>
      <c r="D1123">
        <f t="shared" si="35"/>
        <v>1</v>
      </c>
      <c r="E1123" t="str">
        <f t="shared" si="35"/>
        <v/>
      </c>
      <c r="F1123">
        <f t="shared" si="36"/>
        <v>0.39752354080000002</v>
      </c>
      <c r="G1123" t="str">
        <f t="shared" si="36"/>
        <v/>
      </c>
    </row>
    <row r="1124" spans="1:7" x14ac:dyDescent="0.2">
      <c r="A1124" t="s">
        <v>2</v>
      </c>
      <c r="B1124">
        <v>0.68335339500000003</v>
      </c>
      <c r="C1124">
        <v>1</v>
      </c>
      <c r="D1124">
        <f t="shared" si="35"/>
        <v>1</v>
      </c>
      <c r="E1124" t="str">
        <f t="shared" si="35"/>
        <v/>
      </c>
      <c r="F1124">
        <f t="shared" si="36"/>
        <v>0.68335339500000003</v>
      </c>
      <c r="G1124" t="str">
        <f t="shared" si="36"/>
        <v/>
      </c>
    </row>
    <row r="1125" spans="1:7" x14ac:dyDescent="0.2">
      <c r="A1125" t="s">
        <v>2</v>
      </c>
      <c r="B1125">
        <v>0.78940759199999999</v>
      </c>
      <c r="C1125">
        <v>1</v>
      </c>
      <c r="D1125">
        <f t="shared" si="35"/>
        <v>1</v>
      </c>
      <c r="E1125" t="str">
        <f t="shared" si="35"/>
        <v/>
      </c>
      <c r="F1125">
        <f t="shared" si="36"/>
        <v>0.78940759199999999</v>
      </c>
      <c r="G1125" t="str">
        <f t="shared" si="36"/>
        <v/>
      </c>
    </row>
    <row r="1126" spans="1:7" x14ac:dyDescent="0.2">
      <c r="A1126" t="s">
        <v>2</v>
      </c>
      <c r="B1126">
        <v>0.86816532769999999</v>
      </c>
      <c r="C1126">
        <v>1</v>
      </c>
      <c r="D1126">
        <f t="shared" si="35"/>
        <v>1</v>
      </c>
      <c r="E1126" t="str">
        <f t="shared" si="35"/>
        <v/>
      </c>
      <c r="F1126">
        <f t="shared" si="36"/>
        <v>0.86816532769999999</v>
      </c>
      <c r="G1126" t="str">
        <f t="shared" si="36"/>
        <v/>
      </c>
    </row>
    <row r="1127" spans="1:7" x14ac:dyDescent="0.2">
      <c r="A1127" t="s">
        <v>2</v>
      </c>
      <c r="B1127">
        <v>0.38258804600000001</v>
      </c>
      <c r="C1127">
        <v>0</v>
      </c>
      <c r="D1127">
        <f t="shared" si="35"/>
        <v>0</v>
      </c>
      <c r="E1127" t="str">
        <f t="shared" si="35"/>
        <v/>
      </c>
      <c r="F1127">
        <f t="shared" si="36"/>
        <v>0.38258804600000001</v>
      </c>
      <c r="G1127" t="str">
        <f t="shared" si="36"/>
        <v/>
      </c>
    </row>
    <row r="1128" spans="1:7" x14ac:dyDescent="0.2">
      <c r="A1128" t="s">
        <v>0</v>
      </c>
      <c r="B1128">
        <v>0.82826879220000005</v>
      </c>
      <c r="C1128">
        <v>1</v>
      </c>
      <c r="D1128" t="str">
        <f t="shared" si="35"/>
        <v/>
      </c>
      <c r="E1128">
        <f t="shared" si="35"/>
        <v>1</v>
      </c>
      <c r="F1128" t="str">
        <f t="shared" si="36"/>
        <v/>
      </c>
      <c r="G1128">
        <f t="shared" si="36"/>
        <v>0.82826879220000005</v>
      </c>
    </row>
    <row r="1129" spans="1:7" x14ac:dyDescent="0.2">
      <c r="A1129" t="s">
        <v>0</v>
      </c>
      <c r="B1129">
        <v>0.62920362839999999</v>
      </c>
      <c r="C1129">
        <v>1</v>
      </c>
      <c r="D1129" t="str">
        <f t="shared" si="35"/>
        <v/>
      </c>
      <c r="E1129">
        <f t="shared" si="35"/>
        <v>1</v>
      </c>
      <c r="F1129" t="str">
        <f t="shared" si="36"/>
        <v/>
      </c>
      <c r="G1129">
        <f t="shared" si="36"/>
        <v>0.62920362839999999</v>
      </c>
    </row>
    <row r="1130" spans="1:7" x14ac:dyDescent="0.2">
      <c r="A1130" t="s">
        <v>0</v>
      </c>
      <c r="B1130">
        <v>0.54381980819999998</v>
      </c>
      <c r="C1130">
        <v>1</v>
      </c>
      <c r="D1130" t="str">
        <f t="shared" si="35"/>
        <v/>
      </c>
      <c r="E1130">
        <f t="shared" si="35"/>
        <v>1</v>
      </c>
      <c r="F1130" t="str">
        <f t="shared" si="36"/>
        <v/>
      </c>
      <c r="G1130">
        <f t="shared" si="36"/>
        <v>0.54381980819999998</v>
      </c>
    </row>
    <row r="1131" spans="1:7" x14ac:dyDescent="0.2">
      <c r="A1131" t="s">
        <v>2</v>
      </c>
      <c r="B1131">
        <v>0.17408696139999999</v>
      </c>
      <c r="C1131">
        <v>0</v>
      </c>
      <c r="D1131">
        <f t="shared" ref="D1131:E1194" si="37">IF($A1131=D$1,$C1131,"")</f>
        <v>0</v>
      </c>
      <c r="E1131" t="str">
        <f t="shared" si="37"/>
        <v/>
      </c>
      <c r="F1131">
        <f t="shared" ref="F1131:G1194" si="38">IF($A1131=F$1,$B1131,"")</f>
        <v>0.17408696139999999</v>
      </c>
      <c r="G1131" t="str">
        <f t="shared" si="38"/>
        <v/>
      </c>
    </row>
    <row r="1132" spans="1:7" x14ac:dyDescent="0.2">
      <c r="A1132" t="s">
        <v>2</v>
      </c>
      <c r="B1132">
        <v>0.37670067899999998</v>
      </c>
      <c r="C1132">
        <v>0</v>
      </c>
      <c r="D1132">
        <f t="shared" si="37"/>
        <v>0</v>
      </c>
      <c r="E1132" t="str">
        <f t="shared" si="37"/>
        <v/>
      </c>
      <c r="F1132">
        <f t="shared" si="38"/>
        <v>0.37670067899999998</v>
      </c>
      <c r="G1132" t="str">
        <f t="shared" si="38"/>
        <v/>
      </c>
    </row>
    <row r="1133" spans="1:7" x14ac:dyDescent="0.2">
      <c r="A1133" t="s">
        <v>0</v>
      </c>
      <c r="B1133">
        <v>0.2462973923</v>
      </c>
      <c r="C1133">
        <v>0</v>
      </c>
      <c r="D1133" t="str">
        <f t="shared" si="37"/>
        <v/>
      </c>
      <c r="E1133">
        <f t="shared" si="37"/>
        <v>0</v>
      </c>
      <c r="F1133" t="str">
        <f t="shared" si="38"/>
        <v/>
      </c>
      <c r="G1133">
        <f t="shared" si="38"/>
        <v>0.2462973923</v>
      </c>
    </row>
    <row r="1134" spans="1:7" x14ac:dyDescent="0.2">
      <c r="A1134" t="s">
        <v>0</v>
      </c>
      <c r="B1134">
        <v>0.28988367809999999</v>
      </c>
      <c r="C1134">
        <v>0</v>
      </c>
      <c r="D1134" t="str">
        <f t="shared" si="37"/>
        <v/>
      </c>
      <c r="E1134">
        <f t="shared" si="37"/>
        <v>0</v>
      </c>
      <c r="F1134" t="str">
        <f t="shared" si="38"/>
        <v/>
      </c>
      <c r="G1134">
        <f t="shared" si="38"/>
        <v>0.28988367809999999</v>
      </c>
    </row>
    <row r="1135" spans="1:7" x14ac:dyDescent="0.2">
      <c r="A1135" t="s">
        <v>0</v>
      </c>
      <c r="B1135">
        <v>0.243229687</v>
      </c>
      <c r="C1135">
        <v>0</v>
      </c>
      <c r="D1135" t="str">
        <f t="shared" si="37"/>
        <v/>
      </c>
      <c r="E1135">
        <f t="shared" si="37"/>
        <v>0</v>
      </c>
      <c r="F1135" t="str">
        <f t="shared" si="38"/>
        <v/>
      </c>
      <c r="G1135">
        <f t="shared" si="38"/>
        <v>0.243229687</v>
      </c>
    </row>
    <row r="1136" spans="1:7" x14ac:dyDescent="0.2">
      <c r="A1136" t="s">
        <v>2</v>
      </c>
      <c r="B1136">
        <v>0.55738796619999997</v>
      </c>
      <c r="C1136">
        <v>0</v>
      </c>
      <c r="D1136">
        <f t="shared" si="37"/>
        <v>0</v>
      </c>
      <c r="E1136" t="str">
        <f t="shared" si="37"/>
        <v/>
      </c>
      <c r="F1136">
        <f t="shared" si="38"/>
        <v>0.55738796619999997</v>
      </c>
      <c r="G1136" t="str">
        <f t="shared" si="38"/>
        <v/>
      </c>
    </row>
    <row r="1137" spans="1:7" x14ac:dyDescent="0.2">
      <c r="A1137" t="s">
        <v>2</v>
      </c>
      <c r="B1137">
        <v>0.52821758990000001</v>
      </c>
      <c r="C1137">
        <v>1</v>
      </c>
      <c r="D1137">
        <f t="shared" si="37"/>
        <v>1</v>
      </c>
      <c r="E1137" t="str">
        <f t="shared" si="37"/>
        <v/>
      </c>
      <c r="F1137">
        <f t="shared" si="38"/>
        <v>0.52821758990000001</v>
      </c>
      <c r="G1137" t="str">
        <f t="shared" si="38"/>
        <v/>
      </c>
    </row>
    <row r="1138" spans="1:7" x14ac:dyDescent="0.2">
      <c r="A1138" t="s">
        <v>2</v>
      </c>
      <c r="B1138">
        <v>0.15328061309999999</v>
      </c>
      <c r="C1138">
        <v>0</v>
      </c>
      <c r="D1138">
        <f t="shared" si="37"/>
        <v>0</v>
      </c>
      <c r="E1138" t="str">
        <f t="shared" si="37"/>
        <v/>
      </c>
      <c r="F1138">
        <f t="shared" si="38"/>
        <v>0.15328061309999999</v>
      </c>
      <c r="G1138" t="str">
        <f t="shared" si="38"/>
        <v/>
      </c>
    </row>
    <row r="1139" spans="1:7" x14ac:dyDescent="0.2">
      <c r="A1139" t="s">
        <v>0</v>
      </c>
      <c r="B1139">
        <v>0.2068406659</v>
      </c>
      <c r="C1139">
        <v>0</v>
      </c>
      <c r="D1139" t="str">
        <f t="shared" si="37"/>
        <v/>
      </c>
      <c r="E1139">
        <f t="shared" si="37"/>
        <v>0</v>
      </c>
      <c r="F1139" t="str">
        <f t="shared" si="38"/>
        <v/>
      </c>
      <c r="G1139">
        <f t="shared" si="38"/>
        <v>0.2068406659</v>
      </c>
    </row>
    <row r="1140" spans="1:7" x14ac:dyDescent="0.2">
      <c r="A1140" t="s">
        <v>0</v>
      </c>
      <c r="B1140">
        <v>0.28101672550000001</v>
      </c>
      <c r="C1140">
        <v>0</v>
      </c>
      <c r="D1140" t="str">
        <f t="shared" si="37"/>
        <v/>
      </c>
      <c r="E1140">
        <f t="shared" si="37"/>
        <v>0</v>
      </c>
      <c r="F1140" t="str">
        <f t="shared" si="38"/>
        <v/>
      </c>
      <c r="G1140">
        <f t="shared" si="38"/>
        <v>0.28101672550000001</v>
      </c>
    </row>
    <row r="1141" spans="1:7" x14ac:dyDescent="0.2">
      <c r="A1141" t="s">
        <v>2</v>
      </c>
      <c r="B1141">
        <v>0.17468848100000001</v>
      </c>
      <c r="C1141">
        <v>0</v>
      </c>
      <c r="D1141">
        <f t="shared" si="37"/>
        <v>0</v>
      </c>
      <c r="E1141" t="str">
        <f t="shared" si="37"/>
        <v/>
      </c>
      <c r="F1141">
        <f t="shared" si="38"/>
        <v>0.17468848100000001</v>
      </c>
      <c r="G1141" t="str">
        <f t="shared" si="38"/>
        <v/>
      </c>
    </row>
    <row r="1142" spans="1:7" x14ac:dyDescent="0.2">
      <c r="A1142" t="s">
        <v>0</v>
      </c>
      <c r="B1142">
        <v>0.48230852689999998</v>
      </c>
      <c r="C1142">
        <v>1</v>
      </c>
      <c r="D1142" t="str">
        <f t="shared" si="37"/>
        <v/>
      </c>
      <c r="E1142">
        <f t="shared" si="37"/>
        <v>1</v>
      </c>
      <c r="F1142" t="str">
        <f t="shared" si="38"/>
        <v/>
      </c>
      <c r="G1142">
        <f t="shared" si="38"/>
        <v>0.48230852689999998</v>
      </c>
    </row>
    <row r="1143" spans="1:7" x14ac:dyDescent="0.2">
      <c r="A1143" t="s">
        <v>0</v>
      </c>
      <c r="B1143">
        <v>0.2972829125</v>
      </c>
      <c r="C1143">
        <v>1</v>
      </c>
      <c r="D1143" t="str">
        <f t="shared" si="37"/>
        <v/>
      </c>
      <c r="E1143">
        <f t="shared" si="37"/>
        <v>1</v>
      </c>
      <c r="F1143" t="str">
        <f t="shared" si="38"/>
        <v/>
      </c>
      <c r="G1143">
        <f t="shared" si="38"/>
        <v>0.2972829125</v>
      </c>
    </row>
    <row r="1144" spans="1:7" x14ac:dyDescent="0.2">
      <c r="A1144" t="s">
        <v>2</v>
      </c>
      <c r="B1144">
        <v>0.82593346069999996</v>
      </c>
      <c r="C1144">
        <v>1</v>
      </c>
      <c r="D1144">
        <f t="shared" si="37"/>
        <v>1</v>
      </c>
      <c r="E1144" t="str">
        <f t="shared" si="37"/>
        <v/>
      </c>
      <c r="F1144">
        <f t="shared" si="38"/>
        <v>0.82593346069999996</v>
      </c>
      <c r="G1144" t="str">
        <f t="shared" si="38"/>
        <v/>
      </c>
    </row>
    <row r="1145" spans="1:7" x14ac:dyDescent="0.2">
      <c r="A1145" t="s">
        <v>0</v>
      </c>
      <c r="B1145">
        <v>0.77014110309999995</v>
      </c>
      <c r="C1145">
        <v>1</v>
      </c>
      <c r="D1145" t="str">
        <f t="shared" si="37"/>
        <v/>
      </c>
      <c r="E1145">
        <f t="shared" si="37"/>
        <v>1</v>
      </c>
      <c r="F1145" t="str">
        <f t="shared" si="38"/>
        <v/>
      </c>
      <c r="G1145">
        <f t="shared" si="38"/>
        <v>0.77014110309999995</v>
      </c>
    </row>
    <row r="1146" spans="1:7" x14ac:dyDescent="0.2">
      <c r="A1146" t="s">
        <v>2</v>
      </c>
      <c r="B1146">
        <v>0.51774258179999999</v>
      </c>
      <c r="C1146">
        <v>1</v>
      </c>
      <c r="D1146">
        <f t="shared" si="37"/>
        <v>1</v>
      </c>
      <c r="E1146" t="str">
        <f t="shared" si="37"/>
        <v/>
      </c>
      <c r="F1146">
        <f t="shared" si="38"/>
        <v>0.51774258179999999</v>
      </c>
      <c r="G1146" t="str">
        <f t="shared" si="38"/>
        <v/>
      </c>
    </row>
    <row r="1147" spans="1:7" x14ac:dyDescent="0.2">
      <c r="A1147" t="s">
        <v>2</v>
      </c>
      <c r="B1147">
        <v>0.2467717717</v>
      </c>
      <c r="C1147">
        <v>0</v>
      </c>
      <c r="D1147">
        <f t="shared" si="37"/>
        <v>0</v>
      </c>
      <c r="E1147" t="str">
        <f t="shared" si="37"/>
        <v/>
      </c>
      <c r="F1147">
        <f t="shared" si="38"/>
        <v>0.2467717717</v>
      </c>
      <c r="G1147" t="str">
        <f t="shared" si="38"/>
        <v/>
      </c>
    </row>
    <row r="1148" spans="1:7" x14ac:dyDescent="0.2">
      <c r="A1148" t="s">
        <v>2</v>
      </c>
      <c r="B1148">
        <v>0.14153101209999999</v>
      </c>
      <c r="C1148">
        <v>0</v>
      </c>
      <c r="D1148">
        <f t="shared" si="37"/>
        <v>0</v>
      </c>
      <c r="E1148" t="str">
        <f t="shared" si="37"/>
        <v/>
      </c>
      <c r="F1148">
        <f t="shared" si="38"/>
        <v>0.14153101209999999</v>
      </c>
      <c r="G1148" t="str">
        <f t="shared" si="38"/>
        <v/>
      </c>
    </row>
    <row r="1149" spans="1:7" x14ac:dyDescent="0.2">
      <c r="A1149" t="s">
        <v>0</v>
      </c>
      <c r="B1149">
        <v>0.64277613389999999</v>
      </c>
      <c r="C1149">
        <v>0</v>
      </c>
      <c r="D1149" t="str">
        <f t="shared" si="37"/>
        <v/>
      </c>
      <c r="E1149">
        <f t="shared" si="37"/>
        <v>0</v>
      </c>
      <c r="F1149" t="str">
        <f t="shared" si="38"/>
        <v/>
      </c>
      <c r="G1149">
        <f t="shared" si="38"/>
        <v>0.64277613389999999</v>
      </c>
    </row>
    <row r="1150" spans="1:7" x14ac:dyDescent="0.2">
      <c r="A1150" t="s">
        <v>0</v>
      </c>
      <c r="B1150">
        <v>0.27440395049999999</v>
      </c>
      <c r="C1150">
        <v>0</v>
      </c>
      <c r="D1150" t="str">
        <f t="shared" si="37"/>
        <v/>
      </c>
      <c r="E1150">
        <f t="shared" si="37"/>
        <v>0</v>
      </c>
      <c r="F1150" t="str">
        <f t="shared" si="38"/>
        <v/>
      </c>
      <c r="G1150">
        <f t="shared" si="38"/>
        <v>0.27440395049999999</v>
      </c>
    </row>
    <row r="1151" spans="1:7" x14ac:dyDescent="0.2">
      <c r="A1151" t="s">
        <v>2</v>
      </c>
      <c r="B1151">
        <v>0.5008632059</v>
      </c>
      <c r="C1151">
        <v>0</v>
      </c>
      <c r="D1151">
        <f t="shared" si="37"/>
        <v>0</v>
      </c>
      <c r="E1151" t="str">
        <f t="shared" si="37"/>
        <v/>
      </c>
      <c r="F1151">
        <f t="shared" si="38"/>
        <v>0.5008632059</v>
      </c>
      <c r="G1151" t="str">
        <f t="shared" si="38"/>
        <v/>
      </c>
    </row>
    <row r="1152" spans="1:7" x14ac:dyDescent="0.2">
      <c r="A1152" t="s">
        <v>2</v>
      </c>
      <c r="B1152">
        <v>0.4535296486</v>
      </c>
      <c r="C1152">
        <v>0</v>
      </c>
      <c r="D1152">
        <f t="shared" si="37"/>
        <v>0</v>
      </c>
      <c r="E1152" t="str">
        <f t="shared" si="37"/>
        <v/>
      </c>
      <c r="F1152">
        <f t="shared" si="38"/>
        <v>0.4535296486</v>
      </c>
      <c r="G1152" t="str">
        <f t="shared" si="38"/>
        <v/>
      </c>
    </row>
    <row r="1153" spans="1:7" x14ac:dyDescent="0.2">
      <c r="A1153" t="s">
        <v>2</v>
      </c>
      <c r="B1153">
        <v>0.18248719660000001</v>
      </c>
      <c r="C1153">
        <v>0</v>
      </c>
      <c r="D1153">
        <f t="shared" si="37"/>
        <v>0</v>
      </c>
      <c r="E1153" t="str">
        <f t="shared" si="37"/>
        <v/>
      </c>
      <c r="F1153">
        <f t="shared" si="38"/>
        <v>0.18248719660000001</v>
      </c>
      <c r="G1153" t="str">
        <f t="shared" si="38"/>
        <v/>
      </c>
    </row>
    <row r="1154" spans="1:7" x14ac:dyDescent="0.2">
      <c r="A1154" t="s">
        <v>2</v>
      </c>
      <c r="B1154">
        <v>0.15828238859999999</v>
      </c>
      <c r="C1154">
        <v>0</v>
      </c>
      <c r="D1154">
        <f t="shared" si="37"/>
        <v>0</v>
      </c>
      <c r="E1154" t="str">
        <f t="shared" si="37"/>
        <v/>
      </c>
      <c r="F1154">
        <f t="shared" si="38"/>
        <v>0.15828238859999999</v>
      </c>
      <c r="G1154" t="str">
        <f t="shared" si="38"/>
        <v/>
      </c>
    </row>
    <row r="1155" spans="1:7" x14ac:dyDescent="0.2">
      <c r="A1155" t="s">
        <v>2</v>
      </c>
      <c r="B1155">
        <v>0.3027828286</v>
      </c>
      <c r="C1155">
        <v>1</v>
      </c>
      <c r="D1155">
        <f t="shared" si="37"/>
        <v>1</v>
      </c>
      <c r="E1155" t="str">
        <f t="shared" si="37"/>
        <v/>
      </c>
      <c r="F1155">
        <f t="shared" si="38"/>
        <v>0.3027828286</v>
      </c>
      <c r="G1155" t="str">
        <f t="shared" si="38"/>
        <v/>
      </c>
    </row>
    <row r="1156" spans="1:7" x14ac:dyDescent="0.2">
      <c r="A1156" t="s">
        <v>2</v>
      </c>
      <c r="B1156">
        <v>0.90057000730000003</v>
      </c>
      <c r="C1156">
        <v>1</v>
      </c>
      <c r="D1156">
        <f t="shared" si="37"/>
        <v>1</v>
      </c>
      <c r="E1156" t="str">
        <f t="shared" si="37"/>
        <v/>
      </c>
      <c r="F1156">
        <f t="shared" si="38"/>
        <v>0.90057000730000003</v>
      </c>
      <c r="G1156" t="str">
        <f t="shared" si="38"/>
        <v/>
      </c>
    </row>
    <row r="1157" spans="1:7" x14ac:dyDescent="0.2">
      <c r="A1157" t="s">
        <v>0</v>
      </c>
      <c r="B1157">
        <v>0.23570228139999999</v>
      </c>
      <c r="C1157">
        <v>0</v>
      </c>
      <c r="D1157" t="str">
        <f t="shared" si="37"/>
        <v/>
      </c>
      <c r="E1157">
        <f t="shared" si="37"/>
        <v>0</v>
      </c>
      <c r="F1157" t="str">
        <f t="shared" si="38"/>
        <v/>
      </c>
      <c r="G1157">
        <f t="shared" si="38"/>
        <v>0.23570228139999999</v>
      </c>
    </row>
    <row r="1158" spans="1:7" x14ac:dyDescent="0.2">
      <c r="A1158" t="s">
        <v>0</v>
      </c>
      <c r="B1158">
        <v>0.22577840630000001</v>
      </c>
      <c r="C1158">
        <v>1</v>
      </c>
      <c r="D1158" t="str">
        <f t="shared" si="37"/>
        <v/>
      </c>
      <c r="E1158">
        <f t="shared" si="37"/>
        <v>1</v>
      </c>
      <c r="F1158" t="str">
        <f t="shared" si="38"/>
        <v/>
      </c>
      <c r="G1158">
        <f t="shared" si="38"/>
        <v>0.22577840630000001</v>
      </c>
    </row>
    <row r="1159" spans="1:7" x14ac:dyDescent="0.2">
      <c r="A1159" t="s">
        <v>0</v>
      </c>
      <c r="B1159">
        <v>0.21278215759999999</v>
      </c>
      <c r="C1159">
        <v>1</v>
      </c>
      <c r="D1159" t="str">
        <f t="shared" si="37"/>
        <v/>
      </c>
      <c r="E1159">
        <f t="shared" si="37"/>
        <v>1</v>
      </c>
      <c r="F1159" t="str">
        <f t="shared" si="38"/>
        <v/>
      </c>
      <c r="G1159">
        <f t="shared" si="38"/>
        <v>0.21278215759999999</v>
      </c>
    </row>
    <row r="1160" spans="1:7" x14ac:dyDescent="0.2">
      <c r="A1160" t="s">
        <v>0</v>
      </c>
      <c r="B1160">
        <v>0.85887893699999995</v>
      </c>
      <c r="C1160">
        <v>0</v>
      </c>
      <c r="D1160" t="str">
        <f t="shared" si="37"/>
        <v/>
      </c>
      <c r="E1160">
        <f t="shared" si="37"/>
        <v>0</v>
      </c>
      <c r="F1160" t="str">
        <f t="shared" si="38"/>
        <v/>
      </c>
      <c r="G1160">
        <f t="shared" si="38"/>
        <v>0.85887893699999995</v>
      </c>
    </row>
    <row r="1161" spans="1:7" x14ac:dyDescent="0.2">
      <c r="A1161" t="s">
        <v>2</v>
      </c>
      <c r="B1161">
        <v>0.10819964059999999</v>
      </c>
      <c r="C1161">
        <v>0</v>
      </c>
      <c r="D1161">
        <f t="shared" si="37"/>
        <v>0</v>
      </c>
      <c r="E1161" t="str">
        <f t="shared" si="37"/>
        <v/>
      </c>
      <c r="F1161">
        <f t="shared" si="38"/>
        <v>0.10819964059999999</v>
      </c>
      <c r="G1161" t="str">
        <f t="shared" si="38"/>
        <v/>
      </c>
    </row>
    <row r="1162" spans="1:7" x14ac:dyDescent="0.2">
      <c r="A1162" t="s">
        <v>0</v>
      </c>
      <c r="B1162">
        <v>0.25234200880000002</v>
      </c>
      <c r="C1162">
        <v>1</v>
      </c>
      <c r="D1162" t="str">
        <f t="shared" si="37"/>
        <v/>
      </c>
      <c r="E1162">
        <f t="shared" si="37"/>
        <v>1</v>
      </c>
      <c r="F1162" t="str">
        <f t="shared" si="38"/>
        <v/>
      </c>
      <c r="G1162">
        <f t="shared" si="38"/>
        <v>0.25234200880000002</v>
      </c>
    </row>
    <row r="1163" spans="1:7" x14ac:dyDescent="0.2">
      <c r="A1163" t="s">
        <v>2</v>
      </c>
      <c r="B1163">
        <v>0.1080191984</v>
      </c>
      <c r="C1163">
        <v>0</v>
      </c>
      <c r="D1163">
        <f t="shared" si="37"/>
        <v>0</v>
      </c>
      <c r="E1163" t="str">
        <f t="shared" si="37"/>
        <v/>
      </c>
      <c r="F1163">
        <f t="shared" si="38"/>
        <v>0.1080191984</v>
      </c>
      <c r="G1163" t="str">
        <f t="shared" si="38"/>
        <v/>
      </c>
    </row>
    <row r="1164" spans="1:7" x14ac:dyDescent="0.2">
      <c r="A1164" t="s">
        <v>0</v>
      </c>
      <c r="B1164">
        <v>0.30864321220000002</v>
      </c>
      <c r="C1164">
        <v>0</v>
      </c>
      <c r="D1164" t="str">
        <f t="shared" si="37"/>
        <v/>
      </c>
      <c r="E1164">
        <f t="shared" si="37"/>
        <v>0</v>
      </c>
      <c r="F1164" t="str">
        <f t="shared" si="38"/>
        <v/>
      </c>
      <c r="G1164">
        <f t="shared" si="38"/>
        <v>0.30864321220000002</v>
      </c>
    </row>
    <row r="1165" spans="1:7" x14ac:dyDescent="0.2">
      <c r="A1165" t="s">
        <v>2</v>
      </c>
      <c r="B1165">
        <v>0.18962557920000001</v>
      </c>
      <c r="C1165">
        <v>0</v>
      </c>
      <c r="D1165">
        <f t="shared" si="37"/>
        <v>0</v>
      </c>
      <c r="E1165" t="str">
        <f t="shared" si="37"/>
        <v/>
      </c>
      <c r="F1165">
        <f t="shared" si="38"/>
        <v>0.18962557920000001</v>
      </c>
      <c r="G1165" t="str">
        <f t="shared" si="38"/>
        <v/>
      </c>
    </row>
    <row r="1166" spans="1:7" x14ac:dyDescent="0.2">
      <c r="A1166" t="s">
        <v>0</v>
      </c>
      <c r="B1166">
        <v>0.51963079980000004</v>
      </c>
      <c r="C1166">
        <v>1</v>
      </c>
      <c r="D1166" t="str">
        <f t="shared" si="37"/>
        <v/>
      </c>
      <c r="E1166">
        <f t="shared" si="37"/>
        <v>1</v>
      </c>
      <c r="F1166" t="str">
        <f t="shared" si="38"/>
        <v/>
      </c>
      <c r="G1166">
        <f t="shared" si="38"/>
        <v>0.51963079980000004</v>
      </c>
    </row>
    <row r="1167" spans="1:7" x14ac:dyDescent="0.2">
      <c r="A1167" t="s">
        <v>0</v>
      </c>
      <c r="B1167">
        <v>0.51104990979999998</v>
      </c>
      <c r="C1167">
        <v>1</v>
      </c>
      <c r="D1167" t="str">
        <f t="shared" si="37"/>
        <v/>
      </c>
      <c r="E1167">
        <f t="shared" si="37"/>
        <v>1</v>
      </c>
      <c r="F1167" t="str">
        <f t="shared" si="38"/>
        <v/>
      </c>
      <c r="G1167">
        <f t="shared" si="38"/>
        <v>0.51104990979999998</v>
      </c>
    </row>
    <row r="1168" spans="1:7" x14ac:dyDescent="0.2">
      <c r="A1168" t="s">
        <v>0</v>
      </c>
      <c r="B1168">
        <v>0.51054430029999998</v>
      </c>
      <c r="C1168">
        <v>1</v>
      </c>
      <c r="D1168" t="str">
        <f t="shared" si="37"/>
        <v/>
      </c>
      <c r="E1168">
        <f t="shared" si="37"/>
        <v>1</v>
      </c>
      <c r="F1168" t="str">
        <f t="shared" si="38"/>
        <v/>
      </c>
      <c r="G1168">
        <f t="shared" si="38"/>
        <v>0.51054430029999998</v>
      </c>
    </row>
    <row r="1169" spans="1:7" x14ac:dyDescent="0.2">
      <c r="A1169" t="s">
        <v>2</v>
      </c>
      <c r="B1169">
        <v>0.5001679738</v>
      </c>
      <c r="C1169">
        <v>1</v>
      </c>
      <c r="D1169">
        <f t="shared" si="37"/>
        <v>1</v>
      </c>
      <c r="E1169" t="str">
        <f t="shared" si="37"/>
        <v/>
      </c>
      <c r="F1169">
        <f t="shared" si="38"/>
        <v>0.5001679738</v>
      </c>
      <c r="G1169" t="str">
        <f t="shared" si="38"/>
        <v/>
      </c>
    </row>
    <row r="1170" spans="1:7" x14ac:dyDescent="0.2">
      <c r="A1170" t="s">
        <v>2</v>
      </c>
      <c r="B1170">
        <v>0.2462921984</v>
      </c>
      <c r="C1170">
        <v>0</v>
      </c>
      <c r="D1170">
        <f t="shared" si="37"/>
        <v>0</v>
      </c>
      <c r="E1170" t="str">
        <f t="shared" si="37"/>
        <v/>
      </c>
      <c r="F1170">
        <f t="shared" si="38"/>
        <v>0.2462921984</v>
      </c>
      <c r="G1170" t="str">
        <f t="shared" si="38"/>
        <v/>
      </c>
    </row>
    <row r="1171" spans="1:7" x14ac:dyDescent="0.2">
      <c r="A1171" t="s">
        <v>0</v>
      </c>
      <c r="B1171">
        <v>0.28774308609999999</v>
      </c>
      <c r="C1171">
        <v>1</v>
      </c>
      <c r="D1171" t="str">
        <f t="shared" si="37"/>
        <v/>
      </c>
      <c r="E1171">
        <f t="shared" si="37"/>
        <v>1</v>
      </c>
      <c r="F1171" t="str">
        <f t="shared" si="38"/>
        <v/>
      </c>
      <c r="G1171">
        <f t="shared" si="38"/>
        <v>0.28774308609999999</v>
      </c>
    </row>
    <row r="1172" spans="1:7" x14ac:dyDescent="0.2">
      <c r="A1172" t="s">
        <v>2</v>
      </c>
      <c r="B1172">
        <v>0.30035146400000001</v>
      </c>
      <c r="C1172">
        <v>0</v>
      </c>
      <c r="D1172">
        <f t="shared" si="37"/>
        <v>0</v>
      </c>
      <c r="E1172" t="str">
        <f t="shared" si="37"/>
        <v/>
      </c>
      <c r="F1172">
        <f t="shared" si="38"/>
        <v>0.30035146400000001</v>
      </c>
      <c r="G1172" t="str">
        <f t="shared" si="38"/>
        <v/>
      </c>
    </row>
    <row r="1173" spans="1:7" x14ac:dyDescent="0.2">
      <c r="A1173" t="s">
        <v>2</v>
      </c>
      <c r="B1173">
        <v>0.77006344819999994</v>
      </c>
      <c r="C1173">
        <v>1</v>
      </c>
      <c r="D1173">
        <f t="shared" si="37"/>
        <v>1</v>
      </c>
      <c r="E1173" t="str">
        <f t="shared" si="37"/>
        <v/>
      </c>
      <c r="F1173">
        <f t="shared" si="38"/>
        <v>0.77006344819999994</v>
      </c>
      <c r="G1173" t="str">
        <f t="shared" si="38"/>
        <v/>
      </c>
    </row>
    <row r="1174" spans="1:7" x14ac:dyDescent="0.2">
      <c r="A1174" t="s">
        <v>2</v>
      </c>
      <c r="B1174">
        <v>0.43676268899999998</v>
      </c>
      <c r="C1174">
        <v>0</v>
      </c>
      <c r="D1174">
        <f t="shared" si="37"/>
        <v>0</v>
      </c>
      <c r="E1174" t="str">
        <f t="shared" si="37"/>
        <v/>
      </c>
      <c r="F1174">
        <f t="shared" si="38"/>
        <v>0.43676268899999998</v>
      </c>
      <c r="G1174" t="str">
        <f t="shared" si="38"/>
        <v/>
      </c>
    </row>
    <row r="1175" spans="1:7" x14ac:dyDescent="0.2">
      <c r="A1175" t="s">
        <v>2</v>
      </c>
      <c r="B1175">
        <v>0.11121833189999999</v>
      </c>
      <c r="C1175">
        <v>0</v>
      </c>
      <c r="D1175">
        <f t="shared" si="37"/>
        <v>0</v>
      </c>
      <c r="E1175" t="str">
        <f t="shared" si="37"/>
        <v/>
      </c>
      <c r="F1175">
        <f t="shared" si="38"/>
        <v>0.11121833189999999</v>
      </c>
      <c r="G1175" t="str">
        <f t="shared" si="38"/>
        <v/>
      </c>
    </row>
    <row r="1176" spans="1:7" x14ac:dyDescent="0.2">
      <c r="A1176" t="s">
        <v>2</v>
      </c>
      <c r="B1176">
        <v>0.21400618830000001</v>
      </c>
      <c r="C1176">
        <v>0</v>
      </c>
      <c r="D1176">
        <f t="shared" si="37"/>
        <v>0</v>
      </c>
      <c r="E1176" t="str">
        <f t="shared" si="37"/>
        <v/>
      </c>
      <c r="F1176">
        <f t="shared" si="38"/>
        <v>0.21400618830000001</v>
      </c>
      <c r="G1176" t="str">
        <f t="shared" si="38"/>
        <v/>
      </c>
    </row>
    <row r="1177" spans="1:7" x14ac:dyDescent="0.2">
      <c r="A1177" t="s">
        <v>2</v>
      </c>
      <c r="B1177">
        <v>0.1648282442</v>
      </c>
      <c r="C1177">
        <v>0</v>
      </c>
      <c r="D1177">
        <f t="shared" si="37"/>
        <v>0</v>
      </c>
      <c r="E1177" t="str">
        <f t="shared" si="37"/>
        <v/>
      </c>
      <c r="F1177">
        <f t="shared" si="38"/>
        <v>0.1648282442</v>
      </c>
      <c r="G1177" t="str">
        <f t="shared" si="38"/>
        <v/>
      </c>
    </row>
    <row r="1178" spans="1:7" x14ac:dyDescent="0.2">
      <c r="A1178" t="s">
        <v>0</v>
      </c>
      <c r="B1178">
        <v>0.28078910169999999</v>
      </c>
      <c r="C1178">
        <v>0</v>
      </c>
      <c r="D1178" t="str">
        <f t="shared" si="37"/>
        <v/>
      </c>
      <c r="E1178">
        <f t="shared" si="37"/>
        <v>0</v>
      </c>
      <c r="F1178" t="str">
        <f t="shared" si="38"/>
        <v/>
      </c>
      <c r="G1178">
        <f t="shared" si="38"/>
        <v>0.28078910169999999</v>
      </c>
    </row>
    <row r="1179" spans="1:7" x14ac:dyDescent="0.2">
      <c r="A1179" t="s">
        <v>2</v>
      </c>
      <c r="B1179">
        <v>9.63139888E-2</v>
      </c>
      <c r="C1179">
        <v>0</v>
      </c>
      <c r="D1179">
        <f t="shared" si="37"/>
        <v>0</v>
      </c>
      <c r="E1179" t="str">
        <f t="shared" si="37"/>
        <v/>
      </c>
      <c r="F1179">
        <f t="shared" si="38"/>
        <v>9.63139888E-2</v>
      </c>
      <c r="G1179" t="str">
        <f t="shared" si="38"/>
        <v/>
      </c>
    </row>
    <row r="1180" spans="1:7" x14ac:dyDescent="0.2">
      <c r="A1180" t="s">
        <v>2</v>
      </c>
      <c r="B1180">
        <v>0.5423501731</v>
      </c>
      <c r="C1180">
        <v>1</v>
      </c>
      <c r="D1180">
        <f t="shared" si="37"/>
        <v>1</v>
      </c>
      <c r="E1180" t="str">
        <f t="shared" si="37"/>
        <v/>
      </c>
      <c r="F1180">
        <f t="shared" si="38"/>
        <v>0.5423501731</v>
      </c>
      <c r="G1180" t="str">
        <f t="shared" si="38"/>
        <v/>
      </c>
    </row>
    <row r="1181" spans="1:7" x14ac:dyDescent="0.2">
      <c r="A1181" t="s">
        <v>2</v>
      </c>
      <c r="B1181">
        <v>0.21165361560000001</v>
      </c>
      <c r="C1181">
        <v>1</v>
      </c>
      <c r="D1181">
        <f t="shared" si="37"/>
        <v>1</v>
      </c>
      <c r="E1181" t="str">
        <f t="shared" si="37"/>
        <v/>
      </c>
      <c r="F1181">
        <f t="shared" si="38"/>
        <v>0.21165361560000001</v>
      </c>
      <c r="G1181" t="str">
        <f t="shared" si="38"/>
        <v/>
      </c>
    </row>
    <row r="1182" spans="1:7" x14ac:dyDescent="0.2">
      <c r="A1182" t="s">
        <v>0</v>
      </c>
      <c r="B1182">
        <v>0.8096599645</v>
      </c>
      <c r="C1182">
        <v>1</v>
      </c>
      <c r="D1182" t="str">
        <f t="shared" si="37"/>
        <v/>
      </c>
      <c r="E1182">
        <f t="shared" si="37"/>
        <v>1</v>
      </c>
      <c r="F1182" t="str">
        <f t="shared" si="38"/>
        <v/>
      </c>
      <c r="G1182">
        <f t="shared" si="38"/>
        <v>0.8096599645</v>
      </c>
    </row>
    <row r="1183" spans="1:7" x14ac:dyDescent="0.2">
      <c r="A1183" t="s">
        <v>0</v>
      </c>
      <c r="B1183">
        <v>0.8541675487</v>
      </c>
      <c r="C1183">
        <v>1</v>
      </c>
      <c r="D1183" t="str">
        <f t="shared" si="37"/>
        <v/>
      </c>
      <c r="E1183">
        <f t="shared" si="37"/>
        <v>1</v>
      </c>
      <c r="F1183" t="str">
        <f t="shared" si="38"/>
        <v/>
      </c>
      <c r="G1183">
        <f t="shared" si="38"/>
        <v>0.8541675487</v>
      </c>
    </row>
    <row r="1184" spans="1:7" x14ac:dyDescent="0.2">
      <c r="A1184" t="s">
        <v>2</v>
      </c>
      <c r="B1184">
        <v>0.90108967610000001</v>
      </c>
      <c r="C1184">
        <v>1</v>
      </c>
      <c r="D1184">
        <f t="shared" si="37"/>
        <v>1</v>
      </c>
      <c r="E1184" t="str">
        <f t="shared" si="37"/>
        <v/>
      </c>
      <c r="F1184">
        <f t="shared" si="38"/>
        <v>0.90108967610000001</v>
      </c>
      <c r="G1184" t="str">
        <f t="shared" si="38"/>
        <v/>
      </c>
    </row>
    <row r="1185" spans="1:7" x14ac:dyDescent="0.2">
      <c r="A1185" t="s">
        <v>2</v>
      </c>
      <c r="B1185">
        <v>0.35013204060000003</v>
      </c>
      <c r="C1185">
        <v>1</v>
      </c>
      <c r="D1185">
        <f t="shared" si="37"/>
        <v>1</v>
      </c>
      <c r="E1185" t="str">
        <f t="shared" si="37"/>
        <v/>
      </c>
      <c r="F1185">
        <f t="shared" si="38"/>
        <v>0.35013204060000003</v>
      </c>
      <c r="G1185" t="str">
        <f t="shared" si="38"/>
        <v/>
      </c>
    </row>
    <row r="1186" spans="1:7" x14ac:dyDescent="0.2">
      <c r="A1186" t="s">
        <v>2</v>
      </c>
      <c r="B1186">
        <v>0.49761424669999998</v>
      </c>
      <c r="C1186">
        <v>0</v>
      </c>
      <c r="D1186">
        <f t="shared" si="37"/>
        <v>0</v>
      </c>
      <c r="E1186" t="str">
        <f t="shared" si="37"/>
        <v/>
      </c>
      <c r="F1186">
        <f t="shared" si="38"/>
        <v>0.49761424669999998</v>
      </c>
      <c r="G1186" t="str">
        <f t="shared" si="38"/>
        <v/>
      </c>
    </row>
    <row r="1187" spans="1:7" x14ac:dyDescent="0.2">
      <c r="A1187" t="s">
        <v>2</v>
      </c>
      <c r="B1187">
        <v>0.41410525529999997</v>
      </c>
      <c r="C1187">
        <v>0</v>
      </c>
      <c r="D1187">
        <f t="shared" si="37"/>
        <v>0</v>
      </c>
      <c r="E1187" t="str">
        <f t="shared" si="37"/>
        <v/>
      </c>
      <c r="F1187">
        <f t="shared" si="38"/>
        <v>0.41410525529999997</v>
      </c>
      <c r="G1187" t="str">
        <f t="shared" si="38"/>
        <v/>
      </c>
    </row>
    <row r="1188" spans="1:7" x14ac:dyDescent="0.2">
      <c r="A1188" t="s">
        <v>2</v>
      </c>
      <c r="B1188">
        <v>0.55889011460000004</v>
      </c>
      <c r="C1188">
        <v>1</v>
      </c>
      <c r="D1188">
        <f t="shared" si="37"/>
        <v>1</v>
      </c>
      <c r="E1188" t="str">
        <f t="shared" si="37"/>
        <v/>
      </c>
      <c r="F1188">
        <f t="shared" si="38"/>
        <v>0.55889011460000004</v>
      </c>
      <c r="G1188" t="str">
        <f t="shared" si="38"/>
        <v/>
      </c>
    </row>
    <row r="1189" spans="1:7" x14ac:dyDescent="0.2">
      <c r="A1189" t="s">
        <v>0</v>
      </c>
      <c r="B1189">
        <v>0.61450556690000002</v>
      </c>
      <c r="C1189">
        <v>0</v>
      </c>
      <c r="D1189" t="str">
        <f t="shared" si="37"/>
        <v/>
      </c>
      <c r="E1189">
        <f t="shared" si="37"/>
        <v>0</v>
      </c>
      <c r="F1189" t="str">
        <f t="shared" si="38"/>
        <v/>
      </c>
      <c r="G1189">
        <f t="shared" si="38"/>
        <v>0.61450556690000002</v>
      </c>
    </row>
    <row r="1190" spans="1:7" x14ac:dyDescent="0.2">
      <c r="A1190" t="s">
        <v>2</v>
      </c>
      <c r="B1190">
        <v>0.61600794039999995</v>
      </c>
      <c r="C1190">
        <v>1</v>
      </c>
      <c r="D1190">
        <f t="shared" si="37"/>
        <v>1</v>
      </c>
      <c r="E1190" t="str">
        <f t="shared" si="37"/>
        <v/>
      </c>
      <c r="F1190">
        <f t="shared" si="38"/>
        <v>0.61600794039999995</v>
      </c>
      <c r="G1190" t="str">
        <f t="shared" si="38"/>
        <v/>
      </c>
    </row>
    <row r="1191" spans="1:7" x14ac:dyDescent="0.2">
      <c r="A1191" t="s">
        <v>2</v>
      </c>
      <c r="B1191">
        <v>0.422915808</v>
      </c>
      <c r="C1191">
        <v>0</v>
      </c>
      <c r="D1191">
        <f t="shared" si="37"/>
        <v>0</v>
      </c>
      <c r="E1191" t="str">
        <f t="shared" si="37"/>
        <v/>
      </c>
      <c r="F1191">
        <f t="shared" si="38"/>
        <v>0.422915808</v>
      </c>
      <c r="G1191" t="str">
        <f t="shared" si="38"/>
        <v/>
      </c>
    </row>
    <row r="1192" spans="1:7" x14ac:dyDescent="0.2">
      <c r="A1192" t="s">
        <v>0</v>
      </c>
      <c r="B1192">
        <v>0.79101759049999998</v>
      </c>
      <c r="C1192">
        <v>1</v>
      </c>
      <c r="D1192" t="str">
        <f t="shared" si="37"/>
        <v/>
      </c>
      <c r="E1192">
        <f t="shared" si="37"/>
        <v>1</v>
      </c>
      <c r="F1192" t="str">
        <f t="shared" si="38"/>
        <v/>
      </c>
      <c r="G1192">
        <f t="shared" si="38"/>
        <v>0.79101759049999998</v>
      </c>
    </row>
    <row r="1193" spans="1:7" x14ac:dyDescent="0.2">
      <c r="A1193" t="s">
        <v>2</v>
      </c>
      <c r="B1193">
        <v>0.35749448420000002</v>
      </c>
      <c r="C1193">
        <v>0</v>
      </c>
      <c r="D1193">
        <f t="shared" si="37"/>
        <v>0</v>
      </c>
      <c r="E1193" t="str">
        <f t="shared" si="37"/>
        <v/>
      </c>
      <c r="F1193">
        <f t="shared" si="38"/>
        <v>0.35749448420000002</v>
      </c>
      <c r="G1193" t="str">
        <f t="shared" si="38"/>
        <v/>
      </c>
    </row>
    <row r="1194" spans="1:7" x14ac:dyDescent="0.2">
      <c r="A1194" t="s">
        <v>2</v>
      </c>
      <c r="B1194">
        <v>8.8604263599999997E-2</v>
      </c>
      <c r="C1194">
        <v>0</v>
      </c>
      <c r="D1194">
        <f t="shared" si="37"/>
        <v>0</v>
      </c>
      <c r="E1194" t="str">
        <f t="shared" si="37"/>
        <v/>
      </c>
      <c r="F1194">
        <f t="shared" si="38"/>
        <v>8.8604263599999997E-2</v>
      </c>
      <c r="G1194" t="str">
        <f t="shared" si="38"/>
        <v/>
      </c>
    </row>
    <row r="1195" spans="1:7" x14ac:dyDescent="0.2">
      <c r="A1195" t="s">
        <v>2</v>
      </c>
      <c r="B1195">
        <v>0.4579276504</v>
      </c>
      <c r="C1195">
        <v>1</v>
      </c>
      <c r="D1195">
        <f t="shared" ref="D1195:E1258" si="39">IF($A1195=D$1,$C1195,"")</f>
        <v>1</v>
      </c>
      <c r="E1195" t="str">
        <f t="shared" si="39"/>
        <v/>
      </c>
      <c r="F1195">
        <f t="shared" ref="F1195:G1258" si="40">IF($A1195=F$1,$B1195,"")</f>
        <v>0.4579276504</v>
      </c>
      <c r="G1195" t="str">
        <f t="shared" si="40"/>
        <v/>
      </c>
    </row>
    <row r="1196" spans="1:7" x14ac:dyDescent="0.2">
      <c r="A1196" t="s">
        <v>2</v>
      </c>
      <c r="B1196">
        <v>0.55745814540000005</v>
      </c>
      <c r="C1196">
        <v>0</v>
      </c>
      <c r="D1196">
        <f t="shared" si="39"/>
        <v>0</v>
      </c>
      <c r="E1196" t="str">
        <f t="shared" si="39"/>
        <v/>
      </c>
      <c r="F1196">
        <f t="shared" si="40"/>
        <v>0.55745814540000005</v>
      </c>
      <c r="G1196" t="str">
        <f t="shared" si="40"/>
        <v/>
      </c>
    </row>
    <row r="1197" spans="1:7" x14ac:dyDescent="0.2">
      <c r="A1197" t="s">
        <v>0</v>
      </c>
      <c r="B1197">
        <v>0.43548070979999998</v>
      </c>
      <c r="C1197">
        <v>1</v>
      </c>
      <c r="D1197" t="str">
        <f t="shared" si="39"/>
        <v/>
      </c>
      <c r="E1197">
        <f t="shared" si="39"/>
        <v>1</v>
      </c>
      <c r="F1197" t="str">
        <f t="shared" si="40"/>
        <v/>
      </c>
      <c r="G1197">
        <f t="shared" si="40"/>
        <v>0.43548070979999998</v>
      </c>
    </row>
    <row r="1198" spans="1:7" x14ac:dyDescent="0.2">
      <c r="A1198" t="s">
        <v>0</v>
      </c>
      <c r="B1198">
        <v>0.60201193180000001</v>
      </c>
      <c r="C1198">
        <v>0</v>
      </c>
      <c r="D1198" t="str">
        <f t="shared" si="39"/>
        <v/>
      </c>
      <c r="E1198">
        <f t="shared" si="39"/>
        <v>0</v>
      </c>
      <c r="F1198" t="str">
        <f t="shared" si="40"/>
        <v/>
      </c>
      <c r="G1198">
        <f t="shared" si="40"/>
        <v>0.60201193180000001</v>
      </c>
    </row>
    <row r="1199" spans="1:7" x14ac:dyDescent="0.2">
      <c r="A1199" t="s">
        <v>2</v>
      </c>
      <c r="B1199">
        <v>0.2342270759</v>
      </c>
      <c r="C1199">
        <v>0</v>
      </c>
      <c r="D1199">
        <f t="shared" si="39"/>
        <v>0</v>
      </c>
      <c r="E1199" t="str">
        <f t="shared" si="39"/>
        <v/>
      </c>
      <c r="F1199">
        <f t="shared" si="40"/>
        <v>0.2342270759</v>
      </c>
      <c r="G1199" t="str">
        <f t="shared" si="40"/>
        <v/>
      </c>
    </row>
    <row r="1200" spans="1:7" x14ac:dyDescent="0.2">
      <c r="A1200" t="s">
        <v>2</v>
      </c>
      <c r="B1200">
        <v>0.4090047403</v>
      </c>
      <c r="C1200">
        <v>1</v>
      </c>
      <c r="D1200">
        <f t="shared" si="39"/>
        <v>1</v>
      </c>
      <c r="E1200" t="str">
        <f t="shared" si="39"/>
        <v/>
      </c>
      <c r="F1200">
        <f t="shared" si="40"/>
        <v>0.4090047403</v>
      </c>
      <c r="G1200" t="str">
        <f t="shared" si="40"/>
        <v/>
      </c>
    </row>
    <row r="1201" spans="1:7" x14ac:dyDescent="0.2">
      <c r="A1201" t="s">
        <v>2</v>
      </c>
      <c r="B1201">
        <v>0.1954117762</v>
      </c>
      <c r="C1201">
        <v>0</v>
      </c>
      <c r="D1201">
        <f t="shared" si="39"/>
        <v>0</v>
      </c>
      <c r="E1201" t="str">
        <f t="shared" si="39"/>
        <v/>
      </c>
      <c r="F1201">
        <f t="shared" si="40"/>
        <v>0.1954117762</v>
      </c>
      <c r="G1201" t="str">
        <f t="shared" si="40"/>
        <v/>
      </c>
    </row>
    <row r="1202" spans="1:7" x14ac:dyDescent="0.2">
      <c r="A1202" t="s">
        <v>2</v>
      </c>
      <c r="B1202">
        <v>0.58028748050000001</v>
      </c>
      <c r="C1202">
        <v>0</v>
      </c>
      <c r="D1202">
        <f t="shared" si="39"/>
        <v>0</v>
      </c>
      <c r="E1202" t="str">
        <f t="shared" si="39"/>
        <v/>
      </c>
      <c r="F1202">
        <f t="shared" si="40"/>
        <v>0.58028748050000001</v>
      </c>
      <c r="G1202" t="str">
        <f t="shared" si="40"/>
        <v/>
      </c>
    </row>
    <row r="1203" spans="1:7" x14ac:dyDescent="0.2">
      <c r="A1203" t="s">
        <v>2</v>
      </c>
      <c r="B1203">
        <v>0.20847536759999999</v>
      </c>
      <c r="C1203">
        <v>0</v>
      </c>
      <c r="D1203">
        <f t="shared" si="39"/>
        <v>0</v>
      </c>
      <c r="E1203" t="str">
        <f t="shared" si="39"/>
        <v/>
      </c>
      <c r="F1203">
        <f t="shared" si="40"/>
        <v>0.20847536759999999</v>
      </c>
      <c r="G1203" t="str">
        <f t="shared" si="40"/>
        <v/>
      </c>
    </row>
    <row r="1204" spans="1:7" x14ac:dyDescent="0.2">
      <c r="A1204" t="s">
        <v>0</v>
      </c>
      <c r="B1204">
        <v>0.44322814919999998</v>
      </c>
      <c r="C1204">
        <v>0</v>
      </c>
      <c r="D1204" t="str">
        <f t="shared" si="39"/>
        <v/>
      </c>
      <c r="E1204">
        <f t="shared" si="39"/>
        <v>0</v>
      </c>
      <c r="F1204" t="str">
        <f t="shared" si="40"/>
        <v/>
      </c>
      <c r="G1204">
        <f t="shared" si="40"/>
        <v>0.44322814919999998</v>
      </c>
    </row>
    <row r="1205" spans="1:7" x14ac:dyDescent="0.2">
      <c r="A1205" t="s">
        <v>2</v>
      </c>
      <c r="B1205">
        <v>0.14870896049999999</v>
      </c>
      <c r="C1205">
        <v>0</v>
      </c>
      <c r="D1205">
        <f t="shared" si="39"/>
        <v>0</v>
      </c>
      <c r="E1205" t="str">
        <f t="shared" si="39"/>
        <v/>
      </c>
      <c r="F1205">
        <f t="shared" si="40"/>
        <v>0.14870896049999999</v>
      </c>
      <c r="G1205" t="str">
        <f t="shared" si="40"/>
        <v/>
      </c>
    </row>
    <row r="1206" spans="1:7" x14ac:dyDescent="0.2">
      <c r="A1206" t="s">
        <v>2</v>
      </c>
      <c r="B1206">
        <v>0.38131997169999998</v>
      </c>
      <c r="C1206">
        <v>0</v>
      </c>
      <c r="D1206">
        <f t="shared" si="39"/>
        <v>0</v>
      </c>
      <c r="E1206" t="str">
        <f t="shared" si="39"/>
        <v/>
      </c>
      <c r="F1206">
        <f t="shared" si="40"/>
        <v>0.38131997169999998</v>
      </c>
      <c r="G1206" t="str">
        <f t="shared" si="40"/>
        <v/>
      </c>
    </row>
    <row r="1207" spans="1:7" x14ac:dyDescent="0.2">
      <c r="A1207" t="s">
        <v>2</v>
      </c>
      <c r="B1207">
        <v>0.22276378190000001</v>
      </c>
      <c r="C1207">
        <v>0</v>
      </c>
      <c r="D1207">
        <f t="shared" si="39"/>
        <v>0</v>
      </c>
      <c r="E1207" t="str">
        <f t="shared" si="39"/>
        <v/>
      </c>
      <c r="F1207">
        <f t="shared" si="40"/>
        <v>0.22276378190000001</v>
      </c>
      <c r="G1207" t="str">
        <f t="shared" si="40"/>
        <v/>
      </c>
    </row>
    <row r="1208" spans="1:7" x14ac:dyDescent="0.2">
      <c r="A1208" t="s">
        <v>2</v>
      </c>
      <c r="B1208">
        <v>0.52091580110000002</v>
      </c>
      <c r="C1208">
        <v>1</v>
      </c>
      <c r="D1208">
        <f t="shared" si="39"/>
        <v>1</v>
      </c>
      <c r="E1208" t="str">
        <f t="shared" si="39"/>
        <v/>
      </c>
      <c r="F1208">
        <f t="shared" si="40"/>
        <v>0.52091580110000002</v>
      </c>
      <c r="G1208" t="str">
        <f t="shared" si="40"/>
        <v/>
      </c>
    </row>
    <row r="1209" spans="1:7" x14ac:dyDescent="0.2">
      <c r="A1209" t="s">
        <v>0</v>
      </c>
      <c r="B1209">
        <v>0.4463918482</v>
      </c>
      <c r="C1209">
        <v>1</v>
      </c>
      <c r="D1209" t="str">
        <f t="shared" si="39"/>
        <v/>
      </c>
      <c r="E1209">
        <f t="shared" si="39"/>
        <v>1</v>
      </c>
      <c r="F1209" t="str">
        <f t="shared" si="40"/>
        <v/>
      </c>
      <c r="G1209">
        <f t="shared" si="40"/>
        <v>0.4463918482</v>
      </c>
    </row>
    <row r="1210" spans="1:7" x14ac:dyDescent="0.2">
      <c r="A1210" t="s">
        <v>2</v>
      </c>
      <c r="B1210">
        <v>0.5778449068</v>
      </c>
      <c r="C1210">
        <v>0</v>
      </c>
      <c r="D1210">
        <f t="shared" si="39"/>
        <v>0</v>
      </c>
      <c r="E1210" t="str">
        <f t="shared" si="39"/>
        <v/>
      </c>
      <c r="F1210">
        <f t="shared" si="40"/>
        <v>0.5778449068</v>
      </c>
      <c r="G1210" t="str">
        <f t="shared" si="40"/>
        <v/>
      </c>
    </row>
    <row r="1211" spans="1:7" x14ac:dyDescent="0.2">
      <c r="A1211" t="s">
        <v>2</v>
      </c>
      <c r="B1211">
        <v>0.4121060251</v>
      </c>
      <c r="C1211">
        <v>0</v>
      </c>
      <c r="D1211">
        <f t="shared" si="39"/>
        <v>0</v>
      </c>
      <c r="E1211" t="str">
        <f t="shared" si="39"/>
        <v/>
      </c>
      <c r="F1211">
        <f t="shared" si="40"/>
        <v>0.4121060251</v>
      </c>
      <c r="G1211" t="str">
        <f t="shared" si="40"/>
        <v/>
      </c>
    </row>
    <row r="1212" spans="1:7" x14ac:dyDescent="0.2">
      <c r="A1212" t="s">
        <v>0</v>
      </c>
      <c r="B1212">
        <v>0.78112559159999995</v>
      </c>
      <c r="C1212">
        <v>1</v>
      </c>
      <c r="D1212" t="str">
        <f t="shared" si="39"/>
        <v/>
      </c>
      <c r="E1212">
        <f t="shared" si="39"/>
        <v>1</v>
      </c>
      <c r="F1212" t="str">
        <f t="shared" si="40"/>
        <v/>
      </c>
      <c r="G1212">
        <f t="shared" si="40"/>
        <v>0.78112559159999995</v>
      </c>
    </row>
    <row r="1213" spans="1:7" x14ac:dyDescent="0.2">
      <c r="A1213" t="s">
        <v>2</v>
      </c>
      <c r="B1213">
        <v>0.47888611879999998</v>
      </c>
      <c r="C1213">
        <v>0</v>
      </c>
      <c r="D1213">
        <f t="shared" si="39"/>
        <v>0</v>
      </c>
      <c r="E1213" t="str">
        <f t="shared" si="39"/>
        <v/>
      </c>
      <c r="F1213">
        <f t="shared" si="40"/>
        <v>0.47888611879999998</v>
      </c>
      <c r="G1213" t="str">
        <f t="shared" si="40"/>
        <v/>
      </c>
    </row>
    <row r="1214" spans="1:7" x14ac:dyDescent="0.2">
      <c r="A1214" t="s">
        <v>2</v>
      </c>
      <c r="B1214">
        <v>0.53788074220000004</v>
      </c>
      <c r="C1214">
        <v>0</v>
      </c>
      <c r="D1214">
        <f t="shared" si="39"/>
        <v>0</v>
      </c>
      <c r="E1214" t="str">
        <f t="shared" si="39"/>
        <v/>
      </c>
      <c r="F1214">
        <f t="shared" si="40"/>
        <v>0.53788074220000004</v>
      </c>
      <c r="G1214" t="str">
        <f t="shared" si="40"/>
        <v/>
      </c>
    </row>
    <row r="1215" spans="1:7" x14ac:dyDescent="0.2">
      <c r="A1215" t="s">
        <v>2</v>
      </c>
      <c r="B1215">
        <v>0.34801468140000003</v>
      </c>
      <c r="C1215">
        <v>0</v>
      </c>
      <c r="D1215">
        <f t="shared" si="39"/>
        <v>0</v>
      </c>
      <c r="E1215" t="str">
        <f t="shared" si="39"/>
        <v/>
      </c>
      <c r="F1215">
        <f t="shared" si="40"/>
        <v>0.34801468140000003</v>
      </c>
      <c r="G1215" t="str">
        <f t="shared" si="40"/>
        <v/>
      </c>
    </row>
    <row r="1216" spans="1:7" x14ac:dyDescent="0.2">
      <c r="A1216" t="s">
        <v>2</v>
      </c>
      <c r="B1216">
        <v>0.47514570630000003</v>
      </c>
      <c r="C1216">
        <v>0</v>
      </c>
      <c r="D1216">
        <f t="shared" si="39"/>
        <v>0</v>
      </c>
      <c r="E1216" t="str">
        <f t="shared" si="39"/>
        <v/>
      </c>
      <c r="F1216">
        <f t="shared" si="40"/>
        <v>0.47514570630000003</v>
      </c>
      <c r="G1216" t="str">
        <f t="shared" si="40"/>
        <v/>
      </c>
    </row>
    <row r="1217" spans="1:7" x14ac:dyDescent="0.2">
      <c r="A1217" t="s">
        <v>2</v>
      </c>
      <c r="B1217">
        <v>0.35579891299999999</v>
      </c>
      <c r="C1217">
        <v>1</v>
      </c>
      <c r="D1217">
        <f t="shared" si="39"/>
        <v>1</v>
      </c>
      <c r="E1217" t="str">
        <f t="shared" si="39"/>
        <v/>
      </c>
      <c r="F1217">
        <f t="shared" si="40"/>
        <v>0.35579891299999999</v>
      </c>
      <c r="G1217" t="str">
        <f t="shared" si="40"/>
        <v/>
      </c>
    </row>
    <row r="1218" spans="1:7" x14ac:dyDescent="0.2">
      <c r="A1218" t="s">
        <v>0</v>
      </c>
      <c r="B1218">
        <v>0.32075891249999999</v>
      </c>
      <c r="C1218">
        <v>0</v>
      </c>
      <c r="D1218" t="str">
        <f t="shared" si="39"/>
        <v/>
      </c>
      <c r="E1218">
        <f t="shared" si="39"/>
        <v>0</v>
      </c>
      <c r="F1218" t="str">
        <f t="shared" si="40"/>
        <v/>
      </c>
      <c r="G1218">
        <f t="shared" si="40"/>
        <v>0.32075891249999999</v>
      </c>
    </row>
    <row r="1219" spans="1:7" x14ac:dyDescent="0.2">
      <c r="A1219" t="s">
        <v>2</v>
      </c>
      <c r="B1219">
        <v>0.25847570450000001</v>
      </c>
      <c r="C1219">
        <v>1</v>
      </c>
      <c r="D1219">
        <f t="shared" si="39"/>
        <v>1</v>
      </c>
      <c r="E1219" t="str">
        <f t="shared" si="39"/>
        <v/>
      </c>
      <c r="F1219">
        <f t="shared" si="40"/>
        <v>0.25847570450000001</v>
      </c>
      <c r="G1219" t="str">
        <f t="shared" si="40"/>
        <v/>
      </c>
    </row>
    <row r="1220" spans="1:7" x14ac:dyDescent="0.2">
      <c r="A1220" t="s">
        <v>0</v>
      </c>
      <c r="B1220">
        <v>0.1519304829</v>
      </c>
      <c r="C1220">
        <v>0</v>
      </c>
      <c r="D1220" t="str">
        <f t="shared" si="39"/>
        <v/>
      </c>
      <c r="E1220">
        <f t="shared" si="39"/>
        <v>0</v>
      </c>
      <c r="F1220" t="str">
        <f t="shared" si="40"/>
        <v/>
      </c>
      <c r="G1220">
        <f t="shared" si="40"/>
        <v>0.1519304829</v>
      </c>
    </row>
    <row r="1221" spans="1:7" x14ac:dyDescent="0.2">
      <c r="A1221" t="s">
        <v>0</v>
      </c>
      <c r="B1221">
        <v>0.87531698349999998</v>
      </c>
      <c r="C1221">
        <v>1</v>
      </c>
      <c r="D1221" t="str">
        <f t="shared" si="39"/>
        <v/>
      </c>
      <c r="E1221">
        <f t="shared" si="39"/>
        <v>1</v>
      </c>
      <c r="F1221" t="str">
        <f t="shared" si="40"/>
        <v/>
      </c>
      <c r="G1221">
        <f t="shared" si="40"/>
        <v>0.87531698349999998</v>
      </c>
    </row>
    <row r="1222" spans="1:7" x14ac:dyDescent="0.2">
      <c r="A1222" t="s">
        <v>2</v>
      </c>
      <c r="B1222">
        <v>0.63815688729999998</v>
      </c>
      <c r="C1222">
        <v>1</v>
      </c>
      <c r="D1222">
        <f t="shared" si="39"/>
        <v>1</v>
      </c>
      <c r="E1222" t="str">
        <f t="shared" si="39"/>
        <v/>
      </c>
      <c r="F1222">
        <f t="shared" si="40"/>
        <v>0.63815688729999998</v>
      </c>
      <c r="G1222" t="str">
        <f t="shared" si="40"/>
        <v/>
      </c>
    </row>
    <row r="1223" spans="1:7" x14ac:dyDescent="0.2">
      <c r="A1223" t="s">
        <v>0</v>
      </c>
      <c r="B1223">
        <v>0.54774458100000001</v>
      </c>
      <c r="C1223">
        <v>1</v>
      </c>
      <c r="D1223" t="str">
        <f t="shared" si="39"/>
        <v/>
      </c>
      <c r="E1223">
        <f t="shared" si="39"/>
        <v>1</v>
      </c>
      <c r="F1223" t="str">
        <f t="shared" si="40"/>
        <v/>
      </c>
      <c r="G1223">
        <f t="shared" si="40"/>
        <v>0.54774458100000001</v>
      </c>
    </row>
    <row r="1224" spans="1:7" x14ac:dyDescent="0.2">
      <c r="A1224" t="s">
        <v>2</v>
      </c>
      <c r="B1224">
        <v>0.19140435310000001</v>
      </c>
      <c r="C1224">
        <v>0</v>
      </c>
      <c r="D1224">
        <f t="shared" si="39"/>
        <v>0</v>
      </c>
      <c r="E1224" t="str">
        <f t="shared" si="39"/>
        <v/>
      </c>
      <c r="F1224">
        <f t="shared" si="40"/>
        <v>0.19140435310000001</v>
      </c>
      <c r="G1224" t="str">
        <f t="shared" si="40"/>
        <v/>
      </c>
    </row>
    <row r="1225" spans="1:7" x14ac:dyDescent="0.2">
      <c r="A1225" t="s">
        <v>2</v>
      </c>
      <c r="B1225">
        <v>0.19964354209999999</v>
      </c>
      <c r="C1225">
        <v>0</v>
      </c>
      <c r="D1225">
        <f t="shared" si="39"/>
        <v>0</v>
      </c>
      <c r="E1225" t="str">
        <f t="shared" si="39"/>
        <v/>
      </c>
      <c r="F1225">
        <f t="shared" si="40"/>
        <v>0.19964354209999999</v>
      </c>
      <c r="G1225" t="str">
        <f t="shared" si="40"/>
        <v/>
      </c>
    </row>
    <row r="1226" spans="1:7" x14ac:dyDescent="0.2">
      <c r="A1226" t="s">
        <v>2</v>
      </c>
      <c r="B1226">
        <v>0.54921022019999999</v>
      </c>
      <c r="C1226">
        <v>1</v>
      </c>
      <c r="D1226">
        <f t="shared" si="39"/>
        <v>1</v>
      </c>
      <c r="E1226" t="str">
        <f t="shared" si="39"/>
        <v/>
      </c>
      <c r="F1226">
        <f t="shared" si="40"/>
        <v>0.54921022019999999</v>
      </c>
      <c r="G1226" t="str">
        <f t="shared" si="40"/>
        <v/>
      </c>
    </row>
    <row r="1227" spans="1:7" x14ac:dyDescent="0.2">
      <c r="A1227" t="s">
        <v>2</v>
      </c>
      <c r="B1227">
        <v>0.2002501837</v>
      </c>
      <c r="C1227">
        <v>0</v>
      </c>
      <c r="D1227">
        <f t="shared" si="39"/>
        <v>0</v>
      </c>
      <c r="E1227" t="str">
        <f t="shared" si="39"/>
        <v/>
      </c>
      <c r="F1227">
        <f t="shared" si="40"/>
        <v>0.2002501837</v>
      </c>
      <c r="G1227" t="str">
        <f t="shared" si="40"/>
        <v/>
      </c>
    </row>
    <row r="1228" spans="1:7" x14ac:dyDescent="0.2">
      <c r="A1228" t="s">
        <v>2</v>
      </c>
      <c r="B1228">
        <v>0.57270484759999996</v>
      </c>
      <c r="C1228">
        <v>1</v>
      </c>
      <c r="D1228">
        <f t="shared" si="39"/>
        <v>1</v>
      </c>
      <c r="E1228" t="str">
        <f t="shared" si="39"/>
        <v/>
      </c>
      <c r="F1228">
        <f t="shared" si="40"/>
        <v>0.57270484759999996</v>
      </c>
      <c r="G1228" t="str">
        <f t="shared" si="40"/>
        <v/>
      </c>
    </row>
    <row r="1229" spans="1:7" x14ac:dyDescent="0.2">
      <c r="A1229" t="s">
        <v>0</v>
      </c>
      <c r="B1229">
        <v>0.15156677490000001</v>
      </c>
      <c r="C1229">
        <v>1</v>
      </c>
      <c r="D1229" t="str">
        <f t="shared" si="39"/>
        <v/>
      </c>
      <c r="E1229">
        <f t="shared" si="39"/>
        <v>1</v>
      </c>
      <c r="F1229" t="str">
        <f t="shared" si="40"/>
        <v/>
      </c>
      <c r="G1229">
        <f t="shared" si="40"/>
        <v>0.15156677490000001</v>
      </c>
    </row>
    <row r="1230" spans="1:7" x14ac:dyDescent="0.2">
      <c r="A1230" t="s">
        <v>0</v>
      </c>
      <c r="B1230">
        <v>0.87721272620000001</v>
      </c>
      <c r="C1230">
        <v>1</v>
      </c>
      <c r="D1230" t="str">
        <f t="shared" si="39"/>
        <v/>
      </c>
      <c r="E1230">
        <f t="shared" si="39"/>
        <v>1</v>
      </c>
      <c r="F1230" t="str">
        <f t="shared" si="40"/>
        <v/>
      </c>
      <c r="G1230">
        <f t="shared" si="40"/>
        <v>0.87721272620000001</v>
      </c>
    </row>
    <row r="1231" spans="1:7" x14ac:dyDescent="0.2">
      <c r="A1231" t="s">
        <v>0</v>
      </c>
      <c r="B1231">
        <v>0.58508318650000002</v>
      </c>
      <c r="C1231">
        <v>1</v>
      </c>
      <c r="D1231" t="str">
        <f t="shared" si="39"/>
        <v/>
      </c>
      <c r="E1231">
        <f t="shared" si="39"/>
        <v>1</v>
      </c>
      <c r="F1231" t="str">
        <f t="shared" si="40"/>
        <v/>
      </c>
      <c r="G1231">
        <f t="shared" si="40"/>
        <v>0.58508318650000002</v>
      </c>
    </row>
    <row r="1232" spans="1:7" x14ac:dyDescent="0.2">
      <c r="A1232" t="s">
        <v>2</v>
      </c>
      <c r="B1232">
        <v>0.3907340426</v>
      </c>
      <c r="C1232">
        <v>0</v>
      </c>
      <c r="D1232">
        <f t="shared" si="39"/>
        <v>0</v>
      </c>
      <c r="E1232" t="str">
        <f t="shared" si="39"/>
        <v/>
      </c>
      <c r="F1232">
        <f t="shared" si="40"/>
        <v>0.3907340426</v>
      </c>
      <c r="G1232" t="str">
        <f t="shared" si="40"/>
        <v/>
      </c>
    </row>
    <row r="1233" spans="1:7" x14ac:dyDescent="0.2">
      <c r="A1233" t="s">
        <v>2</v>
      </c>
      <c r="B1233">
        <v>0.37219148629999999</v>
      </c>
      <c r="C1233">
        <v>1</v>
      </c>
      <c r="D1233">
        <f t="shared" si="39"/>
        <v>1</v>
      </c>
      <c r="E1233" t="str">
        <f t="shared" si="39"/>
        <v/>
      </c>
      <c r="F1233">
        <f t="shared" si="40"/>
        <v>0.37219148629999999</v>
      </c>
      <c r="G1233" t="str">
        <f t="shared" si="40"/>
        <v/>
      </c>
    </row>
    <row r="1234" spans="1:7" x14ac:dyDescent="0.2">
      <c r="A1234" t="s">
        <v>0</v>
      </c>
      <c r="B1234">
        <v>0.79833183299999999</v>
      </c>
      <c r="C1234">
        <v>1</v>
      </c>
      <c r="D1234" t="str">
        <f t="shared" si="39"/>
        <v/>
      </c>
      <c r="E1234">
        <f t="shared" si="39"/>
        <v>1</v>
      </c>
      <c r="F1234" t="str">
        <f t="shared" si="40"/>
        <v/>
      </c>
      <c r="G1234">
        <f t="shared" si="40"/>
        <v>0.79833183299999999</v>
      </c>
    </row>
    <row r="1235" spans="1:7" x14ac:dyDescent="0.2">
      <c r="A1235" t="s">
        <v>2</v>
      </c>
      <c r="B1235">
        <v>0.19065200090000001</v>
      </c>
      <c r="C1235">
        <v>0</v>
      </c>
      <c r="D1235">
        <f t="shared" si="39"/>
        <v>0</v>
      </c>
      <c r="E1235" t="str">
        <f t="shared" si="39"/>
        <v/>
      </c>
      <c r="F1235">
        <f t="shared" si="40"/>
        <v>0.19065200090000001</v>
      </c>
      <c r="G1235" t="str">
        <f t="shared" si="40"/>
        <v/>
      </c>
    </row>
    <row r="1236" spans="1:7" x14ac:dyDescent="0.2">
      <c r="A1236" t="s">
        <v>2</v>
      </c>
      <c r="B1236">
        <v>0.49581029799999998</v>
      </c>
      <c r="C1236">
        <v>1</v>
      </c>
      <c r="D1236">
        <f t="shared" si="39"/>
        <v>1</v>
      </c>
      <c r="E1236" t="str">
        <f t="shared" si="39"/>
        <v/>
      </c>
      <c r="F1236">
        <f t="shared" si="40"/>
        <v>0.49581029799999998</v>
      </c>
      <c r="G1236" t="str">
        <f t="shared" si="40"/>
        <v/>
      </c>
    </row>
    <row r="1237" spans="1:7" x14ac:dyDescent="0.2">
      <c r="A1237" t="s">
        <v>2</v>
      </c>
      <c r="B1237">
        <v>0.67326892589999998</v>
      </c>
      <c r="C1237">
        <v>0</v>
      </c>
      <c r="D1237">
        <f t="shared" si="39"/>
        <v>0</v>
      </c>
      <c r="E1237" t="str">
        <f t="shared" si="39"/>
        <v/>
      </c>
      <c r="F1237">
        <f t="shared" si="40"/>
        <v>0.67326892589999998</v>
      </c>
      <c r="G1237" t="str">
        <f t="shared" si="40"/>
        <v/>
      </c>
    </row>
    <row r="1238" spans="1:7" x14ac:dyDescent="0.2">
      <c r="A1238" t="s">
        <v>2</v>
      </c>
      <c r="B1238">
        <v>0.29267610080000001</v>
      </c>
      <c r="C1238">
        <v>0</v>
      </c>
      <c r="D1238">
        <f t="shared" si="39"/>
        <v>0</v>
      </c>
      <c r="E1238" t="str">
        <f t="shared" si="39"/>
        <v/>
      </c>
      <c r="F1238">
        <f t="shared" si="40"/>
        <v>0.29267610080000001</v>
      </c>
      <c r="G1238" t="str">
        <f t="shared" si="40"/>
        <v/>
      </c>
    </row>
    <row r="1239" spans="1:7" x14ac:dyDescent="0.2">
      <c r="A1239" t="s">
        <v>2</v>
      </c>
      <c r="B1239">
        <v>0.16325080910000001</v>
      </c>
      <c r="C1239">
        <v>1</v>
      </c>
      <c r="D1239">
        <f t="shared" si="39"/>
        <v>1</v>
      </c>
      <c r="E1239" t="str">
        <f t="shared" si="39"/>
        <v/>
      </c>
      <c r="F1239">
        <f t="shared" si="40"/>
        <v>0.16325080910000001</v>
      </c>
      <c r="G1239" t="str">
        <f t="shared" si="40"/>
        <v/>
      </c>
    </row>
    <row r="1240" spans="1:7" x14ac:dyDescent="0.2">
      <c r="A1240" t="s">
        <v>2</v>
      </c>
      <c r="B1240">
        <v>0.1125988274</v>
      </c>
      <c r="C1240">
        <v>0</v>
      </c>
      <c r="D1240">
        <f t="shared" si="39"/>
        <v>0</v>
      </c>
      <c r="E1240" t="str">
        <f t="shared" si="39"/>
        <v/>
      </c>
      <c r="F1240">
        <f t="shared" si="40"/>
        <v>0.1125988274</v>
      </c>
      <c r="G1240" t="str">
        <f t="shared" si="40"/>
        <v/>
      </c>
    </row>
    <row r="1241" spans="1:7" x14ac:dyDescent="0.2">
      <c r="A1241" t="s">
        <v>0</v>
      </c>
      <c r="B1241">
        <v>0.69374152889999996</v>
      </c>
      <c r="C1241">
        <v>0</v>
      </c>
      <c r="D1241" t="str">
        <f t="shared" si="39"/>
        <v/>
      </c>
      <c r="E1241">
        <f t="shared" si="39"/>
        <v>0</v>
      </c>
      <c r="F1241" t="str">
        <f t="shared" si="40"/>
        <v/>
      </c>
      <c r="G1241">
        <f t="shared" si="40"/>
        <v>0.69374152889999996</v>
      </c>
    </row>
    <row r="1242" spans="1:7" x14ac:dyDescent="0.2">
      <c r="A1242" t="s">
        <v>0</v>
      </c>
      <c r="B1242">
        <v>0.81989519030000002</v>
      </c>
      <c r="C1242">
        <v>1</v>
      </c>
      <c r="D1242" t="str">
        <f t="shared" si="39"/>
        <v/>
      </c>
      <c r="E1242">
        <f t="shared" si="39"/>
        <v>1</v>
      </c>
      <c r="F1242" t="str">
        <f t="shared" si="40"/>
        <v/>
      </c>
      <c r="G1242">
        <f t="shared" si="40"/>
        <v>0.81989519030000002</v>
      </c>
    </row>
    <row r="1243" spans="1:7" x14ac:dyDescent="0.2">
      <c r="A1243" t="s">
        <v>0</v>
      </c>
      <c r="B1243">
        <v>9.28852394E-2</v>
      </c>
      <c r="C1243">
        <v>0</v>
      </c>
      <c r="D1243" t="str">
        <f t="shared" si="39"/>
        <v/>
      </c>
      <c r="E1243">
        <f t="shared" si="39"/>
        <v>0</v>
      </c>
      <c r="F1243" t="str">
        <f t="shared" si="40"/>
        <v/>
      </c>
      <c r="G1243">
        <f t="shared" si="40"/>
        <v>9.28852394E-2</v>
      </c>
    </row>
    <row r="1244" spans="1:7" x14ac:dyDescent="0.2">
      <c r="A1244" t="s">
        <v>2</v>
      </c>
      <c r="B1244">
        <v>0.7175762027</v>
      </c>
      <c r="C1244">
        <v>0</v>
      </c>
      <c r="D1244">
        <f t="shared" si="39"/>
        <v>0</v>
      </c>
      <c r="E1244" t="str">
        <f t="shared" si="39"/>
        <v/>
      </c>
      <c r="F1244">
        <f t="shared" si="40"/>
        <v>0.7175762027</v>
      </c>
      <c r="G1244" t="str">
        <f t="shared" si="40"/>
        <v/>
      </c>
    </row>
    <row r="1245" spans="1:7" x14ac:dyDescent="0.2">
      <c r="A1245" t="s">
        <v>2</v>
      </c>
      <c r="B1245">
        <v>0.84791580639999997</v>
      </c>
      <c r="C1245">
        <v>1</v>
      </c>
      <c r="D1245">
        <f t="shared" si="39"/>
        <v>1</v>
      </c>
      <c r="E1245" t="str">
        <f t="shared" si="39"/>
        <v/>
      </c>
      <c r="F1245">
        <f t="shared" si="40"/>
        <v>0.84791580639999997</v>
      </c>
      <c r="G1245" t="str">
        <f t="shared" si="40"/>
        <v/>
      </c>
    </row>
    <row r="1246" spans="1:7" x14ac:dyDescent="0.2">
      <c r="A1246" t="s">
        <v>0</v>
      </c>
      <c r="B1246">
        <v>0.3756955797</v>
      </c>
      <c r="C1246">
        <v>0</v>
      </c>
      <c r="D1246" t="str">
        <f t="shared" si="39"/>
        <v/>
      </c>
      <c r="E1246">
        <f t="shared" si="39"/>
        <v>0</v>
      </c>
      <c r="F1246" t="str">
        <f t="shared" si="40"/>
        <v/>
      </c>
      <c r="G1246">
        <f t="shared" si="40"/>
        <v>0.3756955797</v>
      </c>
    </row>
    <row r="1247" spans="1:7" x14ac:dyDescent="0.2">
      <c r="A1247" t="s">
        <v>2</v>
      </c>
      <c r="B1247">
        <v>0.48167950110000002</v>
      </c>
      <c r="C1247">
        <v>1</v>
      </c>
      <c r="D1247">
        <f t="shared" si="39"/>
        <v>1</v>
      </c>
      <c r="E1247" t="str">
        <f t="shared" si="39"/>
        <v/>
      </c>
      <c r="F1247">
        <f t="shared" si="40"/>
        <v>0.48167950110000002</v>
      </c>
      <c r="G1247" t="str">
        <f t="shared" si="40"/>
        <v/>
      </c>
    </row>
    <row r="1248" spans="1:7" x14ac:dyDescent="0.2">
      <c r="A1248" t="s">
        <v>2</v>
      </c>
      <c r="B1248">
        <v>0.65689289510000004</v>
      </c>
      <c r="C1248">
        <v>1</v>
      </c>
      <c r="D1248">
        <f t="shared" si="39"/>
        <v>1</v>
      </c>
      <c r="E1248" t="str">
        <f t="shared" si="39"/>
        <v/>
      </c>
      <c r="F1248">
        <f t="shared" si="40"/>
        <v>0.65689289510000004</v>
      </c>
      <c r="G1248" t="str">
        <f t="shared" si="40"/>
        <v/>
      </c>
    </row>
    <row r="1249" spans="1:7" x14ac:dyDescent="0.2">
      <c r="A1249" t="s">
        <v>0</v>
      </c>
      <c r="B1249">
        <v>0.70638065679999995</v>
      </c>
      <c r="C1249">
        <v>1</v>
      </c>
      <c r="D1249" t="str">
        <f t="shared" si="39"/>
        <v/>
      </c>
      <c r="E1249">
        <f t="shared" si="39"/>
        <v>1</v>
      </c>
      <c r="F1249" t="str">
        <f t="shared" si="40"/>
        <v/>
      </c>
      <c r="G1249">
        <f t="shared" si="40"/>
        <v>0.70638065679999995</v>
      </c>
    </row>
    <row r="1250" spans="1:7" x14ac:dyDescent="0.2">
      <c r="A1250" t="s">
        <v>2</v>
      </c>
      <c r="B1250">
        <v>0.31901770130000001</v>
      </c>
      <c r="C1250">
        <v>1</v>
      </c>
      <c r="D1250">
        <f t="shared" si="39"/>
        <v>1</v>
      </c>
      <c r="E1250" t="str">
        <f t="shared" si="39"/>
        <v/>
      </c>
      <c r="F1250">
        <f t="shared" si="40"/>
        <v>0.31901770130000001</v>
      </c>
      <c r="G1250" t="str">
        <f t="shared" si="40"/>
        <v/>
      </c>
    </row>
    <row r="1251" spans="1:7" x14ac:dyDescent="0.2">
      <c r="A1251" t="s">
        <v>0</v>
      </c>
      <c r="B1251">
        <v>0.15934077730000001</v>
      </c>
      <c r="C1251">
        <v>0</v>
      </c>
      <c r="D1251" t="str">
        <f t="shared" si="39"/>
        <v/>
      </c>
      <c r="E1251">
        <f t="shared" si="39"/>
        <v>0</v>
      </c>
      <c r="F1251" t="str">
        <f t="shared" si="40"/>
        <v/>
      </c>
      <c r="G1251">
        <f t="shared" si="40"/>
        <v>0.15934077730000001</v>
      </c>
    </row>
    <row r="1252" spans="1:7" x14ac:dyDescent="0.2">
      <c r="A1252" t="s">
        <v>2</v>
      </c>
      <c r="B1252">
        <v>0.30222935280000002</v>
      </c>
      <c r="C1252">
        <v>1</v>
      </c>
      <c r="D1252">
        <f t="shared" si="39"/>
        <v>1</v>
      </c>
      <c r="E1252" t="str">
        <f t="shared" si="39"/>
        <v/>
      </c>
      <c r="F1252">
        <f t="shared" si="40"/>
        <v>0.30222935280000002</v>
      </c>
      <c r="G1252" t="str">
        <f t="shared" si="40"/>
        <v/>
      </c>
    </row>
    <row r="1253" spans="1:7" x14ac:dyDescent="0.2">
      <c r="A1253" t="s">
        <v>2</v>
      </c>
      <c r="B1253">
        <v>9.9655630800000006E-2</v>
      </c>
      <c r="C1253">
        <v>0</v>
      </c>
      <c r="D1253">
        <f t="shared" si="39"/>
        <v>0</v>
      </c>
      <c r="E1253" t="str">
        <f t="shared" si="39"/>
        <v/>
      </c>
      <c r="F1253">
        <f t="shared" si="40"/>
        <v>9.9655630800000006E-2</v>
      </c>
      <c r="G1253" t="str">
        <f t="shared" si="40"/>
        <v/>
      </c>
    </row>
    <row r="1254" spans="1:7" x14ac:dyDescent="0.2">
      <c r="A1254" t="s">
        <v>2</v>
      </c>
      <c r="B1254">
        <v>0.13896027159999999</v>
      </c>
      <c r="C1254">
        <v>0</v>
      </c>
      <c r="D1254">
        <f t="shared" si="39"/>
        <v>0</v>
      </c>
      <c r="E1254" t="str">
        <f t="shared" si="39"/>
        <v/>
      </c>
      <c r="F1254">
        <f t="shared" si="40"/>
        <v>0.13896027159999999</v>
      </c>
      <c r="G1254" t="str">
        <f t="shared" si="40"/>
        <v/>
      </c>
    </row>
    <row r="1255" spans="1:7" x14ac:dyDescent="0.2">
      <c r="A1255" t="s">
        <v>2</v>
      </c>
      <c r="B1255">
        <v>0.56168335049999996</v>
      </c>
      <c r="C1255">
        <v>1</v>
      </c>
      <c r="D1255">
        <f t="shared" si="39"/>
        <v>1</v>
      </c>
      <c r="E1255" t="str">
        <f t="shared" si="39"/>
        <v/>
      </c>
      <c r="F1255">
        <f t="shared" si="40"/>
        <v>0.56168335049999996</v>
      </c>
      <c r="G1255" t="str">
        <f t="shared" si="40"/>
        <v/>
      </c>
    </row>
    <row r="1256" spans="1:7" x14ac:dyDescent="0.2">
      <c r="A1256" t="s">
        <v>0</v>
      </c>
      <c r="B1256">
        <v>0.1400920574</v>
      </c>
      <c r="C1256">
        <v>0</v>
      </c>
      <c r="D1256" t="str">
        <f t="shared" si="39"/>
        <v/>
      </c>
      <c r="E1256">
        <f t="shared" si="39"/>
        <v>0</v>
      </c>
      <c r="F1256" t="str">
        <f t="shared" si="40"/>
        <v/>
      </c>
      <c r="G1256">
        <f t="shared" si="40"/>
        <v>0.1400920574</v>
      </c>
    </row>
    <row r="1257" spans="1:7" x14ac:dyDescent="0.2">
      <c r="A1257" t="s">
        <v>0</v>
      </c>
      <c r="B1257">
        <v>0.63345317300000004</v>
      </c>
      <c r="C1257">
        <v>1</v>
      </c>
      <c r="D1257" t="str">
        <f t="shared" si="39"/>
        <v/>
      </c>
      <c r="E1257">
        <f t="shared" si="39"/>
        <v>1</v>
      </c>
      <c r="F1257" t="str">
        <f t="shared" si="40"/>
        <v/>
      </c>
      <c r="G1257">
        <f t="shared" si="40"/>
        <v>0.63345317300000004</v>
      </c>
    </row>
    <row r="1258" spans="1:7" x14ac:dyDescent="0.2">
      <c r="A1258" t="s">
        <v>0</v>
      </c>
      <c r="B1258">
        <v>0.3828560426</v>
      </c>
      <c r="C1258">
        <v>1</v>
      </c>
      <c r="D1258" t="str">
        <f t="shared" si="39"/>
        <v/>
      </c>
      <c r="E1258">
        <f t="shared" si="39"/>
        <v>1</v>
      </c>
      <c r="F1258" t="str">
        <f t="shared" si="40"/>
        <v/>
      </c>
      <c r="G1258">
        <f t="shared" si="40"/>
        <v>0.3828560426</v>
      </c>
    </row>
    <row r="1259" spans="1:7" x14ac:dyDescent="0.2">
      <c r="A1259" t="s">
        <v>2</v>
      </c>
      <c r="B1259">
        <v>0.1640655178</v>
      </c>
      <c r="C1259">
        <v>0</v>
      </c>
      <c r="D1259">
        <f t="shared" ref="D1259:E1322" si="41">IF($A1259=D$1,$C1259,"")</f>
        <v>0</v>
      </c>
      <c r="E1259" t="str">
        <f t="shared" si="41"/>
        <v/>
      </c>
      <c r="F1259">
        <f t="shared" ref="F1259:G1322" si="42">IF($A1259=F$1,$B1259,"")</f>
        <v>0.1640655178</v>
      </c>
      <c r="G1259" t="str">
        <f t="shared" si="42"/>
        <v/>
      </c>
    </row>
    <row r="1260" spans="1:7" x14ac:dyDescent="0.2">
      <c r="A1260" t="s">
        <v>2</v>
      </c>
      <c r="B1260">
        <v>0.40918247190000001</v>
      </c>
      <c r="C1260">
        <v>0</v>
      </c>
      <c r="D1260">
        <f t="shared" si="41"/>
        <v>0</v>
      </c>
      <c r="E1260" t="str">
        <f t="shared" si="41"/>
        <v/>
      </c>
      <c r="F1260">
        <f t="shared" si="42"/>
        <v>0.40918247190000001</v>
      </c>
      <c r="G1260" t="str">
        <f t="shared" si="42"/>
        <v/>
      </c>
    </row>
    <row r="1261" spans="1:7" x14ac:dyDescent="0.2">
      <c r="A1261" t="s">
        <v>2</v>
      </c>
      <c r="B1261">
        <v>0.4487456212</v>
      </c>
      <c r="C1261">
        <v>0</v>
      </c>
      <c r="D1261">
        <f t="shared" si="41"/>
        <v>0</v>
      </c>
      <c r="E1261" t="str">
        <f t="shared" si="41"/>
        <v/>
      </c>
      <c r="F1261">
        <f t="shared" si="42"/>
        <v>0.4487456212</v>
      </c>
      <c r="G1261" t="str">
        <f t="shared" si="42"/>
        <v/>
      </c>
    </row>
    <row r="1262" spans="1:7" x14ac:dyDescent="0.2">
      <c r="A1262" t="s">
        <v>2</v>
      </c>
      <c r="B1262">
        <v>0.42336011470000001</v>
      </c>
      <c r="C1262">
        <v>1</v>
      </c>
      <c r="D1262">
        <f t="shared" si="41"/>
        <v>1</v>
      </c>
      <c r="E1262" t="str">
        <f t="shared" si="41"/>
        <v/>
      </c>
      <c r="F1262">
        <f t="shared" si="42"/>
        <v>0.42336011470000001</v>
      </c>
      <c r="G1262" t="str">
        <f t="shared" si="42"/>
        <v/>
      </c>
    </row>
    <row r="1263" spans="1:7" x14ac:dyDescent="0.2">
      <c r="A1263" t="s">
        <v>0</v>
      </c>
      <c r="B1263">
        <v>0.1139324845</v>
      </c>
      <c r="C1263">
        <v>1</v>
      </c>
      <c r="D1263" t="str">
        <f t="shared" si="41"/>
        <v/>
      </c>
      <c r="E1263">
        <f t="shared" si="41"/>
        <v>1</v>
      </c>
      <c r="F1263" t="str">
        <f t="shared" si="42"/>
        <v/>
      </c>
      <c r="G1263">
        <f t="shared" si="42"/>
        <v>0.1139324845</v>
      </c>
    </row>
    <row r="1264" spans="1:7" x14ac:dyDescent="0.2">
      <c r="A1264" t="s">
        <v>0</v>
      </c>
      <c r="B1264">
        <v>0.75152179900000005</v>
      </c>
      <c r="C1264">
        <v>1</v>
      </c>
      <c r="D1264" t="str">
        <f t="shared" si="41"/>
        <v/>
      </c>
      <c r="E1264">
        <f t="shared" si="41"/>
        <v>1</v>
      </c>
      <c r="F1264" t="str">
        <f t="shared" si="42"/>
        <v/>
      </c>
      <c r="G1264">
        <f t="shared" si="42"/>
        <v>0.75152179900000005</v>
      </c>
    </row>
    <row r="1265" spans="1:7" x14ac:dyDescent="0.2">
      <c r="A1265" t="s">
        <v>2</v>
      </c>
      <c r="B1265">
        <v>0.15254371410000001</v>
      </c>
      <c r="C1265">
        <v>1</v>
      </c>
      <c r="D1265">
        <f t="shared" si="41"/>
        <v>1</v>
      </c>
      <c r="E1265" t="str">
        <f t="shared" si="41"/>
        <v/>
      </c>
      <c r="F1265">
        <f t="shared" si="42"/>
        <v>0.15254371410000001</v>
      </c>
      <c r="G1265" t="str">
        <f t="shared" si="42"/>
        <v/>
      </c>
    </row>
    <row r="1266" spans="1:7" x14ac:dyDescent="0.2">
      <c r="A1266" t="s">
        <v>0</v>
      </c>
      <c r="B1266">
        <v>0.86207039249999995</v>
      </c>
      <c r="C1266">
        <v>1</v>
      </c>
      <c r="D1266" t="str">
        <f t="shared" si="41"/>
        <v/>
      </c>
      <c r="E1266">
        <f t="shared" si="41"/>
        <v>1</v>
      </c>
      <c r="F1266" t="str">
        <f t="shared" si="42"/>
        <v/>
      </c>
      <c r="G1266">
        <f t="shared" si="42"/>
        <v>0.86207039249999995</v>
      </c>
    </row>
    <row r="1267" spans="1:7" x14ac:dyDescent="0.2">
      <c r="A1267" t="s">
        <v>0</v>
      </c>
      <c r="B1267">
        <v>0.24834260950000001</v>
      </c>
      <c r="C1267">
        <v>1</v>
      </c>
      <c r="D1267" t="str">
        <f t="shared" si="41"/>
        <v/>
      </c>
      <c r="E1267">
        <f t="shared" si="41"/>
        <v>1</v>
      </c>
      <c r="F1267" t="str">
        <f t="shared" si="42"/>
        <v/>
      </c>
      <c r="G1267">
        <f t="shared" si="42"/>
        <v>0.24834260950000001</v>
      </c>
    </row>
    <row r="1268" spans="1:7" x14ac:dyDescent="0.2">
      <c r="A1268" t="s">
        <v>0</v>
      </c>
      <c r="B1268">
        <v>0.5030821338</v>
      </c>
      <c r="C1268">
        <v>0</v>
      </c>
      <c r="D1268" t="str">
        <f t="shared" si="41"/>
        <v/>
      </c>
      <c r="E1268">
        <f t="shared" si="41"/>
        <v>0</v>
      </c>
      <c r="F1268" t="str">
        <f t="shared" si="42"/>
        <v/>
      </c>
      <c r="G1268">
        <f t="shared" si="42"/>
        <v>0.5030821338</v>
      </c>
    </row>
    <row r="1269" spans="1:7" x14ac:dyDescent="0.2">
      <c r="A1269" t="s">
        <v>0</v>
      </c>
      <c r="B1269">
        <v>0.29704779419999999</v>
      </c>
      <c r="C1269">
        <v>0</v>
      </c>
      <c r="D1269" t="str">
        <f t="shared" si="41"/>
        <v/>
      </c>
      <c r="E1269">
        <f t="shared" si="41"/>
        <v>0</v>
      </c>
      <c r="F1269" t="str">
        <f t="shared" si="42"/>
        <v/>
      </c>
      <c r="G1269">
        <f t="shared" si="42"/>
        <v>0.29704779419999999</v>
      </c>
    </row>
    <row r="1270" spans="1:7" x14ac:dyDescent="0.2">
      <c r="A1270" t="s">
        <v>0</v>
      </c>
      <c r="B1270">
        <v>0.59908392259999999</v>
      </c>
      <c r="C1270">
        <v>0</v>
      </c>
      <c r="D1270" t="str">
        <f t="shared" si="41"/>
        <v/>
      </c>
      <c r="E1270">
        <f t="shared" si="41"/>
        <v>0</v>
      </c>
      <c r="F1270" t="str">
        <f t="shared" si="42"/>
        <v/>
      </c>
      <c r="G1270">
        <f t="shared" si="42"/>
        <v>0.59908392259999999</v>
      </c>
    </row>
    <row r="1271" spans="1:7" x14ac:dyDescent="0.2">
      <c r="A1271" t="s">
        <v>0</v>
      </c>
      <c r="B1271">
        <v>0.25815583739999998</v>
      </c>
      <c r="C1271">
        <v>0</v>
      </c>
      <c r="D1271" t="str">
        <f t="shared" si="41"/>
        <v/>
      </c>
      <c r="E1271">
        <f t="shared" si="41"/>
        <v>0</v>
      </c>
      <c r="F1271" t="str">
        <f t="shared" si="42"/>
        <v/>
      </c>
      <c r="G1271">
        <f t="shared" si="42"/>
        <v>0.25815583739999998</v>
      </c>
    </row>
    <row r="1272" spans="1:7" x14ac:dyDescent="0.2">
      <c r="A1272" t="s">
        <v>2</v>
      </c>
      <c r="B1272">
        <v>0.42159089999999999</v>
      </c>
      <c r="C1272">
        <v>1</v>
      </c>
      <c r="D1272">
        <f t="shared" si="41"/>
        <v>1</v>
      </c>
      <c r="E1272" t="str">
        <f t="shared" si="41"/>
        <v/>
      </c>
      <c r="F1272">
        <f t="shared" si="42"/>
        <v>0.42159089999999999</v>
      </c>
      <c r="G1272" t="str">
        <f t="shared" si="42"/>
        <v/>
      </c>
    </row>
    <row r="1273" spans="1:7" x14ac:dyDescent="0.2">
      <c r="A1273" t="s">
        <v>0</v>
      </c>
      <c r="B1273">
        <v>0.5423501731</v>
      </c>
      <c r="C1273">
        <v>0</v>
      </c>
      <c r="D1273" t="str">
        <f t="shared" si="41"/>
        <v/>
      </c>
      <c r="E1273">
        <f t="shared" si="41"/>
        <v>0</v>
      </c>
      <c r="F1273" t="str">
        <f t="shared" si="42"/>
        <v/>
      </c>
      <c r="G1273">
        <f t="shared" si="42"/>
        <v>0.5423501731</v>
      </c>
    </row>
    <row r="1274" spans="1:7" x14ac:dyDescent="0.2">
      <c r="A1274" t="s">
        <v>0</v>
      </c>
      <c r="B1274">
        <v>0.35810140779999999</v>
      </c>
      <c r="C1274">
        <v>0</v>
      </c>
      <c r="D1274" t="str">
        <f t="shared" si="41"/>
        <v/>
      </c>
      <c r="E1274">
        <f t="shared" si="41"/>
        <v>0</v>
      </c>
      <c r="F1274" t="str">
        <f t="shared" si="42"/>
        <v/>
      </c>
      <c r="G1274">
        <f t="shared" si="42"/>
        <v>0.35810140779999999</v>
      </c>
    </row>
    <row r="1275" spans="1:7" x14ac:dyDescent="0.2">
      <c r="A1275" t="s">
        <v>2</v>
      </c>
      <c r="B1275">
        <v>0.3968222133</v>
      </c>
      <c r="C1275">
        <v>0</v>
      </c>
      <c r="D1275">
        <f t="shared" si="41"/>
        <v>0</v>
      </c>
      <c r="E1275" t="str">
        <f t="shared" si="41"/>
        <v/>
      </c>
      <c r="F1275">
        <f t="shared" si="42"/>
        <v>0.3968222133</v>
      </c>
      <c r="G1275" t="str">
        <f t="shared" si="42"/>
        <v/>
      </c>
    </row>
    <row r="1276" spans="1:7" x14ac:dyDescent="0.2">
      <c r="A1276" t="s">
        <v>0</v>
      </c>
      <c r="B1276">
        <v>0.37167860539999997</v>
      </c>
      <c r="C1276">
        <v>0</v>
      </c>
      <c r="D1276" t="str">
        <f t="shared" si="41"/>
        <v/>
      </c>
      <c r="E1276">
        <f t="shared" si="41"/>
        <v>0</v>
      </c>
      <c r="F1276" t="str">
        <f t="shared" si="42"/>
        <v/>
      </c>
      <c r="G1276">
        <f t="shared" si="42"/>
        <v>0.37167860539999997</v>
      </c>
    </row>
    <row r="1277" spans="1:7" x14ac:dyDescent="0.2">
      <c r="A1277" t="s">
        <v>0</v>
      </c>
      <c r="B1277">
        <v>0.20718659750000001</v>
      </c>
      <c r="C1277">
        <v>0</v>
      </c>
      <c r="D1277" t="str">
        <f t="shared" si="41"/>
        <v/>
      </c>
      <c r="E1277">
        <f t="shared" si="41"/>
        <v>0</v>
      </c>
      <c r="F1277" t="str">
        <f t="shared" si="42"/>
        <v/>
      </c>
      <c r="G1277">
        <f t="shared" si="42"/>
        <v>0.20718659750000001</v>
      </c>
    </row>
    <row r="1278" spans="1:7" x14ac:dyDescent="0.2">
      <c r="A1278" t="s">
        <v>2</v>
      </c>
      <c r="B1278">
        <v>0.25982472779999999</v>
      </c>
      <c r="C1278">
        <v>1</v>
      </c>
      <c r="D1278">
        <f t="shared" si="41"/>
        <v>1</v>
      </c>
      <c r="E1278" t="str">
        <f t="shared" si="41"/>
        <v/>
      </c>
      <c r="F1278">
        <f t="shared" si="42"/>
        <v>0.25982472779999999</v>
      </c>
      <c r="G1278" t="str">
        <f t="shared" si="42"/>
        <v/>
      </c>
    </row>
    <row r="1279" spans="1:7" x14ac:dyDescent="0.2">
      <c r="A1279" t="s">
        <v>2</v>
      </c>
      <c r="B1279">
        <v>0.80301066060000004</v>
      </c>
      <c r="C1279">
        <v>1</v>
      </c>
      <c r="D1279">
        <f t="shared" si="41"/>
        <v>1</v>
      </c>
      <c r="E1279" t="str">
        <f t="shared" si="41"/>
        <v/>
      </c>
      <c r="F1279">
        <f t="shared" si="42"/>
        <v>0.80301066060000004</v>
      </c>
      <c r="G1279" t="str">
        <f t="shared" si="42"/>
        <v/>
      </c>
    </row>
    <row r="1280" spans="1:7" x14ac:dyDescent="0.2">
      <c r="A1280" t="s">
        <v>0</v>
      </c>
      <c r="B1280">
        <v>0.27628339439999999</v>
      </c>
      <c r="C1280">
        <v>1</v>
      </c>
      <c r="D1280" t="str">
        <f t="shared" si="41"/>
        <v/>
      </c>
      <c r="E1280">
        <f t="shared" si="41"/>
        <v>1</v>
      </c>
      <c r="F1280" t="str">
        <f t="shared" si="42"/>
        <v/>
      </c>
      <c r="G1280">
        <f t="shared" si="42"/>
        <v>0.27628339439999999</v>
      </c>
    </row>
    <row r="1281" spans="1:7" x14ac:dyDescent="0.2">
      <c r="A1281" t="s">
        <v>2</v>
      </c>
      <c r="B1281">
        <v>0.420205045</v>
      </c>
      <c r="C1281">
        <v>0</v>
      </c>
      <c r="D1281">
        <f t="shared" si="41"/>
        <v>0</v>
      </c>
      <c r="E1281" t="str">
        <f t="shared" si="41"/>
        <v/>
      </c>
      <c r="F1281">
        <f t="shared" si="42"/>
        <v>0.420205045</v>
      </c>
      <c r="G1281" t="str">
        <f t="shared" si="42"/>
        <v/>
      </c>
    </row>
    <row r="1282" spans="1:7" x14ac:dyDescent="0.2">
      <c r="A1282" t="s">
        <v>2</v>
      </c>
      <c r="B1282">
        <v>0.18471239079999999</v>
      </c>
      <c r="C1282">
        <v>0</v>
      </c>
      <c r="D1282">
        <f t="shared" si="41"/>
        <v>0</v>
      </c>
      <c r="E1282" t="str">
        <f t="shared" si="41"/>
        <v/>
      </c>
      <c r="F1282">
        <f t="shared" si="42"/>
        <v>0.18471239079999999</v>
      </c>
      <c r="G1282" t="str">
        <f t="shared" si="42"/>
        <v/>
      </c>
    </row>
    <row r="1283" spans="1:7" x14ac:dyDescent="0.2">
      <c r="A1283" t="s">
        <v>2</v>
      </c>
      <c r="B1283">
        <v>0.105726007</v>
      </c>
      <c r="C1283">
        <v>0</v>
      </c>
      <c r="D1283">
        <f t="shared" si="41"/>
        <v>0</v>
      </c>
      <c r="E1283" t="str">
        <f t="shared" si="41"/>
        <v/>
      </c>
      <c r="F1283">
        <f t="shared" si="42"/>
        <v>0.105726007</v>
      </c>
      <c r="G1283" t="str">
        <f t="shared" si="42"/>
        <v/>
      </c>
    </row>
    <row r="1284" spans="1:7" x14ac:dyDescent="0.2">
      <c r="A1284" t="s">
        <v>0</v>
      </c>
      <c r="B1284">
        <v>0.49369622279999997</v>
      </c>
      <c r="C1284">
        <v>1</v>
      </c>
      <c r="D1284" t="str">
        <f t="shared" si="41"/>
        <v/>
      </c>
      <c r="E1284">
        <f t="shared" si="41"/>
        <v>1</v>
      </c>
      <c r="F1284" t="str">
        <f t="shared" si="42"/>
        <v/>
      </c>
      <c r="G1284">
        <f t="shared" si="42"/>
        <v>0.49369622279999997</v>
      </c>
    </row>
    <row r="1285" spans="1:7" x14ac:dyDescent="0.2">
      <c r="A1285" t="s">
        <v>2</v>
      </c>
      <c r="B1285">
        <v>0.87380380079999997</v>
      </c>
      <c r="C1285">
        <v>1</v>
      </c>
      <c r="D1285">
        <f t="shared" si="41"/>
        <v>1</v>
      </c>
      <c r="E1285" t="str">
        <f t="shared" si="41"/>
        <v/>
      </c>
      <c r="F1285">
        <f t="shared" si="42"/>
        <v>0.87380380079999997</v>
      </c>
      <c r="G1285" t="str">
        <f t="shared" si="42"/>
        <v/>
      </c>
    </row>
    <row r="1286" spans="1:7" x14ac:dyDescent="0.2">
      <c r="A1286" t="s">
        <v>0</v>
      </c>
      <c r="B1286">
        <v>0.53750158510000001</v>
      </c>
      <c r="C1286">
        <v>1</v>
      </c>
      <c r="D1286" t="str">
        <f t="shared" si="41"/>
        <v/>
      </c>
      <c r="E1286">
        <f t="shared" si="41"/>
        <v>1</v>
      </c>
      <c r="F1286" t="str">
        <f t="shared" si="42"/>
        <v/>
      </c>
      <c r="G1286">
        <f t="shared" si="42"/>
        <v>0.53750158510000001</v>
      </c>
    </row>
    <row r="1287" spans="1:7" x14ac:dyDescent="0.2">
      <c r="A1287" t="s">
        <v>2</v>
      </c>
      <c r="B1287">
        <v>0.62117681660000001</v>
      </c>
      <c r="C1287">
        <v>0</v>
      </c>
      <c r="D1287">
        <f t="shared" si="41"/>
        <v>0</v>
      </c>
      <c r="E1287" t="str">
        <f t="shared" si="41"/>
        <v/>
      </c>
      <c r="F1287">
        <f t="shared" si="42"/>
        <v>0.62117681660000001</v>
      </c>
      <c r="G1287" t="str">
        <f t="shared" si="42"/>
        <v/>
      </c>
    </row>
    <row r="1288" spans="1:7" x14ac:dyDescent="0.2">
      <c r="A1288" t="s">
        <v>0</v>
      </c>
      <c r="B1288">
        <v>0.76543966050000001</v>
      </c>
      <c r="C1288">
        <v>0</v>
      </c>
      <c r="D1288" t="str">
        <f t="shared" si="41"/>
        <v/>
      </c>
      <c r="E1288">
        <f t="shared" si="41"/>
        <v>0</v>
      </c>
      <c r="F1288" t="str">
        <f t="shared" si="42"/>
        <v/>
      </c>
      <c r="G1288">
        <f t="shared" si="42"/>
        <v>0.76543966050000001</v>
      </c>
    </row>
    <row r="1289" spans="1:7" x14ac:dyDescent="0.2">
      <c r="A1289" t="s">
        <v>0</v>
      </c>
      <c r="B1289">
        <v>0.1199414134</v>
      </c>
      <c r="C1289">
        <v>1</v>
      </c>
      <c r="D1289" t="str">
        <f t="shared" si="41"/>
        <v/>
      </c>
      <c r="E1289">
        <f t="shared" si="41"/>
        <v>1</v>
      </c>
      <c r="F1289" t="str">
        <f t="shared" si="42"/>
        <v/>
      </c>
      <c r="G1289">
        <f t="shared" si="42"/>
        <v>0.1199414134</v>
      </c>
    </row>
    <row r="1290" spans="1:7" x14ac:dyDescent="0.2">
      <c r="A1290" t="s">
        <v>2</v>
      </c>
      <c r="B1290">
        <v>0.86077949399999998</v>
      </c>
      <c r="C1290">
        <v>1</v>
      </c>
      <c r="D1290">
        <f t="shared" si="41"/>
        <v>1</v>
      </c>
      <c r="E1290" t="str">
        <f t="shared" si="41"/>
        <v/>
      </c>
      <c r="F1290">
        <f t="shared" si="42"/>
        <v>0.86077949399999998</v>
      </c>
      <c r="G1290" t="str">
        <f t="shared" si="42"/>
        <v/>
      </c>
    </row>
    <row r="1291" spans="1:7" x14ac:dyDescent="0.2">
      <c r="A1291" t="s">
        <v>2</v>
      </c>
      <c r="B1291">
        <v>0.4090047403</v>
      </c>
      <c r="C1291">
        <v>1</v>
      </c>
      <c r="D1291">
        <f t="shared" si="41"/>
        <v>1</v>
      </c>
      <c r="E1291" t="str">
        <f t="shared" si="41"/>
        <v/>
      </c>
      <c r="F1291">
        <f t="shared" si="42"/>
        <v>0.4090047403</v>
      </c>
      <c r="G1291" t="str">
        <f t="shared" si="42"/>
        <v/>
      </c>
    </row>
    <row r="1292" spans="1:7" x14ac:dyDescent="0.2">
      <c r="A1292" t="s">
        <v>0</v>
      </c>
      <c r="B1292">
        <v>0.13144298030000001</v>
      </c>
      <c r="C1292">
        <v>1</v>
      </c>
      <c r="D1292" t="str">
        <f t="shared" si="41"/>
        <v/>
      </c>
      <c r="E1292">
        <f t="shared" si="41"/>
        <v>1</v>
      </c>
      <c r="F1292" t="str">
        <f t="shared" si="42"/>
        <v/>
      </c>
      <c r="G1292">
        <f t="shared" si="42"/>
        <v>0.13144298030000001</v>
      </c>
    </row>
    <row r="1293" spans="1:7" x14ac:dyDescent="0.2">
      <c r="A1293" t="s">
        <v>0</v>
      </c>
      <c r="B1293">
        <v>0.54381980819999998</v>
      </c>
      <c r="C1293">
        <v>1</v>
      </c>
      <c r="D1293" t="str">
        <f t="shared" si="41"/>
        <v/>
      </c>
      <c r="E1293">
        <f t="shared" si="41"/>
        <v>1</v>
      </c>
      <c r="F1293" t="str">
        <f t="shared" si="42"/>
        <v/>
      </c>
      <c r="G1293">
        <f t="shared" si="42"/>
        <v>0.54381980819999998</v>
      </c>
    </row>
    <row r="1294" spans="1:7" x14ac:dyDescent="0.2">
      <c r="A1294" t="s">
        <v>2</v>
      </c>
      <c r="B1294">
        <v>0.104452606</v>
      </c>
      <c r="C1294">
        <v>0</v>
      </c>
      <c r="D1294">
        <f t="shared" si="41"/>
        <v>0</v>
      </c>
      <c r="E1294" t="str">
        <f t="shared" si="41"/>
        <v/>
      </c>
      <c r="F1294">
        <f t="shared" si="42"/>
        <v>0.104452606</v>
      </c>
      <c r="G1294" t="str">
        <f t="shared" si="42"/>
        <v/>
      </c>
    </row>
    <row r="1295" spans="1:7" x14ac:dyDescent="0.2">
      <c r="A1295" t="s">
        <v>2</v>
      </c>
      <c r="B1295">
        <v>0.53033159330000001</v>
      </c>
      <c r="C1295">
        <v>0</v>
      </c>
      <c r="D1295">
        <f t="shared" si="41"/>
        <v>0</v>
      </c>
      <c r="E1295" t="str">
        <f t="shared" si="41"/>
        <v/>
      </c>
      <c r="F1295">
        <f t="shared" si="42"/>
        <v>0.53033159330000001</v>
      </c>
      <c r="G1295" t="str">
        <f t="shared" si="42"/>
        <v/>
      </c>
    </row>
    <row r="1296" spans="1:7" x14ac:dyDescent="0.2">
      <c r="A1296" t="s">
        <v>2</v>
      </c>
      <c r="B1296">
        <v>0.40910602709999999</v>
      </c>
      <c r="C1296">
        <v>0</v>
      </c>
      <c r="D1296">
        <f t="shared" si="41"/>
        <v>0</v>
      </c>
      <c r="E1296" t="str">
        <f t="shared" si="41"/>
        <v/>
      </c>
      <c r="F1296">
        <f t="shared" si="42"/>
        <v>0.40910602709999999</v>
      </c>
      <c r="G1296" t="str">
        <f t="shared" si="42"/>
        <v/>
      </c>
    </row>
    <row r="1297" spans="1:7" x14ac:dyDescent="0.2">
      <c r="A1297" t="s">
        <v>2</v>
      </c>
      <c r="B1297">
        <v>0.49855977480000002</v>
      </c>
      <c r="C1297">
        <v>0</v>
      </c>
      <c r="D1297">
        <f t="shared" si="41"/>
        <v>0</v>
      </c>
      <c r="E1297" t="str">
        <f t="shared" si="41"/>
        <v/>
      </c>
      <c r="F1297">
        <f t="shared" si="42"/>
        <v>0.49855977480000002</v>
      </c>
      <c r="G1297" t="str">
        <f t="shared" si="42"/>
        <v/>
      </c>
    </row>
    <row r="1298" spans="1:7" x14ac:dyDescent="0.2">
      <c r="A1298" t="s">
        <v>0</v>
      </c>
      <c r="B1298">
        <v>0.55760050900000002</v>
      </c>
      <c r="C1298">
        <v>0</v>
      </c>
      <c r="D1298" t="str">
        <f t="shared" si="41"/>
        <v/>
      </c>
      <c r="E1298">
        <f t="shared" si="41"/>
        <v>0</v>
      </c>
      <c r="F1298" t="str">
        <f t="shared" si="42"/>
        <v/>
      </c>
      <c r="G1298">
        <f t="shared" si="42"/>
        <v>0.55760050900000002</v>
      </c>
    </row>
    <row r="1299" spans="1:7" x14ac:dyDescent="0.2">
      <c r="A1299" t="s">
        <v>2</v>
      </c>
      <c r="B1299">
        <v>0.46912022520000002</v>
      </c>
      <c r="C1299">
        <v>0</v>
      </c>
      <c r="D1299">
        <f t="shared" si="41"/>
        <v>0</v>
      </c>
      <c r="E1299" t="str">
        <f t="shared" si="41"/>
        <v/>
      </c>
      <c r="F1299">
        <f t="shared" si="42"/>
        <v>0.46912022520000002</v>
      </c>
      <c r="G1299" t="str">
        <f t="shared" si="42"/>
        <v/>
      </c>
    </row>
    <row r="1300" spans="1:7" x14ac:dyDescent="0.2">
      <c r="A1300" t="s">
        <v>2</v>
      </c>
      <c r="B1300">
        <v>0.63345317300000004</v>
      </c>
      <c r="C1300">
        <v>1</v>
      </c>
      <c r="D1300">
        <f t="shared" si="41"/>
        <v>1</v>
      </c>
      <c r="E1300" t="str">
        <f t="shared" si="41"/>
        <v/>
      </c>
      <c r="F1300">
        <f t="shared" si="42"/>
        <v>0.63345317300000004</v>
      </c>
      <c r="G1300" t="str">
        <f t="shared" si="42"/>
        <v/>
      </c>
    </row>
    <row r="1301" spans="1:7" x14ac:dyDescent="0.2">
      <c r="A1301" t="s">
        <v>2</v>
      </c>
      <c r="B1301">
        <v>0.32359755680000002</v>
      </c>
      <c r="C1301">
        <v>0</v>
      </c>
      <c r="D1301">
        <f t="shared" si="41"/>
        <v>0</v>
      </c>
      <c r="E1301" t="str">
        <f t="shared" si="41"/>
        <v/>
      </c>
      <c r="F1301">
        <f t="shared" si="42"/>
        <v>0.32359755680000002</v>
      </c>
      <c r="G1301" t="str">
        <f t="shared" si="42"/>
        <v/>
      </c>
    </row>
    <row r="1302" spans="1:7" x14ac:dyDescent="0.2">
      <c r="A1302" t="s">
        <v>2</v>
      </c>
      <c r="B1302">
        <v>0.57257680389999999</v>
      </c>
      <c r="C1302">
        <v>0</v>
      </c>
      <c r="D1302">
        <f t="shared" si="41"/>
        <v>0</v>
      </c>
      <c r="E1302" t="str">
        <f t="shared" si="41"/>
        <v/>
      </c>
      <c r="F1302">
        <f t="shared" si="42"/>
        <v>0.57257680389999999</v>
      </c>
      <c r="G1302" t="str">
        <f t="shared" si="42"/>
        <v/>
      </c>
    </row>
    <row r="1303" spans="1:7" x14ac:dyDescent="0.2">
      <c r="A1303" t="s">
        <v>2</v>
      </c>
      <c r="B1303">
        <v>0.38013202410000002</v>
      </c>
      <c r="C1303">
        <v>1</v>
      </c>
      <c r="D1303">
        <f t="shared" si="41"/>
        <v>1</v>
      </c>
      <c r="E1303" t="str">
        <f t="shared" si="41"/>
        <v/>
      </c>
      <c r="F1303">
        <f t="shared" si="42"/>
        <v>0.38013202410000002</v>
      </c>
      <c r="G1303" t="str">
        <f t="shared" si="42"/>
        <v/>
      </c>
    </row>
    <row r="1304" spans="1:7" x14ac:dyDescent="0.2">
      <c r="A1304" t="s">
        <v>0</v>
      </c>
      <c r="B1304">
        <v>0.39494179800000001</v>
      </c>
      <c r="C1304">
        <v>0</v>
      </c>
      <c r="D1304" t="str">
        <f t="shared" si="41"/>
        <v/>
      </c>
      <c r="E1304">
        <f t="shared" si="41"/>
        <v>0</v>
      </c>
      <c r="F1304" t="str">
        <f t="shared" si="42"/>
        <v/>
      </c>
      <c r="G1304">
        <f t="shared" si="42"/>
        <v>0.39494179800000001</v>
      </c>
    </row>
    <row r="1305" spans="1:7" x14ac:dyDescent="0.2">
      <c r="A1305" t="s">
        <v>2</v>
      </c>
      <c r="B1305">
        <v>0.782899385</v>
      </c>
      <c r="C1305">
        <v>1</v>
      </c>
      <c r="D1305">
        <f t="shared" si="41"/>
        <v>1</v>
      </c>
      <c r="E1305" t="str">
        <f t="shared" si="41"/>
        <v/>
      </c>
      <c r="F1305">
        <f t="shared" si="42"/>
        <v>0.782899385</v>
      </c>
      <c r="G1305" t="str">
        <f t="shared" si="42"/>
        <v/>
      </c>
    </row>
    <row r="1306" spans="1:7" x14ac:dyDescent="0.2">
      <c r="A1306" t="s">
        <v>2</v>
      </c>
      <c r="B1306">
        <v>0.54501273039999998</v>
      </c>
      <c r="C1306">
        <v>0</v>
      </c>
      <c r="D1306">
        <f t="shared" si="41"/>
        <v>0</v>
      </c>
      <c r="E1306" t="str">
        <f t="shared" si="41"/>
        <v/>
      </c>
      <c r="F1306">
        <f t="shared" si="42"/>
        <v>0.54501273039999998</v>
      </c>
      <c r="G1306" t="str">
        <f t="shared" si="42"/>
        <v/>
      </c>
    </row>
    <row r="1307" spans="1:7" x14ac:dyDescent="0.2">
      <c r="A1307" t="s">
        <v>2</v>
      </c>
      <c r="B1307">
        <v>0.63061990359999998</v>
      </c>
      <c r="C1307">
        <v>0</v>
      </c>
      <c r="D1307">
        <f t="shared" si="41"/>
        <v>0</v>
      </c>
      <c r="E1307" t="str">
        <f t="shared" si="41"/>
        <v/>
      </c>
      <c r="F1307">
        <f t="shared" si="42"/>
        <v>0.63061990359999998</v>
      </c>
      <c r="G1307" t="str">
        <f t="shared" si="42"/>
        <v/>
      </c>
    </row>
    <row r="1308" spans="1:7" x14ac:dyDescent="0.2">
      <c r="A1308" t="s">
        <v>2</v>
      </c>
      <c r="B1308">
        <v>0.71253111869999997</v>
      </c>
      <c r="C1308">
        <v>0</v>
      </c>
      <c r="D1308">
        <f t="shared" si="41"/>
        <v>0</v>
      </c>
      <c r="E1308" t="str">
        <f t="shared" si="41"/>
        <v/>
      </c>
      <c r="F1308">
        <f t="shared" si="42"/>
        <v>0.71253111869999997</v>
      </c>
      <c r="G1308" t="str">
        <f t="shared" si="42"/>
        <v/>
      </c>
    </row>
    <row r="1309" spans="1:7" x14ac:dyDescent="0.2">
      <c r="A1309" t="s">
        <v>2</v>
      </c>
      <c r="B1309">
        <v>0.71103709690000005</v>
      </c>
      <c r="C1309">
        <v>0</v>
      </c>
      <c r="D1309">
        <f t="shared" si="41"/>
        <v>0</v>
      </c>
      <c r="E1309" t="str">
        <f t="shared" si="41"/>
        <v/>
      </c>
      <c r="F1309">
        <f t="shared" si="42"/>
        <v>0.71103709690000005</v>
      </c>
      <c r="G1309" t="str">
        <f t="shared" si="42"/>
        <v/>
      </c>
    </row>
    <row r="1310" spans="1:7" x14ac:dyDescent="0.2">
      <c r="A1310" t="s">
        <v>0</v>
      </c>
      <c r="B1310">
        <v>0.51748465850000003</v>
      </c>
      <c r="C1310">
        <v>0</v>
      </c>
      <c r="D1310" t="str">
        <f t="shared" si="41"/>
        <v/>
      </c>
      <c r="E1310">
        <f t="shared" si="41"/>
        <v>0</v>
      </c>
      <c r="F1310" t="str">
        <f t="shared" si="42"/>
        <v/>
      </c>
      <c r="G1310">
        <f t="shared" si="42"/>
        <v>0.51748465850000003</v>
      </c>
    </row>
    <row r="1311" spans="1:7" x14ac:dyDescent="0.2">
      <c r="A1311" t="s">
        <v>0</v>
      </c>
      <c r="B1311">
        <v>0.48065822050000001</v>
      </c>
      <c r="C1311">
        <v>0</v>
      </c>
      <c r="D1311" t="str">
        <f t="shared" si="41"/>
        <v/>
      </c>
      <c r="E1311">
        <f t="shared" si="41"/>
        <v>0</v>
      </c>
      <c r="F1311" t="str">
        <f t="shared" si="42"/>
        <v/>
      </c>
      <c r="G1311">
        <f t="shared" si="42"/>
        <v>0.48065822050000001</v>
      </c>
    </row>
    <row r="1312" spans="1:7" x14ac:dyDescent="0.2">
      <c r="A1312" t="s">
        <v>2</v>
      </c>
      <c r="B1312">
        <v>0.71396268969999999</v>
      </c>
      <c r="C1312">
        <v>1</v>
      </c>
      <c r="D1312">
        <f t="shared" si="41"/>
        <v>1</v>
      </c>
      <c r="E1312" t="str">
        <f t="shared" si="41"/>
        <v/>
      </c>
      <c r="F1312">
        <f t="shared" si="42"/>
        <v>0.71396268969999999</v>
      </c>
      <c r="G1312" t="str">
        <f t="shared" si="42"/>
        <v/>
      </c>
    </row>
    <row r="1313" spans="1:7" x14ac:dyDescent="0.2">
      <c r="A1313" t="s">
        <v>2</v>
      </c>
      <c r="B1313">
        <v>0.1619288351</v>
      </c>
      <c r="C1313">
        <v>0</v>
      </c>
      <c r="D1313">
        <f t="shared" si="41"/>
        <v>0</v>
      </c>
      <c r="E1313" t="str">
        <f t="shared" si="41"/>
        <v/>
      </c>
      <c r="F1313">
        <f t="shared" si="42"/>
        <v>0.1619288351</v>
      </c>
      <c r="G1313" t="str">
        <f t="shared" si="42"/>
        <v/>
      </c>
    </row>
    <row r="1314" spans="1:7" x14ac:dyDescent="0.2">
      <c r="A1314" t="s">
        <v>0</v>
      </c>
      <c r="B1314">
        <v>0.67746109639999996</v>
      </c>
      <c r="C1314">
        <v>0</v>
      </c>
      <c r="D1314" t="str">
        <f t="shared" si="41"/>
        <v/>
      </c>
      <c r="E1314">
        <f t="shared" si="41"/>
        <v>0</v>
      </c>
      <c r="F1314" t="str">
        <f t="shared" si="42"/>
        <v/>
      </c>
      <c r="G1314">
        <f t="shared" si="42"/>
        <v>0.67746109639999996</v>
      </c>
    </row>
    <row r="1315" spans="1:7" x14ac:dyDescent="0.2">
      <c r="A1315" t="s">
        <v>2</v>
      </c>
      <c r="B1315">
        <v>0.65000931380000004</v>
      </c>
      <c r="C1315">
        <v>1</v>
      </c>
      <c r="D1315">
        <f t="shared" si="41"/>
        <v>1</v>
      </c>
      <c r="E1315" t="str">
        <f t="shared" si="41"/>
        <v/>
      </c>
      <c r="F1315">
        <f t="shared" si="42"/>
        <v>0.65000931380000004</v>
      </c>
      <c r="G1315" t="str">
        <f t="shared" si="42"/>
        <v/>
      </c>
    </row>
    <row r="1316" spans="1:7" x14ac:dyDescent="0.2">
      <c r="A1316" t="s">
        <v>2</v>
      </c>
      <c r="B1316">
        <v>0.1823518026</v>
      </c>
      <c r="C1316">
        <v>0</v>
      </c>
      <c r="D1316">
        <f t="shared" si="41"/>
        <v>0</v>
      </c>
      <c r="E1316" t="str">
        <f t="shared" si="41"/>
        <v/>
      </c>
      <c r="F1316">
        <f t="shared" si="42"/>
        <v>0.1823518026</v>
      </c>
      <c r="G1316" t="str">
        <f t="shared" si="42"/>
        <v/>
      </c>
    </row>
    <row r="1317" spans="1:7" x14ac:dyDescent="0.2">
      <c r="A1317" t="s">
        <v>2</v>
      </c>
      <c r="B1317">
        <v>0.51360836970000001</v>
      </c>
      <c r="C1317">
        <v>0</v>
      </c>
      <c r="D1317">
        <f t="shared" si="41"/>
        <v>0</v>
      </c>
      <c r="E1317" t="str">
        <f t="shared" si="41"/>
        <v/>
      </c>
      <c r="F1317">
        <f t="shared" si="42"/>
        <v>0.51360836970000001</v>
      </c>
      <c r="G1317" t="str">
        <f t="shared" si="42"/>
        <v/>
      </c>
    </row>
    <row r="1318" spans="1:7" x14ac:dyDescent="0.2">
      <c r="A1318" t="s">
        <v>2</v>
      </c>
      <c r="B1318">
        <v>0.2845326077</v>
      </c>
      <c r="C1318">
        <v>1</v>
      </c>
      <c r="D1318">
        <f t="shared" si="41"/>
        <v>1</v>
      </c>
      <c r="E1318" t="str">
        <f t="shared" si="41"/>
        <v/>
      </c>
      <c r="F1318">
        <f t="shared" si="42"/>
        <v>0.2845326077</v>
      </c>
      <c r="G1318" t="str">
        <f t="shared" si="42"/>
        <v/>
      </c>
    </row>
    <row r="1319" spans="1:7" x14ac:dyDescent="0.2">
      <c r="A1319" t="s">
        <v>2</v>
      </c>
      <c r="B1319">
        <v>0.82132552189999997</v>
      </c>
      <c r="C1319">
        <v>1</v>
      </c>
      <c r="D1319">
        <f t="shared" si="41"/>
        <v>1</v>
      </c>
      <c r="E1319" t="str">
        <f t="shared" si="41"/>
        <v/>
      </c>
      <c r="F1319">
        <f t="shared" si="42"/>
        <v>0.82132552189999997</v>
      </c>
      <c r="G1319" t="str">
        <f t="shared" si="42"/>
        <v/>
      </c>
    </row>
    <row r="1320" spans="1:7" x14ac:dyDescent="0.2">
      <c r="A1320" t="s">
        <v>0</v>
      </c>
      <c r="B1320">
        <v>0.18443896069999999</v>
      </c>
      <c r="C1320">
        <v>0</v>
      </c>
      <c r="D1320" t="str">
        <f t="shared" si="41"/>
        <v/>
      </c>
      <c r="E1320">
        <f t="shared" si="41"/>
        <v>0</v>
      </c>
      <c r="F1320" t="str">
        <f t="shared" si="42"/>
        <v/>
      </c>
      <c r="G1320">
        <f t="shared" si="42"/>
        <v>0.18443896069999999</v>
      </c>
    </row>
    <row r="1321" spans="1:7" x14ac:dyDescent="0.2">
      <c r="A1321" t="s">
        <v>0</v>
      </c>
      <c r="B1321">
        <v>0.39587394850000002</v>
      </c>
      <c r="C1321">
        <v>0</v>
      </c>
      <c r="D1321" t="str">
        <f t="shared" si="41"/>
        <v/>
      </c>
      <c r="E1321">
        <f t="shared" si="41"/>
        <v>0</v>
      </c>
      <c r="F1321" t="str">
        <f t="shared" si="42"/>
        <v/>
      </c>
      <c r="G1321">
        <f t="shared" si="42"/>
        <v>0.39587394850000002</v>
      </c>
    </row>
    <row r="1322" spans="1:7" x14ac:dyDescent="0.2">
      <c r="A1322" t="s">
        <v>0</v>
      </c>
      <c r="B1322">
        <v>0.51128306810000002</v>
      </c>
      <c r="C1322">
        <v>0</v>
      </c>
      <c r="D1322" t="str">
        <f t="shared" si="41"/>
        <v/>
      </c>
      <c r="E1322">
        <f t="shared" si="41"/>
        <v>0</v>
      </c>
      <c r="F1322" t="str">
        <f t="shared" si="42"/>
        <v/>
      </c>
      <c r="G1322">
        <f t="shared" si="42"/>
        <v>0.51128306810000002</v>
      </c>
    </row>
    <row r="1323" spans="1:7" x14ac:dyDescent="0.2">
      <c r="A1323" t="s">
        <v>2</v>
      </c>
      <c r="B1323">
        <v>0.35311678079999997</v>
      </c>
      <c r="C1323">
        <v>0</v>
      </c>
      <c r="D1323">
        <f t="shared" ref="D1323:E1386" si="43">IF($A1323=D$1,$C1323,"")</f>
        <v>0</v>
      </c>
      <c r="E1323" t="str">
        <f t="shared" si="43"/>
        <v/>
      </c>
      <c r="F1323">
        <f t="shared" ref="F1323:G1386" si="44">IF($A1323=F$1,$B1323,"")</f>
        <v>0.35311678079999997</v>
      </c>
      <c r="G1323" t="str">
        <f t="shared" si="44"/>
        <v/>
      </c>
    </row>
    <row r="1324" spans="1:7" x14ac:dyDescent="0.2">
      <c r="A1324" t="s">
        <v>0</v>
      </c>
      <c r="B1324">
        <v>0.32053204400000002</v>
      </c>
      <c r="C1324">
        <v>1</v>
      </c>
      <c r="D1324" t="str">
        <f t="shared" si="43"/>
        <v/>
      </c>
      <c r="E1324">
        <f t="shared" si="43"/>
        <v>1</v>
      </c>
      <c r="F1324" t="str">
        <f t="shared" si="44"/>
        <v/>
      </c>
      <c r="G1324">
        <f t="shared" si="44"/>
        <v>0.32053204400000002</v>
      </c>
    </row>
    <row r="1325" spans="1:7" x14ac:dyDescent="0.2">
      <c r="A1325" t="s">
        <v>0</v>
      </c>
      <c r="B1325">
        <v>0.51004827149999998</v>
      </c>
      <c r="C1325">
        <v>1</v>
      </c>
      <c r="D1325" t="str">
        <f t="shared" si="43"/>
        <v/>
      </c>
      <c r="E1325">
        <f t="shared" si="43"/>
        <v>1</v>
      </c>
      <c r="F1325" t="str">
        <f t="shared" si="44"/>
        <v/>
      </c>
      <c r="G1325">
        <f t="shared" si="44"/>
        <v>0.51004827149999998</v>
      </c>
    </row>
    <row r="1326" spans="1:7" x14ac:dyDescent="0.2">
      <c r="A1326" t="s">
        <v>0</v>
      </c>
      <c r="B1326">
        <v>0.31751042419999997</v>
      </c>
      <c r="C1326">
        <v>0</v>
      </c>
      <c r="D1326" t="str">
        <f t="shared" si="43"/>
        <v/>
      </c>
      <c r="E1326">
        <f t="shared" si="43"/>
        <v>0</v>
      </c>
      <c r="F1326" t="str">
        <f t="shared" si="44"/>
        <v/>
      </c>
      <c r="G1326">
        <f t="shared" si="44"/>
        <v>0.31751042419999997</v>
      </c>
    </row>
    <row r="1327" spans="1:7" x14ac:dyDescent="0.2">
      <c r="A1327" t="s">
        <v>2</v>
      </c>
      <c r="B1327">
        <v>0.61159042279999998</v>
      </c>
      <c r="C1327">
        <v>1</v>
      </c>
      <c r="D1327">
        <f t="shared" si="43"/>
        <v>1</v>
      </c>
      <c r="E1327" t="str">
        <f t="shared" si="43"/>
        <v/>
      </c>
      <c r="F1327">
        <f t="shared" si="44"/>
        <v>0.61159042279999998</v>
      </c>
      <c r="G1327" t="str">
        <f t="shared" si="44"/>
        <v/>
      </c>
    </row>
    <row r="1328" spans="1:7" x14ac:dyDescent="0.2">
      <c r="A1328" t="s">
        <v>0</v>
      </c>
      <c r="B1328">
        <v>0.47590771199999998</v>
      </c>
      <c r="C1328">
        <v>1</v>
      </c>
      <c r="D1328" t="str">
        <f t="shared" si="43"/>
        <v/>
      </c>
      <c r="E1328">
        <f t="shared" si="43"/>
        <v>1</v>
      </c>
      <c r="F1328" t="str">
        <f t="shared" si="44"/>
        <v/>
      </c>
      <c r="G1328">
        <f t="shared" si="44"/>
        <v>0.47590771199999998</v>
      </c>
    </row>
    <row r="1329" spans="1:7" x14ac:dyDescent="0.2">
      <c r="A1329" t="s">
        <v>2</v>
      </c>
      <c r="B1329">
        <v>0.33191652240000002</v>
      </c>
      <c r="C1329">
        <v>0</v>
      </c>
      <c r="D1329">
        <f t="shared" si="43"/>
        <v>0</v>
      </c>
      <c r="E1329" t="str">
        <f t="shared" si="43"/>
        <v/>
      </c>
      <c r="F1329">
        <f t="shared" si="44"/>
        <v>0.33191652240000002</v>
      </c>
      <c r="G1329" t="str">
        <f t="shared" si="44"/>
        <v/>
      </c>
    </row>
    <row r="1330" spans="1:7" x14ac:dyDescent="0.2">
      <c r="A1330" t="s">
        <v>0</v>
      </c>
      <c r="B1330">
        <v>0.21631854710000001</v>
      </c>
      <c r="C1330">
        <v>1</v>
      </c>
      <c r="D1330" t="str">
        <f t="shared" si="43"/>
        <v/>
      </c>
      <c r="E1330">
        <f t="shared" si="43"/>
        <v>1</v>
      </c>
      <c r="F1330" t="str">
        <f t="shared" si="44"/>
        <v/>
      </c>
      <c r="G1330">
        <f t="shared" si="44"/>
        <v>0.21631854710000001</v>
      </c>
    </row>
    <row r="1331" spans="1:7" x14ac:dyDescent="0.2">
      <c r="A1331" t="s">
        <v>2</v>
      </c>
      <c r="B1331">
        <v>0.54579612089999996</v>
      </c>
      <c r="C1331">
        <v>0</v>
      </c>
      <c r="D1331">
        <f t="shared" si="43"/>
        <v>0</v>
      </c>
      <c r="E1331" t="str">
        <f t="shared" si="43"/>
        <v/>
      </c>
      <c r="F1331">
        <f t="shared" si="44"/>
        <v>0.54579612089999996</v>
      </c>
      <c r="G1331" t="str">
        <f t="shared" si="44"/>
        <v/>
      </c>
    </row>
    <row r="1332" spans="1:7" x14ac:dyDescent="0.2">
      <c r="A1332" t="s">
        <v>2</v>
      </c>
      <c r="B1332">
        <v>0.1079612378</v>
      </c>
      <c r="C1332">
        <v>0</v>
      </c>
      <c r="D1332">
        <f t="shared" si="43"/>
        <v>0</v>
      </c>
      <c r="E1332" t="str">
        <f t="shared" si="43"/>
        <v/>
      </c>
      <c r="F1332">
        <f t="shared" si="44"/>
        <v>0.1079612378</v>
      </c>
      <c r="G1332" t="str">
        <f t="shared" si="44"/>
        <v/>
      </c>
    </row>
    <row r="1333" spans="1:7" x14ac:dyDescent="0.2">
      <c r="A1333" t="s">
        <v>2</v>
      </c>
      <c r="B1333">
        <v>0.54225384769999996</v>
      </c>
      <c r="C1333">
        <v>1</v>
      </c>
      <c r="D1333">
        <f t="shared" si="43"/>
        <v>1</v>
      </c>
      <c r="E1333" t="str">
        <f t="shared" si="43"/>
        <v/>
      </c>
      <c r="F1333">
        <f t="shared" si="44"/>
        <v>0.54225384769999996</v>
      </c>
      <c r="G1333" t="str">
        <f t="shared" si="44"/>
        <v/>
      </c>
    </row>
    <row r="1334" spans="1:7" x14ac:dyDescent="0.2">
      <c r="A1334" t="s">
        <v>2</v>
      </c>
      <c r="B1334">
        <v>0.25271935950000002</v>
      </c>
      <c r="C1334">
        <v>0</v>
      </c>
      <c r="D1334">
        <f t="shared" si="43"/>
        <v>0</v>
      </c>
      <c r="E1334" t="str">
        <f t="shared" si="43"/>
        <v/>
      </c>
      <c r="F1334">
        <f t="shared" si="44"/>
        <v>0.25271935950000002</v>
      </c>
      <c r="G1334" t="str">
        <f t="shared" si="44"/>
        <v/>
      </c>
    </row>
    <row r="1335" spans="1:7" x14ac:dyDescent="0.2">
      <c r="A1335" t="s">
        <v>0</v>
      </c>
      <c r="B1335">
        <v>0.18111583549999999</v>
      </c>
      <c r="C1335">
        <v>1</v>
      </c>
      <c r="D1335" t="str">
        <f t="shared" si="43"/>
        <v/>
      </c>
      <c r="E1335">
        <f t="shared" si="43"/>
        <v>1</v>
      </c>
      <c r="F1335" t="str">
        <f t="shared" si="44"/>
        <v/>
      </c>
      <c r="G1335">
        <f t="shared" si="44"/>
        <v>0.18111583549999999</v>
      </c>
    </row>
    <row r="1336" spans="1:7" x14ac:dyDescent="0.2">
      <c r="A1336" t="s">
        <v>2</v>
      </c>
      <c r="B1336">
        <v>0.63345317300000004</v>
      </c>
      <c r="C1336">
        <v>1</v>
      </c>
      <c r="D1336">
        <f t="shared" si="43"/>
        <v>1</v>
      </c>
      <c r="E1336" t="str">
        <f t="shared" si="43"/>
        <v/>
      </c>
      <c r="F1336">
        <f t="shared" si="44"/>
        <v>0.63345317300000004</v>
      </c>
      <c r="G1336" t="str">
        <f t="shared" si="44"/>
        <v/>
      </c>
    </row>
    <row r="1337" spans="1:7" x14ac:dyDescent="0.2">
      <c r="A1337" t="s">
        <v>2</v>
      </c>
      <c r="B1337">
        <v>0.18376234659999999</v>
      </c>
      <c r="C1337">
        <v>0</v>
      </c>
      <c r="D1337">
        <f t="shared" si="43"/>
        <v>0</v>
      </c>
      <c r="E1337" t="str">
        <f t="shared" si="43"/>
        <v/>
      </c>
      <c r="F1337">
        <f t="shared" si="44"/>
        <v>0.18376234659999999</v>
      </c>
      <c r="G1337" t="str">
        <f t="shared" si="44"/>
        <v/>
      </c>
    </row>
    <row r="1338" spans="1:7" x14ac:dyDescent="0.2">
      <c r="A1338" t="s">
        <v>2</v>
      </c>
      <c r="B1338">
        <v>0.60294301189999999</v>
      </c>
      <c r="C1338">
        <v>0</v>
      </c>
      <c r="D1338">
        <f t="shared" si="43"/>
        <v>0</v>
      </c>
      <c r="E1338" t="str">
        <f t="shared" si="43"/>
        <v/>
      </c>
      <c r="F1338">
        <f t="shared" si="44"/>
        <v>0.60294301189999999</v>
      </c>
      <c r="G1338" t="str">
        <f t="shared" si="44"/>
        <v/>
      </c>
    </row>
    <row r="1339" spans="1:7" x14ac:dyDescent="0.2">
      <c r="A1339" t="s">
        <v>2</v>
      </c>
      <c r="B1339">
        <v>0.18935247699999999</v>
      </c>
      <c r="C1339">
        <v>0</v>
      </c>
      <c r="D1339">
        <f t="shared" si="43"/>
        <v>0</v>
      </c>
      <c r="E1339" t="str">
        <f t="shared" si="43"/>
        <v/>
      </c>
      <c r="F1339">
        <f t="shared" si="44"/>
        <v>0.18935247699999999</v>
      </c>
      <c r="G1339" t="str">
        <f t="shared" si="44"/>
        <v/>
      </c>
    </row>
    <row r="1340" spans="1:7" x14ac:dyDescent="0.2">
      <c r="A1340" t="s">
        <v>2</v>
      </c>
      <c r="B1340">
        <v>0.46925218410000002</v>
      </c>
      <c r="C1340">
        <v>0</v>
      </c>
      <c r="D1340">
        <f t="shared" si="43"/>
        <v>0</v>
      </c>
      <c r="E1340" t="str">
        <f t="shared" si="43"/>
        <v/>
      </c>
      <c r="F1340">
        <f t="shared" si="44"/>
        <v>0.46925218410000002</v>
      </c>
      <c r="G1340" t="str">
        <f t="shared" si="44"/>
        <v/>
      </c>
    </row>
    <row r="1341" spans="1:7" x14ac:dyDescent="0.2">
      <c r="A1341" t="s">
        <v>0</v>
      </c>
      <c r="B1341">
        <v>0.42336011470000001</v>
      </c>
      <c r="C1341">
        <v>1</v>
      </c>
      <c r="D1341" t="str">
        <f t="shared" si="43"/>
        <v/>
      </c>
      <c r="E1341">
        <f t="shared" si="43"/>
        <v>1</v>
      </c>
      <c r="F1341" t="str">
        <f t="shared" si="44"/>
        <v/>
      </c>
      <c r="G1341">
        <f t="shared" si="44"/>
        <v>0.42336011470000001</v>
      </c>
    </row>
    <row r="1342" spans="1:7" x14ac:dyDescent="0.2">
      <c r="A1342" t="s">
        <v>2</v>
      </c>
      <c r="B1342">
        <v>0.52549611860000001</v>
      </c>
      <c r="C1342">
        <v>0</v>
      </c>
      <c r="D1342">
        <f t="shared" si="43"/>
        <v>0</v>
      </c>
      <c r="E1342" t="str">
        <f t="shared" si="43"/>
        <v/>
      </c>
      <c r="F1342">
        <f t="shared" si="44"/>
        <v>0.52549611860000001</v>
      </c>
      <c r="G1342" t="str">
        <f t="shared" si="44"/>
        <v/>
      </c>
    </row>
    <row r="1343" spans="1:7" x14ac:dyDescent="0.2">
      <c r="A1343" t="s">
        <v>2</v>
      </c>
      <c r="B1343">
        <v>0.4930834784</v>
      </c>
      <c r="C1343">
        <v>1</v>
      </c>
      <c r="D1343">
        <f t="shared" si="43"/>
        <v>1</v>
      </c>
      <c r="E1343" t="str">
        <f t="shared" si="43"/>
        <v/>
      </c>
      <c r="F1343">
        <f t="shared" si="44"/>
        <v>0.4930834784</v>
      </c>
      <c r="G1343" t="str">
        <f t="shared" si="44"/>
        <v/>
      </c>
    </row>
    <row r="1344" spans="1:7" x14ac:dyDescent="0.2">
      <c r="A1344" t="s">
        <v>2</v>
      </c>
      <c r="B1344">
        <v>0.56391642799999997</v>
      </c>
      <c r="C1344">
        <v>0</v>
      </c>
      <c r="D1344">
        <f t="shared" si="43"/>
        <v>0</v>
      </c>
      <c r="E1344" t="str">
        <f t="shared" si="43"/>
        <v/>
      </c>
      <c r="F1344">
        <f t="shared" si="44"/>
        <v>0.56391642799999997</v>
      </c>
      <c r="G1344" t="str">
        <f t="shared" si="44"/>
        <v/>
      </c>
    </row>
    <row r="1345" spans="1:7" x14ac:dyDescent="0.2">
      <c r="A1345" t="s">
        <v>2</v>
      </c>
      <c r="B1345">
        <v>0.66078433660000002</v>
      </c>
      <c r="C1345">
        <v>1</v>
      </c>
      <c r="D1345">
        <f t="shared" si="43"/>
        <v>1</v>
      </c>
      <c r="E1345" t="str">
        <f t="shared" si="43"/>
        <v/>
      </c>
      <c r="F1345">
        <f t="shared" si="44"/>
        <v>0.66078433660000002</v>
      </c>
      <c r="G1345" t="str">
        <f t="shared" si="44"/>
        <v/>
      </c>
    </row>
    <row r="1346" spans="1:7" x14ac:dyDescent="0.2">
      <c r="A1346" t="s">
        <v>2</v>
      </c>
      <c r="B1346">
        <v>0.5449359909</v>
      </c>
      <c r="C1346">
        <v>1</v>
      </c>
      <c r="D1346">
        <f t="shared" si="43"/>
        <v>1</v>
      </c>
      <c r="E1346" t="str">
        <f t="shared" si="43"/>
        <v/>
      </c>
      <c r="F1346">
        <f t="shared" si="44"/>
        <v>0.5449359909</v>
      </c>
      <c r="G1346" t="str">
        <f t="shared" si="44"/>
        <v/>
      </c>
    </row>
    <row r="1347" spans="1:7" x14ac:dyDescent="0.2">
      <c r="A1347" t="s">
        <v>2</v>
      </c>
      <c r="B1347">
        <v>0.1843030041</v>
      </c>
      <c r="C1347">
        <v>0</v>
      </c>
      <c r="D1347">
        <f t="shared" si="43"/>
        <v>0</v>
      </c>
      <c r="E1347" t="str">
        <f t="shared" si="43"/>
        <v/>
      </c>
      <c r="F1347">
        <f t="shared" si="44"/>
        <v>0.1843030041</v>
      </c>
      <c r="G1347" t="str">
        <f t="shared" si="44"/>
        <v/>
      </c>
    </row>
    <row r="1348" spans="1:7" x14ac:dyDescent="0.2">
      <c r="A1348" t="s">
        <v>2</v>
      </c>
      <c r="B1348">
        <v>0.35326917889999998</v>
      </c>
      <c r="C1348">
        <v>0</v>
      </c>
      <c r="D1348">
        <f t="shared" si="43"/>
        <v>0</v>
      </c>
      <c r="E1348" t="str">
        <f t="shared" si="43"/>
        <v/>
      </c>
      <c r="F1348">
        <f t="shared" si="44"/>
        <v>0.35326917889999998</v>
      </c>
      <c r="G1348" t="str">
        <f t="shared" si="44"/>
        <v/>
      </c>
    </row>
    <row r="1349" spans="1:7" x14ac:dyDescent="0.2">
      <c r="A1349" t="s">
        <v>0</v>
      </c>
      <c r="B1349">
        <v>0.14144718049999999</v>
      </c>
      <c r="C1349">
        <v>0</v>
      </c>
      <c r="D1349" t="str">
        <f t="shared" si="43"/>
        <v/>
      </c>
      <c r="E1349">
        <f t="shared" si="43"/>
        <v>0</v>
      </c>
      <c r="F1349" t="str">
        <f t="shared" si="44"/>
        <v/>
      </c>
      <c r="G1349">
        <f t="shared" si="44"/>
        <v>0.14144718049999999</v>
      </c>
    </row>
    <row r="1350" spans="1:7" x14ac:dyDescent="0.2">
      <c r="A1350" t="s">
        <v>0</v>
      </c>
      <c r="B1350">
        <v>0.66392858460000004</v>
      </c>
      <c r="C1350">
        <v>1</v>
      </c>
      <c r="D1350" t="str">
        <f t="shared" si="43"/>
        <v/>
      </c>
      <c r="E1350">
        <f t="shared" si="43"/>
        <v>1</v>
      </c>
      <c r="F1350" t="str">
        <f t="shared" si="44"/>
        <v/>
      </c>
      <c r="G1350">
        <f t="shared" si="44"/>
        <v>0.66392858460000004</v>
      </c>
    </row>
    <row r="1351" spans="1:7" x14ac:dyDescent="0.2">
      <c r="A1351" t="s">
        <v>2</v>
      </c>
      <c r="B1351">
        <v>0.65205017570000001</v>
      </c>
      <c r="C1351">
        <v>1</v>
      </c>
      <c r="D1351">
        <f t="shared" si="43"/>
        <v>1</v>
      </c>
      <c r="E1351" t="str">
        <f t="shared" si="43"/>
        <v/>
      </c>
      <c r="F1351">
        <f t="shared" si="44"/>
        <v>0.65205017570000001</v>
      </c>
      <c r="G1351" t="str">
        <f t="shared" si="44"/>
        <v/>
      </c>
    </row>
    <row r="1352" spans="1:7" x14ac:dyDescent="0.2">
      <c r="A1352" t="s">
        <v>0</v>
      </c>
      <c r="B1352">
        <v>0.74777944370000005</v>
      </c>
      <c r="C1352">
        <v>0</v>
      </c>
      <c r="D1352" t="str">
        <f t="shared" si="43"/>
        <v/>
      </c>
      <c r="E1352">
        <f t="shared" si="43"/>
        <v>0</v>
      </c>
      <c r="F1352" t="str">
        <f t="shared" si="44"/>
        <v/>
      </c>
      <c r="G1352">
        <f t="shared" si="44"/>
        <v>0.74777944370000005</v>
      </c>
    </row>
    <row r="1353" spans="1:7" x14ac:dyDescent="0.2">
      <c r="A1353" t="s">
        <v>2</v>
      </c>
      <c r="B1353">
        <v>0.86005766319999999</v>
      </c>
      <c r="C1353">
        <v>1</v>
      </c>
      <c r="D1353">
        <f t="shared" si="43"/>
        <v>1</v>
      </c>
      <c r="E1353" t="str">
        <f t="shared" si="43"/>
        <v/>
      </c>
      <c r="F1353">
        <f t="shared" si="44"/>
        <v>0.86005766319999999</v>
      </c>
      <c r="G1353" t="str">
        <f t="shared" si="44"/>
        <v/>
      </c>
    </row>
    <row r="1354" spans="1:7" x14ac:dyDescent="0.2">
      <c r="A1354" t="s">
        <v>2</v>
      </c>
      <c r="B1354">
        <v>0.67695568939999995</v>
      </c>
      <c r="C1354">
        <v>0</v>
      </c>
      <c r="D1354">
        <f t="shared" si="43"/>
        <v>0</v>
      </c>
      <c r="E1354" t="str">
        <f t="shared" si="43"/>
        <v/>
      </c>
      <c r="F1354">
        <f t="shared" si="44"/>
        <v>0.67695568939999995</v>
      </c>
      <c r="G1354" t="str">
        <f t="shared" si="44"/>
        <v/>
      </c>
    </row>
    <row r="1355" spans="1:7" x14ac:dyDescent="0.2">
      <c r="A1355" t="s">
        <v>2</v>
      </c>
      <c r="B1355">
        <v>0.1269327556</v>
      </c>
      <c r="C1355">
        <v>0</v>
      </c>
      <c r="D1355">
        <f t="shared" si="43"/>
        <v>0</v>
      </c>
      <c r="E1355" t="str">
        <f t="shared" si="43"/>
        <v/>
      </c>
      <c r="F1355">
        <f t="shared" si="44"/>
        <v>0.1269327556</v>
      </c>
      <c r="G1355" t="str">
        <f t="shared" si="44"/>
        <v/>
      </c>
    </row>
    <row r="1356" spans="1:7" x14ac:dyDescent="0.2">
      <c r="A1356" t="s">
        <v>2</v>
      </c>
      <c r="B1356">
        <v>0.1149998309</v>
      </c>
      <c r="C1356">
        <v>0</v>
      </c>
      <c r="D1356">
        <f t="shared" si="43"/>
        <v>0</v>
      </c>
      <c r="E1356" t="str">
        <f t="shared" si="43"/>
        <v/>
      </c>
      <c r="F1356">
        <f t="shared" si="44"/>
        <v>0.1149998309</v>
      </c>
      <c r="G1356" t="str">
        <f t="shared" si="44"/>
        <v/>
      </c>
    </row>
    <row r="1357" spans="1:7" x14ac:dyDescent="0.2">
      <c r="A1357" t="s">
        <v>0</v>
      </c>
      <c r="B1357">
        <v>0.40525173209999998</v>
      </c>
      <c r="C1357">
        <v>0</v>
      </c>
      <c r="D1357" t="str">
        <f t="shared" si="43"/>
        <v/>
      </c>
      <c r="E1357">
        <f t="shared" si="43"/>
        <v>0</v>
      </c>
      <c r="F1357" t="str">
        <f t="shared" si="44"/>
        <v/>
      </c>
      <c r="G1357">
        <f t="shared" si="44"/>
        <v>0.40525173209999998</v>
      </c>
    </row>
    <row r="1358" spans="1:7" x14ac:dyDescent="0.2">
      <c r="A1358" t="s">
        <v>0</v>
      </c>
      <c r="B1358">
        <v>0.5491624624</v>
      </c>
      <c r="C1358">
        <v>1</v>
      </c>
      <c r="D1358" t="str">
        <f t="shared" si="43"/>
        <v/>
      </c>
      <c r="E1358">
        <f t="shared" si="43"/>
        <v>1</v>
      </c>
      <c r="F1358" t="str">
        <f t="shared" si="44"/>
        <v/>
      </c>
      <c r="G1358">
        <f t="shared" si="44"/>
        <v>0.5491624624</v>
      </c>
    </row>
    <row r="1359" spans="1:7" x14ac:dyDescent="0.2">
      <c r="A1359" t="s">
        <v>2</v>
      </c>
      <c r="B1359">
        <v>0.79101759049999998</v>
      </c>
      <c r="C1359">
        <v>1</v>
      </c>
      <c r="D1359">
        <f t="shared" si="43"/>
        <v>1</v>
      </c>
      <c r="E1359" t="str">
        <f t="shared" si="43"/>
        <v/>
      </c>
      <c r="F1359">
        <f t="shared" si="44"/>
        <v>0.79101759049999998</v>
      </c>
      <c r="G1359" t="str">
        <f t="shared" si="44"/>
        <v/>
      </c>
    </row>
    <row r="1360" spans="1:7" x14ac:dyDescent="0.2">
      <c r="A1360" t="s">
        <v>0</v>
      </c>
      <c r="B1360">
        <v>0.3024260674</v>
      </c>
      <c r="C1360">
        <v>0</v>
      </c>
      <c r="D1360" t="str">
        <f t="shared" si="43"/>
        <v/>
      </c>
      <c r="E1360">
        <f t="shared" si="43"/>
        <v>0</v>
      </c>
      <c r="F1360" t="str">
        <f t="shared" si="44"/>
        <v/>
      </c>
      <c r="G1360">
        <f t="shared" si="44"/>
        <v>0.3024260674</v>
      </c>
    </row>
    <row r="1361" spans="1:7" x14ac:dyDescent="0.2">
      <c r="A1361" t="s">
        <v>2</v>
      </c>
      <c r="B1361">
        <v>0.73870354680000005</v>
      </c>
      <c r="C1361">
        <v>1</v>
      </c>
      <c r="D1361">
        <f t="shared" si="43"/>
        <v>1</v>
      </c>
      <c r="E1361" t="str">
        <f t="shared" si="43"/>
        <v/>
      </c>
      <c r="F1361">
        <f t="shared" si="44"/>
        <v>0.73870354680000005</v>
      </c>
      <c r="G1361" t="str">
        <f t="shared" si="44"/>
        <v/>
      </c>
    </row>
    <row r="1362" spans="1:7" x14ac:dyDescent="0.2">
      <c r="A1362" t="s">
        <v>2</v>
      </c>
      <c r="B1362">
        <v>0.50434438130000003</v>
      </c>
      <c r="C1362">
        <v>1</v>
      </c>
      <c r="D1362">
        <f t="shared" si="43"/>
        <v>1</v>
      </c>
      <c r="E1362" t="str">
        <f t="shared" si="43"/>
        <v/>
      </c>
      <c r="F1362">
        <f t="shared" si="44"/>
        <v>0.50434438130000003</v>
      </c>
      <c r="G1362" t="str">
        <f t="shared" si="44"/>
        <v/>
      </c>
    </row>
    <row r="1363" spans="1:7" x14ac:dyDescent="0.2">
      <c r="A1363" t="s">
        <v>2</v>
      </c>
      <c r="B1363">
        <v>0.1592447357</v>
      </c>
      <c r="C1363">
        <v>0</v>
      </c>
      <c r="D1363">
        <f t="shared" si="43"/>
        <v>0</v>
      </c>
      <c r="E1363" t="str">
        <f t="shared" si="43"/>
        <v/>
      </c>
      <c r="F1363">
        <f t="shared" si="44"/>
        <v>0.1592447357</v>
      </c>
      <c r="G1363" t="str">
        <f t="shared" si="44"/>
        <v/>
      </c>
    </row>
    <row r="1364" spans="1:7" x14ac:dyDescent="0.2">
      <c r="A1364" t="s">
        <v>2</v>
      </c>
      <c r="B1364">
        <v>0.14028990080000001</v>
      </c>
      <c r="C1364">
        <v>0</v>
      </c>
      <c r="D1364">
        <f t="shared" si="43"/>
        <v>0</v>
      </c>
      <c r="E1364" t="str">
        <f t="shared" si="43"/>
        <v/>
      </c>
      <c r="F1364">
        <f t="shared" si="44"/>
        <v>0.14028990080000001</v>
      </c>
      <c r="G1364" t="str">
        <f t="shared" si="44"/>
        <v/>
      </c>
    </row>
    <row r="1365" spans="1:7" x14ac:dyDescent="0.2">
      <c r="A1365" t="s">
        <v>2</v>
      </c>
      <c r="B1365">
        <v>0.25886087819999998</v>
      </c>
      <c r="C1365">
        <v>0</v>
      </c>
      <c r="D1365">
        <f t="shared" si="43"/>
        <v>0</v>
      </c>
      <c r="E1365" t="str">
        <f t="shared" si="43"/>
        <v/>
      </c>
      <c r="F1365">
        <f t="shared" si="44"/>
        <v>0.25886087819999998</v>
      </c>
      <c r="G1365" t="str">
        <f t="shared" si="44"/>
        <v/>
      </c>
    </row>
    <row r="1366" spans="1:7" x14ac:dyDescent="0.2">
      <c r="A1366" t="s">
        <v>2</v>
      </c>
      <c r="B1366">
        <v>0.2566892113</v>
      </c>
      <c r="C1366">
        <v>1</v>
      </c>
      <c r="D1366">
        <f t="shared" si="43"/>
        <v>1</v>
      </c>
      <c r="E1366" t="str">
        <f t="shared" si="43"/>
        <v/>
      </c>
      <c r="F1366">
        <f t="shared" si="44"/>
        <v>0.2566892113</v>
      </c>
      <c r="G1366" t="str">
        <f t="shared" si="44"/>
        <v/>
      </c>
    </row>
    <row r="1367" spans="1:7" x14ac:dyDescent="0.2">
      <c r="A1367" t="s">
        <v>2</v>
      </c>
      <c r="B1367">
        <v>0.53472723919999998</v>
      </c>
      <c r="C1367">
        <v>1</v>
      </c>
      <c r="D1367">
        <f t="shared" si="43"/>
        <v>1</v>
      </c>
      <c r="E1367" t="str">
        <f t="shared" si="43"/>
        <v/>
      </c>
      <c r="F1367">
        <f t="shared" si="44"/>
        <v>0.53472723919999998</v>
      </c>
      <c r="G1367" t="str">
        <f t="shared" si="44"/>
        <v/>
      </c>
    </row>
    <row r="1368" spans="1:7" x14ac:dyDescent="0.2">
      <c r="A1368" t="s">
        <v>2</v>
      </c>
      <c r="B1368">
        <v>0.66452286039999997</v>
      </c>
      <c r="C1368">
        <v>1</v>
      </c>
      <c r="D1368">
        <f t="shared" si="43"/>
        <v>1</v>
      </c>
      <c r="E1368" t="str">
        <f t="shared" si="43"/>
        <v/>
      </c>
      <c r="F1368">
        <f t="shared" si="44"/>
        <v>0.66452286039999997</v>
      </c>
      <c r="G1368" t="str">
        <f t="shared" si="44"/>
        <v/>
      </c>
    </row>
    <row r="1369" spans="1:7" x14ac:dyDescent="0.2">
      <c r="A1369" t="s">
        <v>2</v>
      </c>
      <c r="B1369">
        <v>0.5019703539</v>
      </c>
      <c r="C1369">
        <v>1</v>
      </c>
      <c r="D1369">
        <f t="shared" si="43"/>
        <v>1</v>
      </c>
      <c r="E1369" t="str">
        <f t="shared" si="43"/>
        <v/>
      </c>
      <c r="F1369">
        <f t="shared" si="44"/>
        <v>0.5019703539</v>
      </c>
      <c r="G1369" t="str">
        <f t="shared" si="44"/>
        <v/>
      </c>
    </row>
    <row r="1370" spans="1:7" x14ac:dyDescent="0.2">
      <c r="A1370" t="s">
        <v>0</v>
      </c>
      <c r="B1370">
        <v>0.69306072429999999</v>
      </c>
      <c r="C1370">
        <v>0</v>
      </c>
      <c r="D1370" t="str">
        <f t="shared" si="43"/>
        <v/>
      </c>
      <c r="E1370">
        <f t="shared" si="43"/>
        <v>0</v>
      </c>
      <c r="F1370" t="str">
        <f t="shared" si="44"/>
        <v/>
      </c>
      <c r="G1370">
        <f t="shared" si="44"/>
        <v>0.69306072429999999</v>
      </c>
    </row>
    <row r="1371" spans="1:7" x14ac:dyDescent="0.2">
      <c r="A1371" t="s">
        <v>0</v>
      </c>
      <c r="B1371">
        <v>0.28324478600000003</v>
      </c>
      <c r="C1371">
        <v>0</v>
      </c>
      <c r="D1371" t="str">
        <f t="shared" si="43"/>
        <v/>
      </c>
      <c r="E1371">
        <f t="shared" si="43"/>
        <v>0</v>
      </c>
      <c r="F1371" t="str">
        <f t="shared" si="44"/>
        <v/>
      </c>
      <c r="G1371">
        <f t="shared" si="44"/>
        <v>0.28324478600000003</v>
      </c>
    </row>
    <row r="1372" spans="1:7" x14ac:dyDescent="0.2">
      <c r="A1372" t="s">
        <v>2</v>
      </c>
      <c r="B1372">
        <v>0.39878523970000002</v>
      </c>
      <c r="C1372">
        <v>0</v>
      </c>
      <c r="D1372">
        <f t="shared" si="43"/>
        <v>0</v>
      </c>
      <c r="E1372" t="str">
        <f t="shared" si="43"/>
        <v/>
      </c>
      <c r="F1372">
        <f t="shared" si="44"/>
        <v>0.39878523970000002</v>
      </c>
      <c r="G1372" t="str">
        <f t="shared" si="44"/>
        <v/>
      </c>
    </row>
    <row r="1373" spans="1:7" x14ac:dyDescent="0.2">
      <c r="A1373" t="s">
        <v>2</v>
      </c>
      <c r="B1373">
        <v>0.51550868510000003</v>
      </c>
      <c r="C1373">
        <v>1</v>
      </c>
      <c r="D1373">
        <f t="shared" si="43"/>
        <v>1</v>
      </c>
      <c r="E1373" t="str">
        <f t="shared" si="43"/>
        <v/>
      </c>
      <c r="F1373">
        <f t="shared" si="44"/>
        <v>0.51550868510000003</v>
      </c>
      <c r="G1373" t="str">
        <f t="shared" si="44"/>
        <v/>
      </c>
    </row>
    <row r="1374" spans="1:7" x14ac:dyDescent="0.2">
      <c r="A1374" t="s">
        <v>0</v>
      </c>
      <c r="B1374">
        <v>0.2239605382</v>
      </c>
      <c r="C1374">
        <v>1</v>
      </c>
      <c r="D1374" t="str">
        <f t="shared" si="43"/>
        <v/>
      </c>
      <c r="E1374">
        <f t="shared" si="43"/>
        <v>1</v>
      </c>
      <c r="F1374" t="str">
        <f t="shared" si="44"/>
        <v/>
      </c>
      <c r="G1374">
        <f t="shared" si="44"/>
        <v>0.2239605382</v>
      </c>
    </row>
    <row r="1375" spans="1:7" x14ac:dyDescent="0.2">
      <c r="A1375" t="s">
        <v>0</v>
      </c>
      <c r="B1375">
        <v>0.27461683510000001</v>
      </c>
      <c r="C1375">
        <v>0</v>
      </c>
      <c r="D1375" t="str">
        <f t="shared" si="43"/>
        <v/>
      </c>
      <c r="E1375">
        <f t="shared" si="43"/>
        <v>0</v>
      </c>
      <c r="F1375" t="str">
        <f t="shared" si="44"/>
        <v/>
      </c>
      <c r="G1375">
        <f t="shared" si="44"/>
        <v>0.27461683510000001</v>
      </c>
    </row>
    <row r="1376" spans="1:7" x14ac:dyDescent="0.2">
      <c r="A1376" t="s">
        <v>2</v>
      </c>
      <c r="B1376">
        <v>0.28924138970000002</v>
      </c>
      <c r="C1376">
        <v>0</v>
      </c>
      <c r="D1376">
        <f t="shared" si="43"/>
        <v>0</v>
      </c>
      <c r="E1376" t="str">
        <f t="shared" si="43"/>
        <v/>
      </c>
      <c r="F1376">
        <f t="shared" si="44"/>
        <v>0.28924138970000002</v>
      </c>
      <c r="G1376" t="str">
        <f t="shared" si="44"/>
        <v/>
      </c>
    </row>
    <row r="1377" spans="1:7" x14ac:dyDescent="0.2">
      <c r="A1377" t="s">
        <v>0</v>
      </c>
      <c r="B1377">
        <v>0.1105395235</v>
      </c>
      <c r="C1377">
        <v>0</v>
      </c>
      <c r="D1377" t="str">
        <f t="shared" si="43"/>
        <v/>
      </c>
      <c r="E1377">
        <f t="shared" si="43"/>
        <v>0</v>
      </c>
      <c r="F1377" t="str">
        <f t="shared" si="44"/>
        <v/>
      </c>
      <c r="G1377">
        <f t="shared" si="44"/>
        <v>0.1105395235</v>
      </c>
    </row>
    <row r="1378" spans="1:7" x14ac:dyDescent="0.2">
      <c r="A1378" t="s">
        <v>0</v>
      </c>
      <c r="B1378">
        <v>0.54433914110000003</v>
      </c>
      <c r="C1378">
        <v>1</v>
      </c>
      <c r="D1378" t="str">
        <f t="shared" si="43"/>
        <v/>
      </c>
      <c r="E1378">
        <f t="shared" si="43"/>
        <v>1</v>
      </c>
      <c r="F1378" t="str">
        <f t="shared" si="44"/>
        <v/>
      </c>
      <c r="G1378">
        <f t="shared" si="44"/>
        <v>0.54433914110000003</v>
      </c>
    </row>
    <row r="1379" spans="1:7" x14ac:dyDescent="0.2">
      <c r="A1379" t="s">
        <v>0</v>
      </c>
      <c r="B1379">
        <v>0.84940896359999996</v>
      </c>
      <c r="C1379">
        <v>1</v>
      </c>
      <c r="D1379" t="str">
        <f t="shared" si="43"/>
        <v/>
      </c>
      <c r="E1379">
        <f t="shared" si="43"/>
        <v>1</v>
      </c>
      <c r="F1379" t="str">
        <f t="shared" si="44"/>
        <v/>
      </c>
      <c r="G1379">
        <f t="shared" si="44"/>
        <v>0.84940896359999996</v>
      </c>
    </row>
    <row r="1380" spans="1:7" x14ac:dyDescent="0.2">
      <c r="A1380" t="s">
        <v>2</v>
      </c>
      <c r="B1380">
        <v>0.74659981509999995</v>
      </c>
      <c r="C1380">
        <v>1</v>
      </c>
      <c r="D1380">
        <f t="shared" si="43"/>
        <v>1</v>
      </c>
      <c r="E1380" t="str">
        <f t="shared" si="43"/>
        <v/>
      </c>
      <c r="F1380">
        <f t="shared" si="44"/>
        <v>0.74659981509999995</v>
      </c>
      <c r="G1380" t="str">
        <f t="shared" si="44"/>
        <v/>
      </c>
    </row>
    <row r="1381" spans="1:7" x14ac:dyDescent="0.2">
      <c r="A1381" t="s">
        <v>2</v>
      </c>
      <c r="B1381">
        <v>0.56941930419999998</v>
      </c>
      <c r="C1381">
        <v>1</v>
      </c>
      <c r="D1381">
        <f t="shared" si="43"/>
        <v>1</v>
      </c>
      <c r="E1381" t="str">
        <f t="shared" si="43"/>
        <v/>
      </c>
      <c r="F1381">
        <f t="shared" si="44"/>
        <v>0.56941930419999998</v>
      </c>
      <c r="G1381" t="str">
        <f t="shared" si="44"/>
        <v/>
      </c>
    </row>
    <row r="1382" spans="1:7" x14ac:dyDescent="0.2">
      <c r="A1382" t="s">
        <v>0</v>
      </c>
      <c r="B1382">
        <v>0.42595551300000001</v>
      </c>
      <c r="C1382">
        <v>0</v>
      </c>
      <c r="D1382" t="str">
        <f t="shared" si="43"/>
        <v/>
      </c>
      <c r="E1382">
        <f t="shared" si="43"/>
        <v>0</v>
      </c>
      <c r="F1382" t="str">
        <f t="shared" si="44"/>
        <v/>
      </c>
      <c r="G1382">
        <f t="shared" si="44"/>
        <v>0.42595551300000001</v>
      </c>
    </row>
    <row r="1383" spans="1:7" x14ac:dyDescent="0.2">
      <c r="A1383" t="s">
        <v>0</v>
      </c>
      <c r="B1383">
        <v>0.36269977370000001</v>
      </c>
      <c r="C1383">
        <v>0</v>
      </c>
      <c r="D1383" t="str">
        <f t="shared" si="43"/>
        <v/>
      </c>
      <c r="E1383">
        <f t="shared" si="43"/>
        <v>0</v>
      </c>
      <c r="F1383" t="str">
        <f t="shared" si="44"/>
        <v/>
      </c>
      <c r="G1383">
        <f t="shared" si="44"/>
        <v>0.36269977370000001</v>
      </c>
    </row>
    <row r="1384" spans="1:7" x14ac:dyDescent="0.2">
      <c r="A1384" t="s">
        <v>2</v>
      </c>
      <c r="B1384">
        <v>0.32115011449999997</v>
      </c>
      <c r="C1384">
        <v>1</v>
      </c>
      <c r="D1384">
        <f t="shared" si="43"/>
        <v>1</v>
      </c>
      <c r="E1384" t="str">
        <f t="shared" si="43"/>
        <v/>
      </c>
      <c r="F1384">
        <f t="shared" si="44"/>
        <v>0.32115011449999997</v>
      </c>
      <c r="G1384" t="str">
        <f t="shared" si="44"/>
        <v/>
      </c>
    </row>
    <row r="1385" spans="1:7" x14ac:dyDescent="0.2">
      <c r="A1385" t="s">
        <v>0</v>
      </c>
      <c r="B1385">
        <v>0.2055957347</v>
      </c>
      <c r="C1385">
        <v>0</v>
      </c>
      <c r="D1385" t="str">
        <f t="shared" si="43"/>
        <v/>
      </c>
      <c r="E1385">
        <f t="shared" si="43"/>
        <v>0</v>
      </c>
      <c r="F1385" t="str">
        <f t="shared" si="44"/>
        <v/>
      </c>
      <c r="G1385">
        <f t="shared" si="44"/>
        <v>0.2055957347</v>
      </c>
    </row>
    <row r="1386" spans="1:7" x14ac:dyDescent="0.2">
      <c r="A1386" t="s">
        <v>2</v>
      </c>
      <c r="B1386">
        <v>0.22397491529999999</v>
      </c>
      <c r="C1386">
        <v>0</v>
      </c>
      <c r="D1386">
        <f t="shared" si="43"/>
        <v>0</v>
      </c>
      <c r="E1386" t="str">
        <f t="shared" si="43"/>
        <v/>
      </c>
      <c r="F1386">
        <f t="shared" si="44"/>
        <v>0.22397491529999999</v>
      </c>
      <c r="G1386" t="str">
        <f t="shared" si="44"/>
        <v/>
      </c>
    </row>
    <row r="1387" spans="1:7" x14ac:dyDescent="0.2">
      <c r="A1387" t="s">
        <v>2</v>
      </c>
      <c r="B1387">
        <v>0.1123544836</v>
      </c>
      <c r="C1387">
        <v>0</v>
      </c>
      <c r="D1387">
        <f t="shared" ref="D1387:E1450" si="45">IF($A1387=D$1,$C1387,"")</f>
        <v>0</v>
      </c>
      <c r="E1387" t="str">
        <f t="shared" si="45"/>
        <v/>
      </c>
      <c r="F1387">
        <f t="shared" ref="F1387:G1450" si="46">IF($A1387=F$1,$B1387,"")</f>
        <v>0.1123544836</v>
      </c>
      <c r="G1387" t="str">
        <f t="shared" si="46"/>
        <v/>
      </c>
    </row>
    <row r="1388" spans="1:7" x14ac:dyDescent="0.2">
      <c r="A1388" t="s">
        <v>2</v>
      </c>
      <c r="B1388">
        <v>0.4943484259</v>
      </c>
      <c r="C1388">
        <v>0</v>
      </c>
      <c r="D1388">
        <f t="shared" si="45"/>
        <v>0</v>
      </c>
      <c r="E1388" t="str">
        <f t="shared" si="45"/>
        <v/>
      </c>
      <c r="F1388">
        <f t="shared" si="46"/>
        <v>0.4943484259</v>
      </c>
      <c r="G1388" t="str">
        <f t="shared" si="46"/>
        <v/>
      </c>
    </row>
    <row r="1389" spans="1:7" x14ac:dyDescent="0.2">
      <c r="A1389" t="s">
        <v>2</v>
      </c>
      <c r="B1389">
        <v>0.66699472339999999</v>
      </c>
      <c r="C1389">
        <v>1</v>
      </c>
      <c r="D1389">
        <f t="shared" si="45"/>
        <v>1</v>
      </c>
      <c r="E1389" t="str">
        <f t="shared" si="45"/>
        <v/>
      </c>
      <c r="F1389">
        <f t="shared" si="46"/>
        <v>0.66699472339999999</v>
      </c>
      <c r="G1389" t="str">
        <f t="shared" si="46"/>
        <v/>
      </c>
    </row>
    <row r="1390" spans="1:7" x14ac:dyDescent="0.2">
      <c r="A1390" t="s">
        <v>2</v>
      </c>
      <c r="B1390">
        <v>0.60963580510000004</v>
      </c>
      <c r="C1390">
        <v>1</v>
      </c>
      <c r="D1390">
        <f t="shared" si="45"/>
        <v>1</v>
      </c>
      <c r="E1390" t="str">
        <f t="shared" si="45"/>
        <v/>
      </c>
      <c r="F1390">
        <f t="shared" si="46"/>
        <v>0.60963580510000004</v>
      </c>
      <c r="G1390" t="str">
        <f t="shared" si="46"/>
        <v/>
      </c>
    </row>
    <row r="1391" spans="1:7" x14ac:dyDescent="0.2">
      <c r="A1391" t="s">
        <v>2</v>
      </c>
      <c r="B1391">
        <v>0.71191601800000004</v>
      </c>
      <c r="C1391">
        <v>1</v>
      </c>
      <c r="D1391">
        <f t="shared" si="45"/>
        <v>1</v>
      </c>
      <c r="E1391" t="str">
        <f t="shared" si="45"/>
        <v/>
      </c>
      <c r="F1391">
        <f t="shared" si="46"/>
        <v>0.71191601800000004</v>
      </c>
      <c r="G1391" t="str">
        <f t="shared" si="46"/>
        <v/>
      </c>
    </row>
    <row r="1392" spans="1:7" x14ac:dyDescent="0.2">
      <c r="A1392" t="s">
        <v>2</v>
      </c>
      <c r="B1392">
        <v>0.36850093309999998</v>
      </c>
      <c r="C1392">
        <v>0</v>
      </c>
      <c r="D1392">
        <f t="shared" si="45"/>
        <v>0</v>
      </c>
      <c r="E1392" t="str">
        <f t="shared" si="45"/>
        <v/>
      </c>
      <c r="F1392">
        <f t="shared" si="46"/>
        <v>0.36850093309999998</v>
      </c>
      <c r="G1392" t="str">
        <f t="shared" si="46"/>
        <v/>
      </c>
    </row>
    <row r="1393" spans="1:7" x14ac:dyDescent="0.2">
      <c r="A1393" t="s">
        <v>2</v>
      </c>
      <c r="B1393">
        <v>0.34149189159999999</v>
      </c>
      <c r="C1393">
        <v>0</v>
      </c>
      <c r="D1393">
        <f t="shared" si="45"/>
        <v>0</v>
      </c>
      <c r="E1393" t="str">
        <f t="shared" si="45"/>
        <v/>
      </c>
      <c r="F1393">
        <f t="shared" si="46"/>
        <v>0.34149189159999999</v>
      </c>
      <c r="G1393" t="str">
        <f t="shared" si="46"/>
        <v/>
      </c>
    </row>
    <row r="1394" spans="1:7" x14ac:dyDescent="0.2">
      <c r="A1394" t="s">
        <v>0</v>
      </c>
      <c r="B1394">
        <v>0.29206903899999997</v>
      </c>
      <c r="C1394">
        <v>0</v>
      </c>
      <c r="D1394" t="str">
        <f t="shared" si="45"/>
        <v/>
      </c>
      <c r="E1394">
        <f t="shared" si="45"/>
        <v>0</v>
      </c>
      <c r="F1394" t="str">
        <f t="shared" si="46"/>
        <v/>
      </c>
      <c r="G1394">
        <f t="shared" si="46"/>
        <v>0.29206903899999997</v>
      </c>
    </row>
    <row r="1395" spans="1:7" x14ac:dyDescent="0.2">
      <c r="A1395" t="s">
        <v>2</v>
      </c>
      <c r="B1395">
        <v>0.51624326909999996</v>
      </c>
      <c r="C1395">
        <v>1</v>
      </c>
      <c r="D1395">
        <f t="shared" si="45"/>
        <v>1</v>
      </c>
      <c r="E1395" t="str">
        <f t="shared" si="45"/>
        <v/>
      </c>
      <c r="F1395">
        <f t="shared" si="46"/>
        <v>0.51624326909999996</v>
      </c>
      <c r="G1395" t="str">
        <f t="shared" si="46"/>
        <v/>
      </c>
    </row>
    <row r="1396" spans="1:7" x14ac:dyDescent="0.2">
      <c r="A1396" t="s">
        <v>2</v>
      </c>
      <c r="B1396">
        <v>0.32184136679999997</v>
      </c>
      <c r="C1396">
        <v>0</v>
      </c>
      <c r="D1396">
        <f t="shared" si="45"/>
        <v>0</v>
      </c>
      <c r="E1396" t="str">
        <f t="shared" si="45"/>
        <v/>
      </c>
      <c r="F1396">
        <f t="shared" si="46"/>
        <v>0.32184136679999997</v>
      </c>
      <c r="G1396" t="str">
        <f t="shared" si="46"/>
        <v/>
      </c>
    </row>
    <row r="1397" spans="1:7" x14ac:dyDescent="0.2">
      <c r="A1397" t="s">
        <v>0</v>
      </c>
      <c r="B1397">
        <v>0.4926359401</v>
      </c>
      <c r="C1397">
        <v>0</v>
      </c>
      <c r="D1397" t="str">
        <f t="shared" si="45"/>
        <v/>
      </c>
      <c r="E1397">
        <f t="shared" si="45"/>
        <v>0</v>
      </c>
      <c r="F1397" t="str">
        <f t="shared" si="46"/>
        <v/>
      </c>
      <c r="G1397">
        <f t="shared" si="46"/>
        <v>0.4926359401</v>
      </c>
    </row>
    <row r="1398" spans="1:7" x14ac:dyDescent="0.2">
      <c r="A1398" t="s">
        <v>2</v>
      </c>
      <c r="B1398">
        <v>0.35361207569999997</v>
      </c>
      <c r="C1398">
        <v>0</v>
      </c>
      <c r="D1398">
        <f t="shared" si="45"/>
        <v>0</v>
      </c>
      <c r="E1398" t="str">
        <f t="shared" si="45"/>
        <v/>
      </c>
      <c r="F1398">
        <f t="shared" si="46"/>
        <v>0.35361207569999997</v>
      </c>
      <c r="G1398" t="str">
        <f t="shared" si="46"/>
        <v/>
      </c>
    </row>
    <row r="1399" spans="1:7" x14ac:dyDescent="0.2">
      <c r="A1399" t="s">
        <v>2</v>
      </c>
      <c r="B1399">
        <v>0.58095540499999998</v>
      </c>
      <c r="C1399">
        <v>0</v>
      </c>
      <c r="D1399">
        <f t="shared" si="45"/>
        <v>0</v>
      </c>
      <c r="E1399" t="str">
        <f t="shared" si="45"/>
        <v/>
      </c>
      <c r="F1399">
        <f t="shared" si="46"/>
        <v>0.58095540499999998</v>
      </c>
      <c r="G1399" t="str">
        <f t="shared" si="46"/>
        <v/>
      </c>
    </row>
    <row r="1400" spans="1:7" x14ac:dyDescent="0.2">
      <c r="A1400" t="s">
        <v>0</v>
      </c>
      <c r="B1400">
        <v>0.64474336109999997</v>
      </c>
      <c r="C1400">
        <v>1</v>
      </c>
      <c r="D1400" t="str">
        <f t="shared" si="45"/>
        <v/>
      </c>
      <c r="E1400">
        <f t="shared" si="45"/>
        <v>1</v>
      </c>
      <c r="F1400" t="str">
        <f t="shared" si="46"/>
        <v/>
      </c>
      <c r="G1400">
        <f t="shared" si="46"/>
        <v>0.64474336109999997</v>
      </c>
    </row>
    <row r="1401" spans="1:7" x14ac:dyDescent="0.2">
      <c r="A1401" t="s">
        <v>2</v>
      </c>
      <c r="B1401">
        <v>0.34044018729999997</v>
      </c>
      <c r="C1401">
        <v>0</v>
      </c>
      <c r="D1401">
        <f t="shared" si="45"/>
        <v>0</v>
      </c>
      <c r="E1401" t="str">
        <f t="shared" si="45"/>
        <v/>
      </c>
      <c r="F1401">
        <f t="shared" si="46"/>
        <v>0.34044018729999997</v>
      </c>
      <c r="G1401" t="str">
        <f t="shared" si="46"/>
        <v/>
      </c>
    </row>
    <row r="1402" spans="1:7" x14ac:dyDescent="0.2">
      <c r="A1402" t="s">
        <v>2</v>
      </c>
      <c r="B1402">
        <v>0.58227008199999997</v>
      </c>
      <c r="C1402">
        <v>0</v>
      </c>
      <c r="D1402">
        <f t="shared" si="45"/>
        <v>0</v>
      </c>
      <c r="E1402" t="str">
        <f t="shared" si="45"/>
        <v/>
      </c>
      <c r="F1402">
        <f t="shared" si="46"/>
        <v>0.58227008199999997</v>
      </c>
      <c r="G1402" t="str">
        <f t="shared" si="46"/>
        <v/>
      </c>
    </row>
    <row r="1403" spans="1:7" x14ac:dyDescent="0.2">
      <c r="A1403" t="s">
        <v>2</v>
      </c>
      <c r="B1403">
        <v>0.42094919450000001</v>
      </c>
      <c r="C1403">
        <v>0</v>
      </c>
      <c r="D1403">
        <f t="shared" si="45"/>
        <v>0</v>
      </c>
      <c r="E1403" t="str">
        <f t="shared" si="45"/>
        <v/>
      </c>
      <c r="F1403">
        <f t="shared" si="46"/>
        <v>0.42094919450000001</v>
      </c>
      <c r="G1403" t="str">
        <f t="shared" si="46"/>
        <v/>
      </c>
    </row>
    <row r="1404" spans="1:7" x14ac:dyDescent="0.2">
      <c r="A1404" t="s">
        <v>2</v>
      </c>
      <c r="B1404">
        <v>0.14399468770000001</v>
      </c>
      <c r="C1404">
        <v>0</v>
      </c>
      <c r="D1404">
        <f t="shared" si="45"/>
        <v>0</v>
      </c>
      <c r="E1404" t="str">
        <f t="shared" si="45"/>
        <v/>
      </c>
      <c r="F1404">
        <f t="shared" si="46"/>
        <v>0.14399468770000001</v>
      </c>
      <c r="G1404" t="str">
        <f t="shared" si="46"/>
        <v/>
      </c>
    </row>
    <row r="1405" spans="1:7" x14ac:dyDescent="0.2">
      <c r="A1405" t="s">
        <v>0</v>
      </c>
      <c r="B1405">
        <v>0.43958606280000001</v>
      </c>
      <c r="C1405">
        <v>0</v>
      </c>
      <c r="D1405" t="str">
        <f t="shared" si="45"/>
        <v/>
      </c>
      <c r="E1405">
        <f t="shared" si="45"/>
        <v>0</v>
      </c>
      <c r="F1405" t="str">
        <f t="shared" si="46"/>
        <v/>
      </c>
      <c r="G1405">
        <f t="shared" si="46"/>
        <v>0.43958606280000001</v>
      </c>
    </row>
    <row r="1406" spans="1:7" x14ac:dyDescent="0.2">
      <c r="A1406" t="s">
        <v>0</v>
      </c>
      <c r="B1406">
        <v>0.1081612969</v>
      </c>
      <c r="C1406">
        <v>0</v>
      </c>
      <c r="D1406" t="str">
        <f t="shared" si="45"/>
        <v/>
      </c>
      <c r="E1406">
        <f t="shared" si="45"/>
        <v>0</v>
      </c>
      <c r="F1406" t="str">
        <f t="shared" si="46"/>
        <v/>
      </c>
      <c r="G1406">
        <f t="shared" si="46"/>
        <v>0.1081612969</v>
      </c>
    </row>
    <row r="1407" spans="1:7" x14ac:dyDescent="0.2">
      <c r="A1407" t="s">
        <v>2</v>
      </c>
      <c r="B1407">
        <v>0.82975684750000001</v>
      </c>
      <c r="C1407">
        <v>0</v>
      </c>
      <c r="D1407">
        <f t="shared" si="45"/>
        <v>0</v>
      </c>
      <c r="E1407" t="str">
        <f t="shared" si="45"/>
        <v/>
      </c>
      <c r="F1407">
        <f t="shared" si="46"/>
        <v>0.82975684750000001</v>
      </c>
      <c r="G1407" t="str">
        <f t="shared" si="46"/>
        <v/>
      </c>
    </row>
    <row r="1408" spans="1:7" x14ac:dyDescent="0.2">
      <c r="A1408" t="s">
        <v>0</v>
      </c>
      <c r="B1408">
        <v>0.51198279670000002</v>
      </c>
      <c r="C1408">
        <v>0</v>
      </c>
      <c r="D1408" t="str">
        <f t="shared" si="45"/>
        <v/>
      </c>
      <c r="E1408">
        <f t="shared" si="45"/>
        <v>0</v>
      </c>
      <c r="F1408" t="str">
        <f t="shared" si="46"/>
        <v/>
      </c>
      <c r="G1408">
        <f t="shared" si="46"/>
        <v>0.51198279670000002</v>
      </c>
    </row>
    <row r="1409" spans="1:7" x14ac:dyDescent="0.2">
      <c r="A1409" t="s">
        <v>2</v>
      </c>
      <c r="B1409">
        <v>0.59312402480000004</v>
      </c>
      <c r="C1409">
        <v>1</v>
      </c>
      <c r="D1409">
        <f t="shared" si="45"/>
        <v>1</v>
      </c>
      <c r="E1409" t="str">
        <f t="shared" si="45"/>
        <v/>
      </c>
      <c r="F1409">
        <f t="shared" si="46"/>
        <v>0.59312402480000004</v>
      </c>
      <c r="G1409" t="str">
        <f t="shared" si="46"/>
        <v/>
      </c>
    </row>
    <row r="1410" spans="1:7" x14ac:dyDescent="0.2">
      <c r="A1410" t="s">
        <v>0</v>
      </c>
      <c r="B1410">
        <v>0.25777650860000001</v>
      </c>
      <c r="C1410">
        <v>1</v>
      </c>
      <c r="D1410" t="str">
        <f t="shared" si="45"/>
        <v/>
      </c>
      <c r="E1410">
        <f t="shared" si="45"/>
        <v>1</v>
      </c>
      <c r="F1410" t="str">
        <f t="shared" si="46"/>
        <v/>
      </c>
      <c r="G1410">
        <f t="shared" si="46"/>
        <v>0.25777650860000001</v>
      </c>
    </row>
    <row r="1411" spans="1:7" x14ac:dyDescent="0.2">
      <c r="A1411" t="s">
        <v>0</v>
      </c>
      <c r="B1411">
        <v>0.29164386329999997</v>
      </c>
      <c r="C1411">
        <v>0</v>
      </c>
      <c r="D1411" t="str">
        <f t="shared" si="45"/>
        <v/>
      </c>
      <c r="E1411">
        <f t="shared" si="45"/>
        <v>0</v>
      </c>
      <c r="F1411" t="str">
        <f t="shared" si="46"/>
        <v/>
      </c>
      <c r="G1411">
        <f t="shared" si="46"/>
        <v>0.29164386329999997</v>
      </c>
    </row>
    <row r="1412" spans="1:7" x14ac:dyDescent="0.2">
      <c r="A1412" t="s">
        <v>2</v>
      </c>
      <c r="B1412">
        <v>0.1602570338</v>
      </c>
      <c r="C1412">
        <v>0</v>
      </c>
      <c r="D1412">
        <f t="shared" si="45"/>
        <v>0</v>
      </c>
      <c r="E1412" t="str">
        <f t="shared" si="45"/>
        <v/>
      </c>
      <c r="F1412">
        <f t="shared" si="46"/>
        <v>0.1602570338</v>
      </c>
      <c r="G1412" t="str">
        <f t="shared" si="46"/>
        <v/>
      </c>
    </row>
    <row r="1413" spans="1:7" x14ac:dyDescent="0.2">
      <c r="A1413" t="s">
        <v>2</v>
      </c>
      <c r="B1413">
        <v>0.33942953799999998</v>
      </c>
      <c r="C1413">
        <v>0</v>
      </c>
      <c r="D1413">
        <f t="shared" si="45"/>
        <v>0</v>
      </c>
      <c r="E1413" t="str">
        <f t="shared" si="45"/>
        <v/>
      </c>
      <c r="F1413">
        <f t="shared" si="46"/>
        <v>0.33942953799999998</v>
      </c>
      <c r="G1413" t="str">
        <f t="shared" si="46"/>
        <v/>
      </c>
    </row>
    <row r="1414" spans="1:7" x14ac:dyDescent="0.2">
      <c r="A1414" t="s">
        <v>2</v>
      </c>
      <c r="B1414">
        <v>0.43326079169999998</v>
      </c>
      <c r="C1414">
        <v>1</v>
      </c>
      <c r="D1414">
        <f t="shared" si="45"/>
        <v>1</v>
      </c>
      <c r="E1414" t="str">
        <f t="shared" si="45"/>
        <v/>
      </c>
      <c r="F1414">
        <f t="shared" si="46"/>
        <v>0.43326079169999998</v>
      </c>
      <c r="G1414" t="str">
        <f t="shared" si="46"/>
        <v/>
      </c>
    </row>
    <row r="1415" spans="1:7" x14ac:dyDescent="0.2">
      <c r="A1415" t="s">
        <v>2</v>
      </c>
      <c r="B1415">
        <v>0.81815909799999997</v>
      </c>
      <c r="C1415">
        <v>1</v>
      </c>
      <c r="D1415">
        <f t="shared" si="45"/>
        <v>1</v>
      </c>
      <c r="E1415" t="str">
        <f t="shared" si="45"/>
        <v/>
      </c>
      <c r="F1415">
        <f t="shared" si="46"/>
        <v>0.81815909799999997</v>
      </c>
      <c r="G1415" t="str">
        <f t="shared" si="46"/>
        <v/>
      </c>
    </row>
    <row r="1416" spans="1:7" x14ac:dyDescent="0.2">
      <c r="A1416" t="s">
        <v>2</v>
      </c>
      <c r="B1416">
        <v>0.29169511529999997</v>
      </c>
      <c r="C1416">
        <v>0</v>
      </c>
      <c r="D1416">
        <f t="shared" si="45"/>
        <v>0</v>
      </c>
      <c r="E1416" t="str">
        <f t="shared" si="45"/>
        <v/>
      </c>
      <c r="F1416">
        <f t="shared" si="46"/>
        <v>0.29169511529999997</v>
      </c>
      <c r="G1416" t="str">
        <f t="shared" si="46"/>
        <v/>
      </c>
    </row>
    <row r="1417" spans="1:7" x14ac:dyDescent="0.2">
      <c r="A1417" t="s">
        <v>2</v>
      </c>
      <c r="B1417">
        <v>0.41372387770000002</v>
      </c>
      <c r="C1417">
        <v>0</v>
      </c>
      <c r="D1417">
        <f t="shared" si="45"/>
        <v>0</v>
      </c>
      <c r="E1417" t="str">
        <f t="shared" si="45"/>
        <v/>
      </c>
      <c r="F1417">
        <f t="shared" si="46"/>
        <v>0.41372387770000002</v>
      </c>
      <c r="G1417" t="str">
        <f t="shared" si="46"/>
        <v/>
      </c>
    </row>
    <row r="1418" spans="1:7" x14ac:dyDescent="0.2">
      <c r="A1418" t="s">
        <v>2</v>
      </c>
      <c r="B1418">
        <v>0.56736765509999998</v>
      </c>
      <c r="C1418">
        <v>1</v>
      </c>
      <c r="D1418">
        <f t="shared" si="45"/>
        <v>1</v>
      </c>
      <c r="E1418" t="str">
        <f t="shared" si="45"/>
        <v/>
      </c>
      <c r="F1418">
        <f t="shared" si="46"/>
        <v>0.56736765509999998</v>
      </c>
      <c r="G1418" t="str">
        <f t="shared" si="46"/>
        <v/>
      </c>
    </row>
    <row r="1419" spans="1:7" x14ac:dyDescent="0.2">
      <c r="A1419" t="s">
        <v>0</v>
      </c>
      <c r="B1419">
        <v>0.1677311084</v>
      </c>
      <c r="C1419">
        <v>0</v>
      </c>
      <c r="D1419" t="str">
        <f t="shared" si="45"/>
        <v/>
      </c>
      <c r="E1419">
        <f t="shared" si="45"/>
        <v>0</v>
      </c>
      <c r="F1419" t="str">
        <f t="shared" si="46"/>
        <v/>
      </c>
      <c r="G1419">
        <f t="shared" si="46"/>
        <v>0.1677311084</v>
      </c>
    </row>
    <row r="1420" spans="1:7" x14ac:dyDescent="0.2">
      <c r="A1420" t="s">
        <v>0</v>
      </c>
      <c r="B1420">
        <v>0.68630148449999995</v>
      </c>
      <c r="C1420">
        <v>1</v>
      </c>
      <c r="D1420" t="str">
        <f t="shared" si="45"/>
        <v/>
      </c>
      <c r="E1420">
        <f t="shared" si="45"/>
        <v>1</v>
      </c>
      <c r="F1420" t="str">
        <f t="shared" si="46"/>
        <v/>
      </c>
      <c r="G1420">
        <f t="shared" si="46"/>
        <v>0.68630148449999995</v>
      </c>
    </row>
    <row r="1421" spans="1:7" x14ac:dyDescent="0.2">
      <c r="A1421" t="s">
        <v>2</v>
      </c>
      <c r="B1421">
        <v>0.55537332250000004</v>
      </c>
      <c r="C1421">
        <v>1</v>
      </c>
      <c r="D1421">
        <f t="shared" si="45"/>
        <v>1</v>
      </c>
      <c r="E1421" t="str">
        <f t="shared" si="45"/>
        <v/>
      </c>
      <c r="F1421">
        <f t="shared" si="46"/>
        <v>0.55537332250000004</v>
      </c>
      <c r="G1421" t="str">
        <f t="shared" si="46"/>
        <v/>
      </c>
    </row>
    <row r="1422" spans="1:7" x14ac:dyDescent="0.2">
      <c r="A1422" t="s">
        <v>0</v>
      </c>
      <c r="B1422">
        <v>0.1223846671</v>
      </c>
      <c r="C1422">
        <v>1</v>
      </c>
      <c r="D1422" t="str">
        <f t="shared" si="45"/>
        <v/>
      </c>
      <c r="E1422">
        <f t="shared" si="45"/>
        <v>1</v>
      </c>
      <c r="F1422" t="str">
        <f t="shared" si="46"/>
        <v/>
      </c>
      <c r="G1422">
        <f t="shared" si="46"/>
        <v>0.1223846671</v>
      </c>
    </row>
    <row r="1423" spans="1:7" x14ac:dyDescent="0.2">
      <c r="A1423" t="s">
        <v>0</v>
      </c>
      <c r="B1423">
        <v>0.20543291359999999</v>
      </c>
      <c r="C1423">
        <v>0</v>
      </c>
      <c r="D1423" t="str">
        <f t="shared" si="45"/>
        <v/>
      </c>
      <c r="E1423">
        <f t="shared" si="45"/>
        <v>0</v>
      </c>
      <c r="F1423" t="str">
        <f t="shared" si="46"/>
        <v/>
      </c>
      <c r="G1423">
        <f t="shared" si="46"/>
        <v>0.20543291359999999</v>
      </c>
    </row>
    <row r="1424" spans="1:7" x14ac:dyDescent="0.2">
      <c r="A1424" t="s">
        <v>2</v>
      </c>
      <c r="B1424">
        <v>0.63381650629999997</v>
      </c>
      <c r="C1424">
        <v>0</v>
      </c>
      <c r="D1424">
        <f t="shared" si="45"/>
        <v>0</v>
      </c>
      <c r="E1424" t="str">
        <f t="shared" si="45"/>
        <v/>
      </c>
      <c r="F1424">
        <f t="shared" si="46"/>
        <v>0.63381650629999997</v>
      </c>
      <c r="G1424" t="str">
        <f t="shared" si="46"/>
        <v/>
      </c>
    </row>
    <row r="1425" spans="1:7" x14ac:dyDescent="0.2">
      <c r="A1425" t="s">
        <v>2</v>
      </c>
      <c r="B1425">
        <v>0.60204263059999996</v>
      </c>
      <c r="C1425">
        <v>0</v>
      </c>
      <c r="D1425">
        <f t="shared" si="45"/>
        <v>0</v>
      </c>
      <c r="E1425" t="str">
        <f t="shared" si="45"/>
        <v/>
      </c>
      <c r="F1425">
        <f t="shared" si="46"/>
        <v>0.60204263059999996</v>
      </c>
      <c r="G1425" t="str">
        <f t="shared" si="46"/>
        <v/>
      </c>
    </row>
    <row r="1426" spans="1:7" x14ac:dyDescent="0.2">
      <c r="A1426" t="s">
        <v>2</v>
      </c>
      <c r="B1426">
        <v>0.35013204060000003</v>
      </c>
      <c r="C1426">
        <v>1</v>
      </c>
      <c r="D1426">
        <f t="shared" si="45"/>
        <v>1</v>
      </c>
      <c r="E1426" t="str">
        <f t="shared" si="45"/>
        <v/>
      </c>
      <c r="F1426">
        <f t="shared" si="46"/>
        <v>0.35013204060000003</v>
      </c>
      <c r="G1426" t="str">
        <f t="shared" si="46"/>
        <v/>
      </c>
    </row>
    <row r="1427" spans="1:7" x14ac:dyDescent="0.2">
      <c r="A1427" t="s">
        <v>2</v>
      </c>
      <c r="B1427">
        <v>0.1184873711</v>
      </c>
      <c r="C1427">
        <v>0</v>
      </c>
      <c r="D1427">
        <f t="shared" si="45"/>
        <v>0</v>
      </c>
      <c r="E1427" t="str">
        <f t="shared" si="45"/>
        <v/>
      </c>
      <c r="F1427">
        <f t="shared" si="46"/>
        <v>0.1184873711</v>
      </c>
      <c r="G1427" t="str">
        <f t="shared" si="46"/>
        <v/>
      </c>
    </row>
    <row r="1428" spans="1:7" x14ac:dyDescent="0.2">
      <c r="A1428" t="s">
        <v>2</v>
      </c>
      <c r="B1428">
        <v>0.58936258220000004</v>
      </c>
      <c r="C1428">
        <v>1</v>
      </c>
      <c r="D1428">
        <f t="shared" si="45"/>
        <v>1</v>
      </c>
      <c r="E1428" t="str">
        <f t="shared" si="45"/>
        <v/>
      </c>
      <c r="F1428">
        <f t="shared" si="46"/>
        <v>0.58936258220000004</v>
      </c>
      <c r="G1428" t="str">
        <f t="shared" si="46"/>
        <v/>
      </c>
    </row>
    <row r="1429" spans="1:7" x14ac:dyDescent="0.2">
      <c r="A1429" t="s">
        <v>2</v>
      </c>
      <c r="B1429">
        <v>0.6786728219</v>
      </c>
      <c r="C1429">
        <v>1</v>
      </c>
      <c r="D1429">
        <f t="shared" si="45"/>
        <v>1</v>
      </c>
      <c r="E1429" t="str">
        <f t="shared" si="45"/>
        <v/>
      </c>
      <c r="F1429">
        <f t="shared" si="46"/>
        <v>0.6786728219</v>
      </c>
      <c r="G1429" t="str">
        <f t="shared" si="46"/>
        <v/>
      </c>
    </row>
    <row r="1430" spans="1:7" x14ac:dyDescent="0.2">
      <c r="A1430" t="s">
        <v>0</v>
      </c>
      <c r="B1430">
        <v>0.32388724499999999</v>
      </c>
      <c r="C1430">
        <v>0</v>
      </c>
      <c r="D1430" t="str">
        <f t="shared" si="45"/>
        <v/>
      </c>
      <c r="E1430">
        <f t="shared" si="45"/>
        <v>0</v>
      </c>
      <c r="F1430" t="str">
        <f t="shared" si="46"/>
        <v/>
      </c>
      <c r="G1430">
        <f t="shared" si="46"/>
        <v>0.32388724499999999</v>
      </c>
    </row>
    <row r="1431" spans="1:7" x14ac:dyDescent="0.2">
      <c r="A1431" t="s">
        <v>2</v>
      </c>
      <c r="B1431">
        <v>0.67877859289999998</v>
      </c>
      <c r="C1431">
        <v>0</v>
      </c>
      <c r="D1431">
        <f t="shared" si="45"/>
        <v>0</v>
      </c>
      <c r="E1431" t="str">
        <f t="shared" si="45"/>
        <v/>
      </c>
      <c r="F1431">
        <f t="shared" si="46"/>
        <v>0.67877859289999998</v>
      </c>
      <c r="G1431" t="str">
        <f t="shared" si="46"/>
        <v/>
      </c>
    </row>
    <row r="1432" spans="1:7" x14ac:dyDescent="0.2">
      <c r="A1432" t="s">
        <v>2</v>
      </c>
      <c r="B1432">
        <v>0.87257346049999995</v>
      </c>
      <c r="C1432">
        <v>1</v>
      </c>
      <c r="D1432">
        <f t="shared" si="45"/>
        <v>1</v>
      </c>
      <c r="E1432" t="str">
        <f t="shared" si="45"/>
        <v/>
      </c>
      <c r="F1432">
        <f t="shared" si="46"/>
        <v>0.87257346049999995</v>
      </c>
      <c r="G1432" t="str">
        <f t="shared" si="46"/>
        <v/>
      </c>
    </row>
    <row r="1433" spans="1:7" x14ac:dyDescent="0.2">
      <c r="A1433" t="s">
        <v>2</v>
      </c>
      <c r="B1433">
        <v>0.41241931500000001</v>
      </c>
      <c r="C1433">
        <v>1</v>
      </c>
      <c r="D1433">
        <f t="shared" si="45"/>
        <v>1</v>
      </c>
      <c r="E1433" t="str">
        <f t="shared" si="45"/>
        <v/>
      </c>
      <c r="F1433">
        <f t="shared" si="46"/>
        <v>0.41241931500000001</v>
      </c>
      <c r="G1433" t="str">
        <f t="shared" si="46"/>
        <v/>
      </c>
    </row>
    <row r="1434" spans="1:7" x14ac:dyDescent="0.2">
      <c r="A1434" t="s">
        <v>2</v>
      </c>
      <c r="B1434">
        <v>0.4578419782</v>
      </c>
      <c r="C1434">
        <v>0</v>
      </c>
      <c r="D1434">
        <f t="shared" si="45"/>
        <v>0</v>
      </c>
      <c r="E1434" t="str">
        <f t="shared" si="45"/>
        <v/>
      </c>
      <c r="F1434">
        <f t="shared" si="46"/>
        <v>0.4578419782</v>
      </c>
      <c r="G1434" t="str">
        <f t="shared" si="46"/>
        <v/>
      </c>
    </row>
    <row r="1435" spans="1:7" x14ac:dyDescent="0.2">
      <c r="A1435" t="s">
        <v>2</v>
      </c>
      <c r="B1435">
        <v>0.4005336665</v>
      </c>
      <c r="C1435">
        <v>0</v>
      </c>
      <c r="D1435">
        <f t="shared" si="45"/>
        <v>0</v>
      </c>
      <c r="E1435" t="str">
        <f t="shared" si="45"/>
        <v/>
      </c>
      <c r="F1435">
        <f t="shared" si="46"/>
        <v>0.4005336665</v>
      </c>
      <c r="G1435" t="str">
        <f t="shared" si="46"/>
        <v/>
      </c>
    </row>
    <row r="1436" spans="1:7" x14ac:dyDescent="0.2">
      <c r="A1436" t="s">
        <v>2</v>
      </c>
      <c r="B1436">
        <v>0.53333375019999996</v>
      </c>
      <c r="C1436">
        <v>1</v>
      </c>
      <c r="D1436">
        <f t="shared" si="45"/>
        <v>1</v>
      </c>
      <c r="E1436" t="str">
        <f t="shared" si="45"/>
        <v/>
      </c>
      <c r="F1436">
        <f t="shared" si="46"/>
        <v>0.53333375019999996</v>
      </c>
      <c r="G1436" t="str">
        <f t="shared" si="46"/>
        <v/>
      </c>
    </row>
    <row r="1437" spans="1:7" x14ac:dyDescent="0.2">
      <c r="A1437" t="s">
        <v>2</v>
      </c>
      <c r="B1437">
        <v>9.4201232499999996E-2</v>
      </c>
      <c r="C1437">
        <v>0</v>
      </c>
      <c r="D1437">
        <f t="shared" si="45"/>
        <v>0</v>
      </c>
      <c r="E1437" t="str">
        <f t="shared" si="45"/>
        <v/>
      </c>
      <c r="F1437">
        <f t="shared" si="46"/>
        <v>9.4201232499999996E-2</v>
      </c>
      <c r="G1437" t="str">
        <f t="shared" si="46"/>
        <v/>
      </c>
    </row>
    <row r="1438" spans="1:7" x14ac:dyDescent="0.2">
      <c r="A1438" t="s">
        <v>2</v>
      </c>
      <c r="B1438">
        <v>0.2281043365</v>
      </c>
      <c r="C1438">
        <v>0</v>
      </c>
      <c r="D1438">
        <f t="shared" si="45"/>
        <v>0</v>
      </c>
      <c r="E1438" t="str">
        <f t="shared" si="45"/>
        <v/>
      </c>
      <c r="F1438">
        <f t="shared" si="46"/>
        <v>0.2281043365</v>
      </c>
      <c r="G1438" t="str">
        <f t="shared" si="46"/>
        <v/>
      </c>
    </row>
    <row r="1439" spans="1:7" x14ac:dyDescent="0.2">
      <c r="A1439" t="s">
        <v>0</v>
      </c>
      <c r="B1439">
        <v>0.83873738630000005</v>
      </c>
      <c r="C1439">
        <v>1</v>
      </c>
      <c r="D1439" t="str">
        <f t="shared" si="45"/>
        <v/>
      </c>
      <c r="E1439">
        <f t="shared" si="45"/>
        <v>1</v>
      </c>
      <c r="F1439" t="str">
        <f t="shared" si="46"/>
        <v/>
      </c>
      <c r="G1439">
        <f t="shared" si="46"/>
        <v>0.83873738630000005</v>
      </c>
    </row>
    <row r="1440" spans="1:7" x14ac:dyDescent="0.2">
      <c r="A1440" t="s">
        <v>2</v>
      </c>
      <c r="B1440">
        <v>0.51756416110000003</v>
      </c>
      <c r="C1440">
        <v>0</v>
      </c>
      <c r="D1440">
        <f t="shared" si="45"/>
        <v>0</v>
      </c>
      <c r="E1440" t="str">
        <f t="shared" si="45"/>
        <v/>
      </c>
      <c r="F1440">
        <f t="shared" si="46"/>
        <v>0.51756416110000003</v>
      </c>
      <c r="G1440" t="str">
        <f t="shared" si="46"/>
        <v/>
      </c>
    </row>
    <row r="1441" spans="1:7" x14ac:dyDescent="0.2">
      <c r="A1441" t="s">
        <v>2</v>
      </c>
      <c r="B1441">
        <v>0.49484953549999999</v>
      </c>
      <c r="C1441">
        <v>1</v>
      </c>
      <c r="D1441">
        <f t="shared" si="45"/>
        <v>1</v>
      </c>
      <c r="E1441" t="str">
        <f t="shared" si="45"/>
        <v/>
      </c>
      <c r="F1441">
        <f t="shared" si="46"/>
        <v>0.49484953549999999</v>
      </c>
      <c r="G1441" t="str">
        <f t="shared" si="46"/>
        <v/>
      </c>
    </row>
    <row r="1442" spans="1:7" x14ac:dyDescent="0.2">
      <c r="A1442" t="s">
        <v>0</v>
      </c>
      <c r="B1442">
        <v>0.63243412970000001</v>
      </c>
      <c r="C1442">
        <v>0</v>
      </c>
      <c r="D1442" t="str">
        <f t="shared" si="45"/>
        <v/>
      </c>
      <c r="E1442">
        <f t="shared" si="45"/>
        <v>0</v>
      </c>
      <c r="F1442" t="str">
        <f t="shared" si="46"/>
        <v/>
      </c>
      <c r="G1442">
        <f t="shared" si="46"/>
        <v>0.63243412970000001</v>
      </c>
    </row>
    <row r="1443" spans="1:7" x14ac:dyDescent="0.2">
      <c r="A1443" t="s">
        <v>2</v>
      </c>
      <c r="B1443">
        <v>0.27893665940000001</v>
      </c>
      <c r="C1443">
        <v>0</v>
      </c>
      <c r="D1443">
        <f t="shared" si="45"/>
        <v>0</v>
      </c>
      <c r="E1443" t="str">
        <f t="shared" si="45"/>
        <v/>
      </c>
      <c r="F1443">
        <f t="shared" si="46"/>
        <v>0.27893665940000001</v>
      </c>
      <c r="G1443" t="str">
        <f t="shared" si="46"/>
        <v/>
      </c>
    </row>
    <row r="1444" spans="1:7" x14ac:dyDescent="0.2">
      <c r="A1444" t="s">
        <v>2</v>
      </c>
      <c r="B1444">
        <v>0.28109373209999999</v>
      </c>
      <c r="C1444">
        <v>0</v>
      </c>
      <c r="D1444">
        <f t="shared" si="45"/>
        <v>0</v>
      </c>
      <c r="E1444" t="str">
        <f t="shared" si="45"/>
        <v/>
      </c>
      <c r="F1444">
        <f t="shared" si="46"/>
        <v>0.28109373209999999</v>
      </c>
      <c r="G1444" t="str">
        <f t="shared" si="46"/>
        <v/>
      </c>
    </row>
    <row r="1445" spans="1:7" x14ac:dyDescent="0.2">
      <c r="A1445" t="s">
        <v>0</v>
      </c>
      <c r="B1445">
        <v>0.10205004049999999</v>
      </c>
      <c r="C1445">
        <v>0</v>
      </c>
      <c r="D1445" t="str">
        <f t="shared" si="45"/>
        <v/>
      </c>
      <c r="E1445">
        <f t="shared" si="45"/>
        <v>0</v>
      </c>
      <c r="F1445" t="str">
        <f t="shared" si="46"/>
        <v/>
      </c>
      <c r="G1445">
        <f t="shared" si="46"/>
        <v>0.10205004049999999</v>
      </c>
    </row>
    <row r="1446" spans="1:7" x14ac:dyDescent="0.2">
      <c r="A1446" t="s">
        <v>0</v>
      </c>
      <c r="B1446">
        <v>0.20618592729999999</v>
      </c>
      <c r="C1446">
        <v>0</v>
      </c>
      <c r="D1446" t="str">
        <f t="shared" si="45"/>
        <v/>
      </c>
      <c r="E1446">
        <f t="shared" si="45"/>
        <v>0</v>
      </c>
      <c r="F1446" t="str">
        <f t="shared" si="46"/>
        <v/>
      </c>
      <c r="G1446">
        <f t="shared" si="46"/>
        <v>0.20618592729999999</v>
      </c>
    </row>
    <row r="1447" spans="1:7" x14ac:dyDescent="0.2">
      <c r="A1447" t="s">
        <v>2</v>
      </c>
      <c r="B1447">
        <v>0.18473867620000001</v>
      </c>
      <c r="C1447">
        <v>0</v>
      </c>
      <c r="D1447">
        <f t="shared" si="45"/>
        <v>0</v>
      </c>
      <c r="E1447" t="str">
        <f t="shared" si="45"/>
        <v/>
      </c>
      <c r="F1447">
        <f t="shared" si="46"/>
        <v>0.18473867620000001</v>
      </c>
      <c r="G1447" t="str">
        <f t="shared" si="46"/>
        <v/>
      </c>
    </row>
    <row r="1448" spans="1:7" x14ac:dyDescent="0.2">
      <c r="A1448" t="s">
        <v>2</v>
      </c>
      <c r="B1448">
        <v>0.25020280169999998</v>
      </c>
      <c r="C1448">
        <v>0</v>
      </c>
      <c r="D1448">
        <f t="shared" si="45"/>
        <v>0</v>
      </c>
      <c r="E1448" t="str">
        <f t="shared" si="45"/>
        <v/>
      </c>
      <c r="F1448">
        <f t="shared" si="46"/>
        <v>0.25020280169999998</v>
      </c>
      <c r="G1448" t="str">
        <f t="shared" si="46"/>
        <v/>
      </c>
    </row>
    <row r="1449" spans="1:7" x14ac:dyDescent="0.2">
      <c r="A1449" t="s">
        <v>0</v>
      </c>
      <c r="B1449">
        <v>0.51624510140000002</v>
      </c>
      <c r="C1449">
        <v>0</v>
      </c>
      <c r="D1449" t="str">
        <f t="shared" si="45"/>
        <v/>
      </c>
      <c r="E1449">
        <f t="shared" si="45"/>
        <v>0</v>
      </c>
      <c r="F1449" t="str">
        <f t="shared" si="46"/>
        <v/>
      </c>
      <c r="G1449">
        <f t="shared" si="46"/>
        <v>0.51624510140000002</v>
      </c>
    </row>
    <row r="1450" spans="1:7" x14ac:dyDescent="0.2">
      <c r="A1450" t="s">
        <v>2</v>
      </c>
      <c r="B1450">
        <v>0.58242494030000003</v>
      </c>
      <c r="C1450">
        <v>1</v>
      </c>
      <c r="D1450">
        <f t="shared" si="45"/>
        <v>1</v>
      </c>
      <c r="E1450" t="str">
        <f t="shared" si="45"/>
        <v/>
      </c>
      <c r="F1450">
        <f t="shared" si="46"/>
        <v>0.58242494030000003</v>
      </c>
      <c r="G1450" t="str">
        <f t="shared" si="46"/>
        <v/>
      </c>
    </row>
    <row r="1451" spans="1:7" x14ac:dyDescent="0.2">
      <c r="A1451" t="s">
        <v>0</v>
      </c>
      <c r="B1451">
        <v>0.17154621040000001</v>
      </c>
      <c r="C1451">
        <v>0</v>
      </c>
      <c r="D1451" t="str">
        <f t="shared" ref="D1451:E1514" si="47">IF($A1451=D$1,$C1451,"")</f>
        <v/>
      </c>
      <c r="E1451">
        <f t="shared" si="47"/>
        <v>0</v>
      </c>
      <c r="F1451" t="str">
        <f t="shared" ref="F1451:G1514" si="48">IF($A1451=F$1,$B1451,"")</f>
        <v/>
      </c>
      <c r="G1451">
        <f t="shared" si="48"/>
        <v>0.17154621040000001</v>
      </c>
    </row>
    <row r="1452" spans="1:7" x14ac:dyDescent="0.2">
      <c r="A1452" t="s">
        <v>2</v>
      </c>
      <c r="B1452">
        <v>0.40955600269999998</v>
      </c>
      <c r="C1452">
        <v>0</v>
      </c>
      <c r="D1452">
        <f t="shared" si="47"/>
        <v>0</v>
      </c>
      <c r="E1452" t="str">
        <f t="shared" si="47"/>
        <v/>
      </c>
      <c r="F1452">
        <f t="shared" si="48"/>
        <v>0.40955600269999998</v>
      </c>
      <c r="G1452" t="str">
        <f t="shared" si="48"/>
        <v/>
      </c>
    </row>
    <row r="1453" spans="1:7" x14ac:dyDescent="0.2">
      <c r="A1453" t="s">
        <v>0</v>
      </c>
      <c r="B1453">
        <v>0.31759798789999999</v>
      </c>
      <c r="C1453">
        <v>1</v>
      </c>
      <c r="D1453" t="str">
        <f t="shared" si="47"/>
        <v/>
      </c>
      <c r="E1453">
        <f t="shared" si="47"/>
        <v>1</v>
      </c>
      <c r="F1453" t="str">
        <f t="shared" si="48"/>
        <v/>
      </c>
      <c r="G1453">
        <f t="shared" si="48"/>
        <v>0.31759798789999999</v>
      </c>
    </row>
    <row r="1454" spans="1:7" x14ac:dyDescent="0.2">
      <c r="A1454" t="s">
        <v>2</v>
      </c>
      <c r="B1454">
        <v>0.26390258550000001</v>
      </c>
      <c r="C1454">
        <v>1</v>
      </c>
      <c r="D1454">
        <f t="shared" si="47"/>
        <v>1</v>
      </c>
      <c r="E1454" t="str">
        <f t="shared" si="47"/>
        <v/>
      </c>
      <c r="F1454">
        <f t="shared" si="48"/>
        <v>0.26390258550000001</v>
      </c>
      <c r="G1454" t="str">
        <f t="shared" si="48"/>
        <v/>
      </c>
    </row>
    <row r="1455" spans="1:7" x14ac:dyDescent="0.2">
      <c r="A1455" t="s">
        <v>2</v>
      </c>
      <c r="B1455">
        <v>0.26661269479999999</v>
      </c>
      <c r="C1455">
        <v>0</v>
      </c>
      <c r="D1455">
        <f t="shared" si="47"/>
        <v>0</v>
      </c>
      <c r="E1455" t="str">
        <f t="shared" si="47"/>
        <v/>
      </c>
      <c r="F1455">
        <f t="shared" si="48"/>
        <v>0.26661269479999999</v>
      </c>
      <c r="G1455" t="str">
        <f t="shared" si="48"/>
        <v/>
      </c>
    </row>
    <row r="1456" spans="1:7" x14ac:dyDescent="0.2">
      <c r="A1456" t="s">
        <v>0</v>
      </c>
      <c r="B1456">
        <v>0.49821008999999999</v>
      </c>
      <c r="C1456">
        <v>0</v>
      </c>
      <c r="D1456" t="str">
        <f t="shared" si="47"/>
        <v/>
      </c>
      <c r="E1456">
        <f t="shared" si="47"/>
        <v>0</v>
      </c>
      <c r="F1456" t="str">
        <f t="shared" si="48"/>
        <v/>
      </c>
      <c r="G1456">
        <f t="shared" si="48"/>
        <v>0.49821008999999999</v>
      </c>
    </row>
    <row r="1457" spans="1:7" x14ac:dyDescent="0.2">
      <c r="A1457" t="s">
        <v>2</v>
      </c>
      <c r="B1457">
        <v>0.19601923130000001</v>
      </c>
      <c r="C1457">
        <v>0</v>
      </c>
      <c r="D1457">
        <f t="shared" si="47"/>
        <v>0</v>
      </c>
      <c r="E1457" t="str">
        <f t="shared" si="47"/>
        <v/>
      </c>
      <c r="F1457">
        <f t="shared" si="48"/>
        <v>0.19601923130000001</v>
      </c>
      <c r="G1457" t="str">
        <f t="shared" si="48"/>
        <v/>
      </c>
    </row>
    <row r="1458" spans="1:7" x14ac:dyDescent="0.2">
      <c r="A1458" t="s">
        <v>0</v>
      </c>
      <c r="B1458">
        <v>0.17084009510000001</v>
      </c>
      <c r="C1458">
        <v>0</v>
      </c>
      <c r="D1458" t="str">
        <f t="shared" si="47"/>
        <v/>
      </c>
      <c r="E1458">
        <f t="shared" si="47"/>
        <v>0</v>
      </c>
      <c r="F1458" t="str">
        <f t="shared" si="48"/>
        <v/>
      </c>
      <c r="G1458">
        <f t="shared" si="48"/>
        <v>0.17084009510000001</v>
      </c>
    </row>
    <row r="1459" spans="1:7" x14ac:dyDescent="0.2">
      <c r="A1459" t="s">
        <v>2</v>
      </c>
      <c r="B1459">
        <v>0.67102295079999996</v>
      </c>
      <c r="C1459">
        <v>0</v>
      </c>
      <c r="D1459">
        <f t="shared" si="47"/>
        <v>0</v>
      </c>
      <c r="E1459" t="str">
        <f t="shared" si="47"/>
        <v/>
      </c>
      <c r="F1459">
        <f t="shared" si="48"/>
        <v>0.67102295079999996</v>
      </c>
      <c r="G1459" t="str">
        <f t="shared" si="48"/>
        <v/>
      </c>
    </row>
    <row r="1460" spans="1:7" x14ac:dyDescent="0.2">
      <c r="A1460" t="s">
        <v>0</v>
      </c>
      <c r="B1460">
        <v>0.1926952441</v>
      </c>
      <c r="C1460">
        <v>1</v>
      </c>
      <c r="D1460" t="str">
        <f t="shared" si="47"/>
        <v/>
      </c>
      <c r="E1460">
        <f t="shared" si="47"/>
        <v>1</v>
      </c>
      <c r="F1460" t="str">
        <f t="shared" si="48"/>
        <v/>
      </c>
      <c r="G1460">
        <f t="shared" si="48"/>
        <v>0.1926952441</v>
      </c>
    </row>
    <row r="1461" spans="1:7" x14ac:dyDescent="0.2">
      <c r="A1461" t="s">
        <v>0</v>
      </c>
      <c r="B1461">
        <v>0.47514570630000003</v>
      </c>
      <c r="C1461">
        <v>1</v>
      </c>
      <c r="D1461" t="str">
        <f t="shared" si="47"/>
        <v/>
      </c>
      <c r="E1461">
        <f t="shared" si="47"/>
        <v>1</v>
      </c>
      <c r="F1461" t="str">
        <f t="shared" si="48"/>
        <v/>
      </c>
      <c r="G1461">
        <f t="shared" si="48"/>
        <v>0.47514570630000003</v>
      </c>
    </row>
    <row r="1462" spans="1:7" x14ac:dyDescent="0.2">
      <c r="A1462" t="s">
        <v>0</v>
      </c>
      <c r="B1462">
        <v>0.2834080558</v>
      </c>
      <c r="C1462">
        <v>0</v>
      </c>
      <c r="D1462" t="str">
        <f t="shared" si="47"/>
        <v/>
      </c>
      <c r="E1462">
        <f t="shared" si="47"/>
        <v>0</v>
      </c>
      <c r="F1462" t="str">
        <f t="shared" si="48"/>
        <v/>
      </c>
      <c r="G1462">
        <f t="shared" si="48"/>
        <v>0.2834080558</v>
      </c>
    </row>
    <row r="1463" spans="1:7" x14ac:dyDescent="0.2">
      <c r="A1463" t="s">
        <v>0</v>
      </c>
      <c r="B1463">
        <v>0.54920049339999999</v>
      </c>
      <c r="C1463">
        <v>0</v>
      </c>
      <c r="D1463" t="str">
        <f t="shared" si="47"/>
        <v/>
      </c>
      <c r="E1463">
        <f t="shared" si="47"/>
        <v>0</v>
      </c>
      <c r="F1463" t="str">
        <f t="shared" si="48"/>
        <v/>
      </c>
      <c r="G1463">
        <f t="shared" si="48"/>
        <v>0.54920049339999999</v>
      </c>
    </row>
    <row r="1464" spans="1:7" x14ac:dyDescent="0.2">
      <c r="A1464" t="s">
        <v>2</v>
      </c>
      <c r="B1464">
        <v>0.14574040129999999</v>
      </c>
      <c r="C1464">
        <v>1</v>
      </c>
      <c r="D1464">
        <f t="shared" si="47"/>
        <v>1</v>
      </c>
      <c r="E1464" t="str">
        <f t="shared" si="47"/>
        <v/>
      </c>
      <c r="F1464">
        <f t="shared" si="48"/>
        <v>0.14574040129999999</v>
      </c>
      <c r="G1464" t="str">
        <f t="shared" si="48"/>
        <v/>
      </c>
    </row>
    <row r="1465" spans="1:7" x14ac:dyDescent="0.2">
      <c r="A1465" t="s">
        <v>0</v>
      </c>
      <c r="B1465">
        <v>0.4152882631</v>
      </c>
      <c r="C1465">
        <v>1</v>
      </c>
      <c r="D1465" t="str">
        <f t="shared" si="47"/>
        <v/>
      </c>
      <c r="E1465">
        <f t="shared" si="47"/>
        <v>1</v>
      </c>
      <c r="F1465" t="str">
        <f t="shared" si="48"/>
        <v/>
      </c>
      <c r="G1465">
        <f t="shared" si="48"/>
        <v>0.4152882631</v>
      </c>
    </row>
    <row r="1466" spans="1:7" x14ac:dyDescent="0.2">
      <c r="A1466" t="s">
        <v>2</v>
      </c>
      <c r="B1466">
        <v>0.2281470686</v>
      </c>
      <c r="C1466">
        <v>0</v>
      </c>
      <c r="D1466">
        <f t="shared" si="47"/>
        <v>0</v>
      </c>
      <c r="E1466" t="str">
        <f t="shared" si="47"/>
        <v/>
      </c>
      <c r="F1466">
        <f t="shared" si="48"/>
        <v>0.2281470686</v>
      </c>
      <c r="G1466" t="str">
        <f t="shared" si="48"/>
        <v/>
      </c>
    </row>
    <row r="1467" spans="1:7" x14ac:dyDescent="0.2">
      <c r="A1467" t="s">
        <v>0</v>
      </c>
      <c r="B1467">
        <v>0.54790195060000002</v>
      </c>
      <c r="C1467">
        <v>0</v>
      </c>
      <c r="D1467" t="str">
        <f t="shared" si="47"/>
        <v/>
      </c>
      <c r="E1467">
        <f t="shared" si="47"/>
        <v>0</v>
      </c>
      <c r="F1467" t="str">
        <f t="shared" si="48"/>
        <v/>
      </c>
      <c r="G1467">
        <f t="shared" si="48"/>
        <v>0.54790195060000002</v>
      </c>
    </row>
    <row r="1468" spans="1:7" x14ac:dyDescent="0.2">
      <c r="A1468" t="s">
        <v>2</v>
      </c>
      <c r="B1468">
        <v>0.58011781200000001</v>
      </c>
      <c r="C1468">
        <v>0</v>
      </c>
      <c r="D1468">
        <f t="shared" si="47"/>
        <v>0</v>
      </c>
      <c r="E1468" t="str">
        <f t="shared" si="47"/>
        <v/>
      </c>
      <c r="F1468">
        <f t="shared" si="48"/>
        <v>0.58011781200000001</v>
      </c>
      <c r="G1468" t="str">
        <f t="shared" si="48"/>
        <v/>
      </c>
    </row>
    <row r="1469" spans="1:7" x14ac:dyDescent="0.2">
      <c r="A1469" t="s">
        <v>0</v>
      </c>
      <c r="B1469">
        <v>0.82996226350000002</v>
      </c>
      <c r="C1469">
        <v>1</v>
      </c>
      <c r="D1469" t="str">
        <f t="shared" si="47"/>
        <v/>
      </c>
      <c r="E1469">
        <f t="shared" si="47"/>
        <v>1</v>
      </c>
      <c r="F1469" t="str">
        <f t="shared" si="48"/>
        <v/>
      </c>
      <c r="G1469">
        <f t="shared" si="48"/>
        <v>0.82996226350000002</v>
      </c>
    </row>
    <row r="1470" spans="1:7" x14ac:dyDescent="0.2">
      <c r="A1470" t="s">
        <v>0</v>
      </c>
      <c r="B1470">
        <v>0.53685515220000002</v>
      </c>
      <c r="C1470">
        <v>0</v>
      </c>
      <c r="D1470" t="str">
        <f t="shared" si="47"/>
        <v/>
      </c>
      <c r="E1470">
        <f t="shared" si="47"/>
        <v>0</v>
      </c>
      <c r="F1470" t="str">
        <f t="shared" si="48"/>
        <v/>
      </c>
      <c r="G1470">
        <f t="shared" si="48"/>
        <v>0.53685515220000002</v>
      </c>
    </row>
    <row r="1471" spans="1:7" x14ac:dyDescent="0.2">
      <c r="A1471" t="s">
        <v>0</v>
      </c>
      <c r="B1471">
        <v>0.49781359009999998</v>
      </c>
      <c r="C1471">
        <v>0</v>
      </c>
      <c r="D1471" t="str">
        <f t="shared" si="47"/>
        <v/>
      </c>
      <c r="E1471">
        <f t="shared" si="47"/>
        <v>0</v>
      </c>
      <c r="F1471" t="str">
        <f t="shared" si="48"/>
        <v/>
      </c>
      <c r="G1471">
        <f t="shared" si="48"/>
        <v>0.49781359009999998</v>
      </c>
    </row>
    <row r="1472" spans="1:7" x14ac:dyDescent="0.2">
      <c r="A1472" t="s">
        <v>2</v>
      </c>
      <c r="B1472">
        <v>0.2548685034</v>
      </c>
      <c r="C1472">
        <v>1</v>
      </c>
      <c r="D1472">
        <f t="shared" si="47"/>
        <v>1</v>
      </c>
      <c r="E1472" t="str">
        <f t="shared" si="47"/>
        <v/>
      </c>
      <c r="F1472">
        <f t="shared" si="48"/>
        <v>0.2548685034</v>
      </c>
      <c r="G1472" t="str">
        <f t="shared" si="48"/>
        <v/>
      </c>
    </row>
    <row r="1473" spans="1:7" x14ac:dyDescent="0.2">
      <c r="A1473" t="s">
        <v>2</v>
      </c>
      <c r="B1473">
        <v>0.70390984099999998</v>
      </c>
      <c r="C1473">
        <v>0</v>
      </c>
      <c r="D1473">
        <f t="shared" si="47"/>
        <v>0</v>
      </c>
      <c r="E1473" t="str">
        <f t="shared" si="47"/>
        <v/>
      </c>
      <c r="F1473">
        <f t="shared" si="48"/>
        <v>0.70390984099999998</v>
      </c>
      <c r="G1473" t="str">
        <f t="shared" si="48"/>
        <v/>
      </c>
    </row>
    <row r="1474" spans="1:7" x14ac:dyDescent="0.2">
      <c r="A1474" t="s">
        <v>0</v>
      </c>
      <c r="B1474">
        <v>0.5385838328</v>
      </c>
      <c r="C1474">
        <v>1</v>
      </c>
      <c r="D1474" t="str">
        <f t="shared" si="47"/>
        <v/>
      </c>
      <c r="E1474">
        <f t="shared" si="47"/>
        <v>1</v>
      </c>
      <c r="F1474" t="str">
        <f t="shared" si="48"/>
        <v/>
      </c>
      <c r="G1474">
        <f t="shared" si="48"/>
        <v>0.5385838328</v>
      </c>
    </row>
    <row r="1475" spans="1:7" x14ac:dyDescent="0.2">
      <c r="A1475" t="s">
        <v>2</v>
      </c>
      <c r="B1475">
        <v>0.1018524412</v>
      </c>
      <c r="C1475">
        <v>0</v>
      </c>
      <c r="D1475">
        <f t="shared" si="47"/>
        <v>0</v>
      </c>
      <c r="E1475" t="str">
        <f t="shared" si="47"/>
        <v/>
      </c>
      <c r="F1475">
        <f t="shared" si="48"/>
        <v>0.1018524412</v>
      </c>
      <c r="G1475" t="str">
        <f t="shared" si="48"/>
        <v/>
      </c>
    </row>
    <row r="1476" spans="1:7" x14ac:dyDescent="0.2">
      <c r="A1476" t="s">
        <v>2</v>
      </c>
      <c r="B1476">
        <v>0.28927300169999998</v>
      </c>
      <c r="C1476">
        <v>0</v>
      </c>
      <c r="D1476">
        <f t="shared" si="47"/>
        <v>0</v>
      </c>
      <c r="E1476" t="str">
        <f t="shared" si="47"/>
        <v/>
      </c>
      <c r="F1476">
        <f t="shared" si="48"/>
        <v>0.28927300169999998</v>
      </c>
      <c r="G1476" t="str">
        <f t="shared" si="48"/>
        <v/>
      </c>
    </row>
    <row r="1477" spans="1:7" x14ac:dyDescent="0.2">
      <c r="A1477" t="s">
        <v>2</v>
      </c>
      <c r="B1477">
        <v>0.51403229269999995</v>
      </c>
      <c r="C1477">
        <v>1</v>
      </c>
      <c r="D1477">
        <f t="shared" si="47"/>
        <v>1</v>
      </c>
      <c r="E1477" t="str">
        <f t="shared" si="47"/>
        <v/>
      </c>
      <c r="F1477">
        <f t="shared" si="48"/>
        <v>0.51403229269999995</v>
      </c>
      <c r="G1477" t="str">
        <f t="shared" si="48"/>
        <v/>
      </c>
    </row>
    <row r="1478" spans="1:7" x14ac:dyDescent="0.2">
      <c r="A1478" t="s">
        <v>2</v>
      </c>
      <c r="B1478">
        <v>0.57707449070000005</v>
      </c>
      <c r="C1478">
        <v>1</v>
      </c>
      <c r="D1478">
        <f t="shared" si="47"/>
        <v>1</v>
      </c>
      <c r="E1478" t="str">
        <f t="shared" si="47"/>
        <v/>
      </c>
      <c r="F1478">
        <f t="shared" si="48"/>
        <v>0.57707449070000005</v>
      </c>
      <c r="G1478" t="str">
        <f t="shared" si="48"/>
        <v/>
      </c>
    </row>
    <row r="1479" spans="1:7" x14ac:dyDescent="0.2">
      <c r="A1479" t="s">
        <v>0</v>
      </c>
      <c r="B1479">
        <v>0.30879861619999999</v>
      </c>
      <c r="C1479">
        <v>1</v>
      </c>
      <c r="D1479" t="str">
        <f t="shared" si="47"/>
        <v/>
      </c>
      <c r="E1479">
        <f t="shared" si="47"/>
        <v>1</v>
      </c>
      <c r="F1479" t="str">
        <f t="shared" si="48"/>
        <v/>
      </c>
      <c r="G1479">
        <f t="shared" si="48"/>
        <v>0.30879861619999999</v>
      </c>
    </row>
    <row r="1480" spans="1:7" x14ac:dyDescent="0.2">
      <c r="A1480" t="s">
        <v>2</v>
      </c>
      <c r="B1480">
        <v>9.8283412700000003E-2</v>
      </c>
      <c r="C1480">
        <v>0</v>
      </c>
      <c r="D1480">
        <f t="shared" si="47"/>
        <v>0</v>
      </c>
      <c r="E1480" t="str">
        <f t="shared" si="47"/>
        <v/>
      </c>
      <c r="F1480">
        <f t="shared" si="48"/>
        <v>9.8283412700000003E-2</v>
      </c>
      <c r="G1480" t="str">
        <f t="shared" si="48"/>
        <v/>
      </c>
    </row>
    <row r="1481" spans="1:7" x14ac:dyDescent="0.2">
      <c r="A1481" t="s">
        <v>2</v>
      </c>
      <c r="B1481">
        <v>0.255820936</v>
      </c>
      <c r="C1481">
        <v>0</v>
      </c>
      <c r="D1481">
        <f t="shared" si="47"/>
        <v>0</v>
      </c>
      <c r="E1481" t="str">
        <f t="shared" si="47"/>
        <v/>
      </c>
      <c r="F1481">
        <f t="shared" si="48"/>
        <v>0.255820936</v>
      </c>
      <c r="G1481" t="str">
        <f t="shared" si="48"/>
        <v/>
      </c>
    </row>
    <row r="1482" spans="1:7" x14ac:dyDescent="0.2">
      <c r="A1482" t="s">
        <v>0</v>
      </c>
      <c r="B1482">
        <v>0.74777944370000005</v>
      </c>
      <c r="C1482">
        <v>1</v>
      </c>
      <c r="D1482" t="str">
        <f t="shared" si="47"/>
        <v/>
      </c>
      <c r="E1482">
        <f t="shared" si="47"/>
        <v>1</v>
      </c>
      <c r="F1482" t="str">
        <f t="shared" si="48"/>
        <v/>
      </c>
      <c r="G1482">
        <f t="shared" si="48"/>
        <v>0.74777944370000005</v>
      </c>
    </row>
    <row r="1483" spans="1:7" x14ac:dyDescent="0.2">
      <c r="A1483" t="s">
        <v>2</v>
      </c>
      <c r="B1483">
        <v>0.33468739040000001</v>
      </c>
      <c r="C1483">
        <v>0</v>
      </c>
      <c r="D1483">
        <f t="shared" si="47"/>
        <v>0</v>
      </c>
      <c r="E1483" t="str">
        <f t="shared" si="47"/>
        <v/>
      </c>
      <c r="F1483">
        <f t="shared" si="48"/>
        <v>0.33468739040000001</v>
      </c>
      <c r="G1483" t="str">
        <f t="shared" si="48"/>
        <v/>
      </c>
    </row>
    <row r="1484" spans="1:7" x14ac:dyDescent="0.2">
      <c r="A1484" t="s">
        <v>2</v>
      </c>
      <c r="B1484">
        <v>0.81512936849999995</v>
      </c>
      <c r="C1484">
        <v>1</v>
      </c>
      <c r="D1484">
        <f t="shared" si="47"/>
        <v>1</v>
      </c>
      <c r="E1484" t="str">
        <f t="shared" si="47"/>
        <v/>
      </c>
      <c r="F1484">
        <f t="shared" si="48"/>
        <v>0.81512936849999995</v>
      </c>
      <c r="G1484" t="str">
        <f t="shared" si="48"/>
        <v/>
      </c>
    </row>
    <row r="1485" spans="1:7" x14ac:dyDescent="0.2">
      <c r="A1485" t="s">
        <v>2</v>
      </c>
      <c r="B1485">
        <v>9.0790747399999996E-2</v>
      </c>
      <c r="C1485">
        <v>0</v>
      </c>
      <c r="D1485">
        <f t="shared" si="47"/>
        <v>0</v>
      </c>
      <c r="E1485" t="str">
        <f t="shared" si="47"/>
        <v/>
      </c>
      <c r="F1485">
        <f t="shared" si="48"/>
        <v>9.0790747399999996E-2</v>
      </c>
      <c r="G1485" t="str">
        <f t="shared" si="48"/>
        <v/>
      </c>
    </row>
    <row r="1486" spans="1:7" x14ac:dyDescent="0.2">
      <c r="A1486" t="s">
        <v>0</v>
      </c>
      <c r="B1486">
        <v>0.41493306520000001</v>
      </c>
      <c r="C1486">
        <v>1</v>
      </c>
      <c r="D1486" t="str">
        <f t="shared" si="47"/>
        <v/>
      </c>
      <c r="E1486">
        <f t="shared" si="47"/>
        <v>1</v>
      </c>
      <c r="F1486" t="str">
        <f t="shared" si="48"/>
        <v/>
      </c>
      <c r="G1486">
        <f t="shared" si="48"/>
        <v>0.41493306520000001</v>
      </c>
    </row>
    <row r="1487" spans="1:7" x14ac:dyDescent="0.2">
      <c r="A1487" t="s">
        <v>0</v>
      </c>
      <c r="B1487">
        <v>0.470146165</v>
      </c>
      <c r="C1487">
        <v>1</v>
      </c>
      <c r="D1487" t="str">
        <f t="shared" si="47"/>
        <v/>
      </c>
      <c r="E1487">
        <f t="shared" si="47"/>
        <v>1</v>
      </c>
      <c r="F1487" t="str">
        <f t="shared" si="48"/>
        <v/>
      </c>
      <c r="G1487">
        <f t="shared" si="48"/>
        <v>0.470146165</v>
      </c>
    </row>
    <row r="1488" spans="1:7" x14ac:dyDescent="0.2">
      <c r="A1488" t="s">
        <v>2</v>
      </c>
      <c r="B1488">
        <v>0.2964542409</v>
      </c>
      <c r="C1488">
        <v>0</v>
      </c>
      <c r="D1488">
        <f t="shared" si="47"/>
        <v>0</v>
      </c>
      <c r="E1488" t="str">
        <f t="shared" si="47"/>
        <v/>
      </c>
      <c r="F1488">
        <f t="shared" si="48"/>
        <v>0.2964542409</v>
      </c>
      <c r="G1488" t="str">
        <f t="shared" si="48"/>
        <v/>
      </c>
    </row>
    <row r="1489" spans="1:7" x14ac:dyDescent="0.2">
      <c r="A1489" t="s">
        <v>2</v>
      </c>
      <c r="B1489">
        <v>0.31256853010000002</v>
      </c>
      <c r="C1489">
        <v>0</v>
      </c>
      <c r="D1489">
        <f t="shared" si="47"/>
        <v>0</v>
      </c>
      <c r="E1489" t="str">
        <f t="shared" si="47"/>
        <v/>
      </c>
      <c r="F1489">
        <f t="shared" si="48"/>
        <v>0.31256853010000002</v>
      </c>
      <c r="G1489" t="str">
        <f t="shared" si="48"/>
        <v/>
      </c>
    </row>
    <row r="1490" spans="1:7" x14ac:dyDescent="0.2">
      <c r="A1490" t="s">
        <v>2</v>
      </c>
      <c r="B1490">
        <v>0.25552002280000002</v>
      </c>
      <c r="C1490">
        <v>0</v>
      </c>
      <c r="D1490">
        <f t="shared" si="47"/>
        <v>0</v>
      </c>
      <c r="E1490" t="str">
        <f t="shared" si="47"/>
        <v/>
      </c>
      <c r="F1490">
        <f t="shared" si="48"/>
        <v>0.25552002280000002</v>
      </c>
      <c r="G1490" t="str">
        <f t="shared" si="48"/>
        <v/>
      </c>
    </row>
    <row r="1491" spans="1:7" x14ac:dyDescent="0.2">
      <c r="A1491" t="s">
        <v>2</v>
      </c>
      <c r="B1491">
        <v>0.13677663849999999</v>
      </c>
      <c r="C1491">
        <v>0</v>
      </c>
      <c r="D1491">
        <f t="shared" si="47"/>
        <v>0</v>
      </c>
      <c r="E1491" t="str">
        <f t="shared" si="47"/>
        <v/>
      </c>
      <c r="F1491">
        <f t="shared" si="48"/>
        <v>0.13677663849999999</v>
      </c>
      <c r="G1491" t="str">
        <f t="shared" si="48"/>
        <v/>
      </c>
    </row>
    <row r="1492" spans="1:7" x14ac:dyDescent="0.2">
      <c r="A1492" t="s">
        <v>2</v>
      </c>
      <c r="B1492">
        <v>0.43568431089999998</v>
      </c>
      <c r="C1492">
        <v>1</v>
      </c>
      <c r="D1492">
        <f t="shared" si="47"/>
        <v>1</v>
      </c>
      <c r="E1492" t="str">
        <f t="shared" si="47"/>
        <v/>
      </c>
      <c r="F1492">
        <f t="shared" si="48"/>
        <v>0.43568431089999998</v>
      </c>
      <c r="G1492" t="str">
        <f t="shared" si="48"/>
        <v/>
      </c>
    </row>
    <row r="1493" spans="1:7" x14ac:dyDescent="0.2">
      <c r="A1493" t="s">
        <v>2</v>
      </c>
      <c r="B1493">
        <v>0.61616889190000002</v>
      </c>
      <c r="C1493">
        <v>1</v>
      </c>
      <c r="D1493">
        <f t="shared" si="47"/>
        <v>1</v>
      </c>
      <c r="E1493" t="str">
        <f t="shared" si="47"/>
        <v/>
      </c>
      <c r="F1493">
        <f t="shared" si="48"/>
        <v>0.61616889190000002</v>
      </c>
      <c r="G1493" t="str">
        <f t="shared" si="48"/>
        <v/>
      </c>
    </row>
    <row r="1494" spans="1:7" x14ac:dyDescent="0.2">
      <c r="A1494" t="s">
        <v>0</v>
      </c>
      <c r="B1494">
        <v>0.46085372499999999</v>
      </c>
      <c r="C1494">
        <v>1</v>
      </c>
      <c r="D1494" t="str">
        <f t="shared" si="47"/>
        <v/>
      </c>
      <c r="E1494">
        <f t="shared" si="47"/>
        <v>1</v>
      </c>
      <c r="F1494" t="str">
        <f t="shared" si="48"/>
        <v/>
      </c>
      <c r="G1494">
        <f t="shared" si="48"/>
        <v>0.46085372499999999</v>
      </c>
    </row>
    <row r="1495" spans="1:7" x14ac:dyDescent="0.2">
      <c r="A1495" t="s">
        <v>2</v>
      </c>
      <c r="B1495">
        <v>0.81815909799999997</v>
      </c>
      <c r="C1495">
        <v>1</v>
      </c>
      <c r="D1495">
        <f t="shared" si="47"/>
        <v>1</v>
      </c>
      <c r="E1495" t="str">
        <f t="shared" si="47"/>
        <v/>
      </c>
      <c r="F1495">
        <f t="shared" si="48"/>
        <v>0.81815909799999997</v>
      </c>
      <c r="G1495" t="str">
        <f t="shared" si="48"/>
        <v/>
      </c>
    </row>
    <row r="1496" spans="1:7" x14ac:dyDescent="0.2">
      <c r="A1496" t="s">
        <v>2</v>
      </c>
      <c r="B1496">
        <v>0.1178432152</v>
      </c>
      <c r="C1496">
        <v>0</v>
      </c>
      <c r="D1496">
        <f t="shared" si="47"/>
        <v>0</v>
      </c>
      <c r="E1496" t="str">
        <f t="shared" si="47"/>
        <v/>
      </c>
      <c r="F1496">
        <f t="shared" si="48"/>
        <v>0.1178432152</v>
      </c>
      <c r="G1496" t="str">
        <f t="shared" si="48"/>
        <v/>
      </c>
    </row>
    <row r="1497" spans="1:7" x14ac:dyDescent="0.2">
      <c r="A1497" t="s">
        <v>2</v>
      </c>
      <c r="B1497">
        <v>0.50774859289999996</v>
      </c>
      <c r="C1497">
        <v>1</v>
      </c>
      <c r="D1497">
        <f t="shared" si="47"/>
        <v>1</v>
      </c>
      <c r="E1497" t="str">
        <f t="shared" si="47"/>
        <v/>
      </c>
      <c r="F1497">
        <f t="shared" si="48"/>
        <v>0.50774859289999996</v>
      </c>
      <c r="G1497" t="str">
        <f t="shared" si="48"/>
        <v/>
      </c>
    </row>
    <row r="1498" spans="1:7" x14ac:dyDescent="0.2">
      <c r="A1498" t="s">
        <v>0</v>
      </c>
      <c r="B1498">
        <v>0.64377794590000004</v>
      </c>
      <c r="C1498">
        <v>0</v>
      </c>
      <c r="D1498" t="str">
        <f t="shared" si="47"/>
        <v/>
      </c>
      <c r="E1498">
        <f t="shared" si="47"/>
        <v>0</v>
      </c>
      <c r="F1498" t="str">
        <f t="shared" si="48"/>
        <v/>
      </c>
      <c r="G1498">
        <f t="shared" si="48"/>
        <v>0.64377794590000004</v>
      </c>
    </row>
    <row r="1499" spans="1:7" x14ac:dyDescent="0.2">
      <c r="A1499" t="s">
        <v>2</v>
      </c>
      <c r="B1499">
        <v>0.45032242979999998</v>
      </c>
      <c r="C1499">
        <v>0</v>
      </c>
      <c r="D1499">
        <f t="shared" si="47"/>
        <v>0</v>
      </c>
      <c r="E1499" t="str">
        <f t="shared" si="47"/>
        <v/>
      </c>
      <c r="F1499">
        <f t="shared" si="48"/>
        <v>0.45032242979999998</v>
      </c>
      <c r="G1499" t="str">
        <f t="shared" si="48"/>
        <v/>
      </c>
    </row>
    <row r="1500" spans="1:7" x14ac:dyDescent="0.2">
      <c r="A1500" t="s">
        <v>2</v>
      </c>
      <c r="B1500">
        <v>0.17667425819999999</v>
      </c>
      <c r="C1500">
        <v>0</v>
      </c>
      <c r="D1500">
        <f t="shared" si="47"/>
        <v>0</v>
      </c>
      <c r="E1500" t="str">
        <f t="shared" si="47"/>
        <v/>
      </c>
      <c r="F1500">
        <f t="shared" si="48"/>
        <v>0.17667425819999999</v>
      </c>
      <c r="G1500" t="str">
        <f t="shared" si="48"/>
        <v/>
      </c>
    </row>
    <row r="1501" spans="1:7" x14ac:dyDescent="0.2">
      <c r="A1501" t="s">
        <v>2</v>
      </c>
      <c r="B1501">
        <v>0.86077949399999998</v>
      </c>
      <c r="C1501">
        <v>1</v>
      </c>
      <c r="D1501">
        <f t="shared" si="47"/>
        <v>1</v>
      </c>
      <c r="E1501" t="str">
        <f t="shared" si="47"/>
        <v/>
      </c>
      <c r="F1501">
        <f t="shared" si="48"/>
        <v>0.86077949399999998</v>
      </c>
      <c r="G1501" t="str">
        <f t="shared" si="48"/>
        <v/>
      </c>
    </row>
    <row r="1502" spans="1:7" x14ac:dyDescent="0.2">
      <c r="A1502" t="s">
        <v>2</v>
      </c>
      <c r="B1502">
        <v>0.65849096920000005</v>
      </c>
      <c r="C1502">
        <v>1</v>
      </c>
      <c r="D1502">
        <f t="shared" si="47"/>
        <v>1</v>
      </c>
      <c r="E1502" t="str">
        <f t="shared" si="47"/>
        <v/>
      </c>
      <c r="F1502">
        <f t="shared" si="48"/>
        <v>0.65849096920000005</v>
      </c>
      <c r="G1502" t="str">
        <f t="shared" si="48"/>
        <v/>
      </c>
    </row>
    <row r="1503" spans="1:7" x14ac:dyDescent="0.2">
      <c r="A1503" t="s">
        <v>0</v>
      </c>
      <c r="B1503">
        <v>0.60329955869999996</v>
      </c>
      <c r="C1503">
        <v>0</v>
      </c>
      <c r="D1503" t="str">
        <f t="shared" si="47"/>
        <v/>
      </c>
      <c r="E1503">
        <f t="shared" si="47"/>
        <v>0</v>
      </c>
      <c r="F1503" t="str">
        <f t="shared" si="48"/>
        <v/>
      </c>
      <c r="G1503">
        <f t="shared" si="48"/>
        <v>0.60329955869999996</v>
      </c>
    </row>
    <row r="1504" spans="1:7" x14ac:dyDescent="0.2">
      <c r="A1504" t="s">
        <v>2</v>
      </c>
      <c r="B1504">
        <v>0.27470123359999998</v>
      </c>
      <c r="C1504">
        <v>0</v>
      </c>
      <c r="D1504">
        <f t="shared" si="47"/>
        <v>0</v>
      </c>
      <c r="E1504" t="str">
        <f t="shared" si="47"/>
        <v/>
      </c>
      <c r="F1504">
        <f t="shared" si="48"/>
        <v>0.27470123359999998</v>
      </c>
      <c r="G1504" t="str">
        <f t="shared" si="48"/>
        <v/>
      </c>
    </row>
    <row r="1505" spans="1:7" x14ac:dyDescent="0.2">
      <c r="A1505" t="s">
        <v>0</v>
      </c>
      <c r="B1505">
        <v>0.66145592399999997</v>
      </c>
      <c r="C1505">
        <v>1</v>
      </c>
      <c r="D1505" t="str">
        <f t="shared" si="47"/>
        <v/>
      </c>
      <c r="E1505">
        <f t="shared" si="47"/>
        <v>1</v>
      </c>
      <c r="F1505" t="str">
        <f t="shared" si="48"/>
        <v/>
      </c>
      <c r="G1505">
        <f t="shared" si="48"/>
        <v>0.66145592399999997</v>
      </c>
    </row>
    <row r="1506" spans="1:7" x14ac:dyDescent="0.2">
      <c r="A1506" t="s">
        <v>2</v>
      </c>
      <c r="B1506">
        <v>0.12411672729999999</v>
      </c>
      <c r="C1506">
        <v>0</v>
      </c>
      <c r="D1506">
        <f t="shared" si="47"/>
        <v>0</v>
      </c>
      <c r="E1506" t="str">
        <f t="shared" si="47"/>
        <v/>
      </c>
      <c r="F1506">
        <f t="shared" si="48"/>
        <v>0.12411672729999999</v>
      </c>
      <c r="G1506" t="str">
        <f t="shared" si="48"/>
        <v/>
      </c>
    </row>
    <row r="1507" spans="1:7" x14ac:dyDescent="0.2">
      <c r="A1507" t="s">
        <v>2</v>
      </c>
      <c r="B1507">
        <v>0.41897219050000001</v>
      </c>
      <c r="C1507">
        <v>0</v>
      </c>
      <c r="D1507">
        <f t="shared" si="47"/>
        <v>0</v>
      </c>
      <c r="E1507" t="str">
        <f t="shared" si="47"/>
        <v/>
      </c>
      <c r="F1507">
        <f t="shared" si="48"/>
        <v>0.41897219050000001</v>
      </c>
      <c r="G1507" t="str">
        <f t="shared" si="48"/>
        <v/>
      </c>
    </row>
    <row r="1508" spans="1:7" x14ac:dyDescent="0.2">
      <c r="A1508" t="s">
        <v>0</v>
      </c>
      <c r="B1508">
        <v>0.78940759199999999</v>
      </c>
      <c r="C1508">
        <v>1</v>
      </c>
      <c r="D1508" t="str">
        <f t="shared" si="47"/>
        <v/>
      </c>
      <c r="E1508">
        <f t="shared" si="47"/>
        <v>1</v>
      </c>
      <c r="F1508" t="str">
        <f t="shared" si="48"/>
        <v/>
      </c>
      <c r="G1508">
        <f t="shared" si="48"/>
        <v>0.78940759199999999</v>
      </c>
    </row>
    <row r="1509" spans="1:7" x14ac:dyDescent="0.2">
      <c r="A1509" t="s">
        <v>0</v>
      </c>
      <c r="B1509">
        <v>0.4741366172</v>
      </c>
      <c r="C1509">
        <v>0</v>
      </c>
      <c r="D1509" t="str">
        <f t="shared" si="47"/>
        <v/>
      </c>
      <c r="E1509">
        <f t="shared" si="47"/>
        <v>0</v>
      </c>
      <c r="F1509" t="str">
        <f t="shared" si="48"/>
        <v/>
      </c>
      <c r="G1509">
        <f t="shared" si="48"/>
        <v>0.4741366172</v>
      </c>
    </row>
    <row r="1510" spans="1:7" x14ac:dyDescent="0.2">
      <c r="A1510" t="s">
        <v>2</v>
      </c>
      <c r="B1510">
        <v>0.50250954790000002</v>
      </c>
      <c r="C1510">
        <v>1</v>
      </c>
      <c r="D1510">
        <f t="shared" si="47"/>
        <v>1</v>
      </c>
      <c r="E1510" t="str">
        <f t="shared" si="47"/>
        <v/>
      </c>
      <c r="F1510">
        <f t="shared" si="48"/>
        <v>0.50250954790000002</v>
      </c>
      <c r="G1510" t="str">
        <f t="shared" si="48"/>
        <v/>
      </c>
    </row>
    <row r="1511" spans="1:7" x14ac:dyDescent="0.2">
      <c r="A1511" t="s">
        <v>2</v>
      </c>
      <c r="B1511">
        <v>0.63139846379999998</v>
      </c>
      <c r="C1511">
        <v>1</v>
      </c>
      <c r="D1511">
        <f t="shared" si="47"/>
        <v>1</v>
      </c>
      <c r="E1511" t="str">
        <f t="shared" si="47"/>
        <v/>
      </c>
      <c r="F1511">
        <f t="shared" si="48"/>
        <v>0.63139846379999998</v>
      </c>
      <c r="G1511" t="str">
        <f t="shared" si="48"/>
        <v/>
      </c>
    </row>
    <row r="1512" spans="1:7" x14ac:dyDescent="0.2">
      <c r="A1512" t="s">
        <v>0</v>
      </c>
      <c r="B1512">
        <v>0.57491004430000003</v>
      </c>
      <c r="C1512">
        <v>0</v>
      </c>
      <c r="D1512" t="str">
        <f t="shared" si="47"/>
        <v/>
      </c>
      <c r="E1512">
        <f t="shared" si="47"/>
        <v>0</v>
      </c>
      <c r="F1512" t="str">
        <f t="shared" si="48"/>
        <v/>
      </c>
      <c r="G1512">
        <f t="shared" si="48"/>
        <v>0.57491004430000003</v>
      </c>
    </row>
    <row r="1513" spans="1:7" x14ac:dyDescent="0.2">
      <c r="A1513" t="s">
        <v>2</v>
      </c>
      <c r="B1513">
        <v>0.41493306520000001</v>
      </c>
      <c r="C1513">
        <v>1</v>
      </c>
      <c r="D1513">
        <f t="shared" si="47"/>
        <v>1</v>
      </c>
      <c r="E1513" t="str">
        <f t="shared" si="47"/>
        <v/>
      </c>
      <c r="F1513">
        <f t="shared" si="48"/>
        <v>0.41493306520000001</v>
      </c>
      <c r="G1513" t="str">
        <f t="shared" si="48"/>
        <v/>
      </c>
    </row>
    <row r="1514" spans="1:7" x14ac:dyDescent="0.2">
      <c r="A1514" t="s">
        <v>0</v>
      </c>
      <c r="B1514">
        <v>0.100451332</v>
      </c>
      <c r="C1514">
        <v>0</v>
      </c>
      <c r="D1514" t="str">
        <f t="shared" si="47"/>
        <v/>
      </c>
      <c r="E1514">
        <f t="shared" si="47"/>
        <v>0</v>
      </c>
      <c r="F1514" t="str">
        <f t="shared" si="48"/>
        <v/>
      </c>
      <c r="G1514">
        <f t="shared" si="48"/>
        <v>0.100451332</v>
      </c>
    </row>
    <row r="1515" spans="1:7" x14ac:dyDescent="0.2">
      <c r="A1515" t="s">
        <v>0</v>
      </c>
      <c r="B1515">
        <v>0.72715429659999997</v>
      </c>
      <c r="C1515">
        <v>0</v>
      </c>
      <c r="D1515" t="str">
        <f t="shared" ref="D1515:E1578" si="49">IF($A1515=D$1,$C1515,"")</f>
        <v/>
      </c>
      <c r="E1515">
        <f t="shared" si="49"/>
        <v>0</v>
      </c>
      <c r="F1515" t="str">
        <f t="shared" ref="F1515:G1578" si="50">IF($A1515=F$1,$B1515,"")</f>
        <v/>
      </c>
      <c r="G1515">
        <f t="shared" si="50"/>
        <v>0.72715429659999997</v>
      </c>
    </row>
    <row r="1516" spans="1:7" x14ac:dyDescent="0.2">
      <c r="A1516" t="s">
        <v>2</v>
      </c>
      <c r="B1516">
        <v>0.63822999390000001</v>
      </c>
      <c r="C1516">
        <v>1</v>
      </c>
      <c r="D1516">
        <f t="shared" si="49"/>
        <v>1</v>
      </c>
      <c r="E1516" t="str">
        <f t="shared" si="49"/>
        <v/>
      </c>
      <c r="F1516">
        <f t="shared" si="50"/>
        <v>0.63822999390000001</v>
      </c>
      <c r="G1516" t="str">
        <f t="shared" si="50"/>
        <v/>
      </c>
    </row>
    <row r="1517" spans="1:7" x14ac:dyDescent="0.2">
      <c r="A1517" t="s">
        <v>2</v>
      </c>
      <c r="B1517">
        <v>0.35421323110000003</v>
      </c>
      <c r="C1517">
        <v>0</v>
      </c>
      <c r="D1517">
        <f t="shared" si="49"/>
        <v>0</v>
      </c>
      <c r="E1517" t="str">
        <f t="shared" si="49"/>
        <v/>
      </c>
      <c r="F1517">
        <f t="shared" si="50"/>
        <v>0.35421323110000003</v>
      </c>
      <c r="G1517" t="str">
        <f t="shared" si="50"/>
        <v/>
      </c>
    </row>
    <row r="1518" spans="1:7" x14ac:dyDescent="0.2">
      <c r="A1518" t="s">
        <v>2</v>
      </c>
      <c r="B1518">
        <v>0.3813503808</v>
      </c>
      <c r="C1518">
        <v>0</v>
      </c>
      <c r="D1518">
        <f t="shared" si="49"/>
        <v>0</v>
      </c>
      <c r="E1518" t="str">
        <f t="shared" si="49"/>
        <v/>
      </c>
      <c r="F1518">
        <f t="shared" si="50"/>
        <v>0.3813503808</v>
      </c>
      <c r="G1518" t="str">
        <f t="shared" si="50"/>
        <v/>
      </c>
    </row>
    <row r="1519" spans="1:7" x14ac:dyDescent="0.2">
      <c r="A1519" t="s">
        <v>0</v>
      </c>
      <c r="B1519">
        <v>0.47514570630000003</v>
      </c>
      <c r="C1519">
        <v>1</v>
      </c>
      <c r="D1519" t="str">
        <f t="shared" si="49"/>
        <v/>
      </c>
      <c r="E1519">
        <f t="shared" si="49"/>
        <v>1</v>
      </c>
      <c r="F1519" t="str">
        <f t="shared" si="50"/>
        <v/>
      </c>
      <c r="G1519">
        <f t="shared" si="50"/>
        <v>0.47514570630000003</v>
      </c>
    </row>
    <row r="1520" spans="1:7" x14ac:dyDescent="0.2">
      <c r="A1520" t="s">
        <v>2</v>
      </c>
      <c r="B1520">
        <v>8.8358507500000003E-2</v>
      </c>
      <c r="C1520">
        <v>0</v>
      </c>
      <c r="D1520">
        <f t="shared" si="49"/>
        <v>0</v>
      </c>
      <c r="E1520" t="str">
        <f t="shared" si="49"/>
        <v/>
      </c>
      <c r="F1520">
        <f t="shared" si="50"/>
        <v>8.8358507500000003E-2</v>
      </c>
      <c r="G1520" t="str">
        <f t="shared" si="50"/>
        <v/>
      </c>
    </row>
    <row r="1521" spans="1:7" x14ac:dyDescent="0.2">
      <c r="A1521" t="s">
        <v>2</v>
      </c>
      <c r="B1521">
        <v>0.41085290969999999</v>
      </c>
      <c r="C1521">
        <v>0</v>
      </c>
      <c r="D1521">
        <f t="shared" si="49"/>
        <v>0</v>
      </c>
      <c r="E1521" t="str">
        <f t="shared" si="49"/>
        <v/>
      </c>
      <c r="F1521">
        <f t="shared" si="50"/>
        <v>0.41085290969999999</v>
      </c>
      <c r="G1521" t="str">
        <f t="shared" si="50"/>
        <v/>
      </c>
    </row>
    <row r="1522" spans="1:7" x14ac:dyDescent="0.2">
      <c r="A1522" t="s">
        <v>2</v>
      </c>
      <c r="B1522">
        <v>0.37477889660000002</v>
      </c>
      <c r="C1522">
        <v>1</v>
      </c>
      <c r="D1522">
        <f t="shared" si="49"/>
        <v>1</v>
      </c>
      <c r="E1522" t="str">
        <f t="shared" si="49"/>
        <v/>
      </c>
      <c r="F1522">
        <f t="shared" si="50"/>
        <v>0.37477889660000002</v>
      </c>
      <c r="G1522" t="str">
        <f t="shared" si="50"/>
        <v/>
      </c>
    </row>
    <row r="1523" spans="1:7" x14ac:dyDescent="0.2">
      <c r="A1523" t="s">
        <v>0</v>
      </c>
      <c r="B1523">
        <v>0.45991102560000002</v>
      </c>
      <c r="C1523">
        <v>1</v>
      </c>
      <c r="D1523" t="str">
        <f t="shared" si="49"/>
        <v/>
      </c>
      <c r="E1523">
        <f t="shared" si="49"/>
        <v>1</v>
      </c>
      <c r="F1523" t="str">
        <f t="shared" si="50"/>
        <v/>
      </c>
      <c r="G1523">
        <f t="shared" si="50"/>
        <v>0.45991102560000002</v>
      </c>
    </row>
    <row r="1524" spans="1:7" x14ac:dyDescent="0.2">
      <c r="A1524" t="s">
        <v>2</v>
      </c>
      <c r="B1524">
        <v>9.9103250200000007E-2</v>
      </c>
      <c r="C1524">
        <v>0</v>
      </c>
      <c r="D1524">
        <f t="shared" si="49"/>
        <v>0</v>
      </c>
      <c r="E1524" t="str">
        <f t="shared" si="49"/>
        <v/>
      </c>
      <c r="F1524">
        <f t="shared" si="50"/>
        <v>9.9103250200000007E-2</v>
      </c>
      <c r="G1524" t="str">
        <f t="shared" si="50"/>
        <v/>
      </c>
    </row>
    <row r="1525" spans="1:7" x14ac:dyDescent="0.2">
      <c r="A1525" t="s">
        <v>2</v>
      </c>
      <c r="B1525">
        <v>0.24234252810000001</v>
      </c>
      <c r="C1525">
        <v>0</v>
      </c>
      <c r="D1525">
        <f t="shared" si="49"/>
        <v>0</v>
      </c>
      <c r="E1525" t="str">
        <f t="shared" si="49"/>
        <v/>
      </c>
      <c r="F1525">
        <f t="shared" si="50"/>
        <v>0.24234252810000001</v>
      </c>
      <c r="G1525" t="str">
        <f t="shared" si="50"/>
        <v/>
      </c>
    </row>
    <row r="1526" spans="1:7" x14ac:dyDescent="0.2">
      <c r="A1526" t="s">
        <v>2</v>
      </c>
      <c r="B1526">
        <v>0.2977582473</v>
      </c>
      <c r="C1526">
        <v>0</v>
      </c>
      <c r="D1526">
        <f t="shared" si="49"/>
        <v>0</v>
      </c>
      <c r="E1526" t="str">
        <f t="shared" si="49"/>
        <v/>
      </c>
      <c r="F1526">
        <f t="shared" si="50"/>
        <v>0.2977582473</v>
      </c>
      <c r="G1526" t="str">
        <f t="shared" si="50"/>
        <v/>
      </c>
    </row>
    <row r="1527" spans="1:7" x14ac:dyDescent="0.2">
      <c r="A1527" t="s">
        <v>0</v>
      </c>
      <c r="B1527">
        <v>0.25777650860000001</v>
      </c>
      <c r="C1527">
        <v>1</v>
      </c>
      <c r="D1527" t="str">
        <f t="shared" si="49"/>
        <v/>
      </c>
      <c r="E1527">
        <f t="shared" si="49"/>
        <v>1</v>
      </c>
      <c r="F1527" t="str">
        <f t="shared" si="50"/>
        <v/>
      </c>
      <c r="G1527">
        <f t="shared" si="50"/>
        <v>0.25777650860000001</v>
      </c>
    </row>
    <row r="1528" spans="1:7" x14ac:dyDescent="0.2">
      <c r="A1528" t="s">
        <v>2</v>
      </c>
      <c r="B1528">
        <v>0.2834300112</v>
      </c>
      <c r="C1528">
        <v>0</v>
      </c>
      <c r="D1528">
        <f t="shared" si="49"/>
        <v>0</v>
      </c>
      <c r="E1528" t="str">
        <f t="shared" si="49"/>
        <v/>
      </c>
      <c r="F1528">
        <f t="shared" si="50"/>
        <v>0.2834300112</v>
      </c>
      <c r="G1528" t="str">
        <f t="shared" si="50"/>
        <v/>
      </c>
    </row>
    <row r="1529" spans="1:7" x14ac:dyDescent="0.2">
      <c r="A1529" t="s">
        <v>2</v>
      </c>
      <c r="B1529">
        <v>0.4930226915</v>
      </c>
      <c r="C1529">
        <v>1</v>
      </c>
      <c r="D1529">
        <f t="shared" si="49"/>
        <v>1</v>
      </c>
      <c r="E1529" t="str">
        <f t="shared" si="49"/>
        <v/>
      </c>
      <c r="F1529">
        <f t="shared" si="50"/>
        <v>0.4930226915</v>
      </c>
      <c r="G1529" t="str">
        <f t="shared" si="50"/>
        <v/>
      </c>
    </row>
    <row r="1530" spans="1:7" x14ac:dyDescent="0.2">
      <c r="A1530" t="s">
        <v>2</v>
      </c>
      <c r="B1530">
        <v>0.44553927500000001</v>
      </c>
      <c r="C1530">
        <v>1</v>
      </c>
      <c r="D1530">
        <f t="shared" si="49"/>
        <v>1</v>
      </c>
      <c r="E1530" t="str">
        <f t="shared" si="49"/>
        <v/>
      </c>
      <c r="F1530">
        <f t="shared" si="50"/>
        <v>0.44553927500000001</v>
      </c>
      <c r="G1530" t="str">
        <f t="shared" si="50"/>
        <v/>
      </c>
    </row>
    <row r="1531" spans="1:7" x14ac:dyDescent="0.2">
      <c r="A1531" t="s">
        <v>2</v>
      </c>
      <c r="B1531">
        <v>0.43133795559999999</v>
      </c>
      <c r="C1531">
        <v>0</v>
      </c>
      <c r="D1531">
        <f t="shared" si="49"/>
        <v>0</v>
      </c>
      <c r="E1531" t="str">
        <f t="shared" si="49"/>
        <v/>
      </c>
      <c r="F1531">
        <f t="shared" si="50"/>
        <v>0.43133795559999999</v>
      </c>
      <c r="G1531" t="str">
        <f t="shared" si="50"/>
        <v/>
      </c>
    </row>
    <row r="1532" spans="1:7" x14ac:dyDescent="0.2">
      <c r="A1532" t="s">
        <v>2</v>
      </c>
      <c r="B1532">
        <v>0.1240199615</v>
      </c>
      <c r="C1532">
        <v>1</v>
      </c>
      <c r="D1532">
        <f t="shared" si="49"/>
        <v>1</v>
      </c>
      <c r="E1532" t="str">
        <f t="shared" si="49"/>
        <v/>
      </c>
      <c r="F1532">
        <f t="shared" si="50"/>
        <v>0.1240199615</v>
      </c>
      <c r="G1532" t="str">
        <f t="shared" si="50"/>
        <v/>
      </c>
    </row>
    <row r="1533" spans="1:7" x14ac:dyDescent="0.2">
      <c r="A1533" t="s">
        <v>0</v>
      </c>
      <c r="B1533">
        <v>0.36371568300000001</v>
      </c>
      <c r="C1533">
        <v>0</v>
      </c>
      <c r="D1533" t="str">
        <f t="shared" si="49"/>
        <v/>
      </c>
      <c r="E1533">
        <f t="shared" si="49"/>
        <v>0</v>
      </c>
      <c r="F1533" t="str">
        <f t="shared" si="50"/>
        <v/>
      </c>
      <c r="G1533">
        <f t="shared" si="50"/>
        <v>0.36371568300000001</v>
      </c>
    </row>
    <row r="1534" spans="1:7" x14ac:dyDescent="0.2">
      <c r="A1534" t="s">
        <v>0</v>
      </c>
      <c r="B1534">
        <v>0.51403229269999995</v>
      </c>
      <c r="C1534">
        <v>1</v>
      </c>
      <c r="D1534" t="str">
        <f t="shared" si="49"/>
        <v/>
      </c>
      <c r="E1534">
        <f t="shared" si="49"/>
        <v>1</v>
      </c>
      <c r="F1534" t="str">
        <f t="shared" si="50"/>
        <v/>
      </c>
      <c r="G1534">
        <f t="shared" si="50"/>
        <v>0.51403229269999995</v>
      </c>
    </row>
    <row r="1535" spans="1:7" x14ac:dyDescent="0.2">
      <c r="A1535" t="s">
        <v>2</v>
      </c>
      <c r="B1535">
        <v>0.191807857</v>
      </c>
      <c r="C1535">
        <v>1</v>
      </c>
      <c r="D1535">
        <f t="shared" si="49"/>
        <v>1</v>
      </c>
      <c r="E1535" t="str">
        <f t="shared" si="49"/>
        <v/>
      </c>
      <c r="F1535">
        <f t="shared" si="50"/>
        <v>0.191807857</v>
      </c>
      <c r="G1535" t="str">
        <f t="shared" si="50"/>
        <v/>
      </c>
    </row>
    <row r="1536" spans="1:7" x14ac:dyDescent="0.2">
      <c r="A1536" t="s">
        <v>2</v>
      </c>
      <c r="B1536">
        <v>0.3027828286</v>
      </c>
      <c r="C1536">
        <v>1</v>
      </c>
      <c r="D1536">
        <f t="shared" si="49"/>
        <v>1</v>
      </c>
      <c r="E1536" t="str">
        <f t="shared" si="49"/>
        <v/>
      </c>
      <c r="F1536">
        <f t="shared" si="50"/>
        <v>0.3027828286</v>
      </c>
      <c r="G1536" t="str">
        <f t="shared" si="50"/>
        <v/>
      </c>
    </row>
    <row r="1537" spans="1:7" x14ac:dyDescent="0.2">
      <c r="A1537" t="s">
        <v>2</v>
      </c>
      <c r="B1537">
        <v>0.68965615059999996</v>
      </c>
      <c r="C1537">
        <v>1</v>
      </c>
      <c r="D1537">
        <f t="shared" si="49"/>
        <v>1</v>
      </c>
      <c r="E1537" t="str">
        <f t="shared" si="49"/>
        <v/>
      </c>
      <c r="F1537">
        <f t="shared" si="50"/>
        <v>0.68965615059999996</v>
      </c>
      <c r="G1537" t="str">
        <f t="shared" si="50"/>
        <v/>
      </c>
    </row>
    <row r="1538" spans="1:7" x14ac:dyDescent="0.2">
      <c r="A1538" t="s">
        <v>0</v>
      </c>
      <c r="B1538">
        <v>0.14623561390000001</v>
      </c>
      <c r="C1538">
        <v>1</v>
      </c>
      <c r="D1538" t="str">
        <f t="shared" si="49"/>
        <v/>
      </c>
      <c r="E1538">
        <f t="shared" si="49"/>
        <v>1</v>
      </c>
      <c r="F1538" t="str">
        <f t="shared" si="50"/>
        <v/>
      </c>
      <c r="G1538">
        <f t="shared" si="50"/>
        <v>0.14623561390000001</v>
      </c>
    </row>
    <row r="1539" spans="1:7" x14ac:dyDescent="0.2">
      <c r="A1539" t="s">
        <v>0</v>
      </c>
      <c r="B1539">
        <v>0.52579707239999995</v>
      </c>
      <c r="C1539">
        <v>1</v>
      </c>
      <c r="D1539" t="str">
        <f t="shared" si="49"/>
        <v/>
      </c>
      <c r="E1539">
        <f t="shared" si="49"/>
        <v>1</v>
      </c>
      <c r="F1539" t="str">
        <f t="shared" si="50"/>
        <v/>
      </c>
      <c r="G1539">
        <f t="shared" si="50"/>
        <v>0.52579707239999995</v>
      </c>
    </row>
    <row r="1540" spans="1:7" x14ac:dyDescent="0.2">
      <c r="A1540" t="s">
        <v>0</v>
      </c>
      <c r="B1540">
        <v>0.77159685229999997</v>
      </c>
      <c r="C1540">
        <v>1</v>
      </c>
      <c r="D1540" t="str">
        <f t="shared" si="49"/>
        <v/>
      </c>
      <c r="E1540">
        <f t="shared" si="49"/>
        <v>1</v>
      </c>
      <c r="F1540" t="str">
        <f t="shared" si="50"/>
        <v/>
      </c>
      <c r="G1540">
        <f t="shared" si="50"/>
        <v>0.77159685229999997</v>
      </c>
    </row>
    <row r="1541" spans="1:7" x14ac:dyDescent="0.2">
      <c r="A1541" t="s">
        <v>2</v>
      </c>
      <c r="B1541">
        <v>0.29196068590000002</v>
      </c>
      <c r="C1541">
        <v>1</v>
      </c>
      <c r="D1541">
        <f t="shared" si="49"/>
        <v>1</v>
      </c>
      <c r="E1541" t="str">
        <f t="shared" si="49"/>
        <v/>
      </c>
      <c r="F1541">
        <f t="shared" si="50"/>
        <v>0.29196068590000002</v>
      </c>
      <c r="G1541" t="str">
        <f t="shared" si="50"/>
        <v/>
      </c>
    </row>
    <row r="1542" spans="1:7" x14ac:dyDescent="0.2">
      <c r="A1542" t="s">
        <v>0</v>
      </c>
      <c r="B1542">
        <v>0.40183586770000002</v>
      </c>
      <c r="C1542">
        <v>0</v>
      </c>
      <c r="D1542" t="str">
        <f t="shared" si="49"/>
        <v/>
      </c>
      <c r="E1542">
        <f t="shared" si="49"/>
        <v>0</v>
      </c>
      <c r="F1542" t="str">
        <f t="shared" si="50"/>
        <v/>
      </c>
      <c r="G1542">
        <f t="shared" si="50"/>
        <v>0.40183586770000002</v>
      </c>
    </row>
    <row r="1543" spans="1:7" x14ac:dyDescent="0.2">
      <c r="A1543" t="s">
        <v>0</v>
      </c>
      <c r="B1543">
        <v>0.11359024550000001</v>
      </c>
      <c r="C1543">
        <v>0</v>
      </c>
      <c r="D1543" t="str">
        <f t="shared" si="49"/>
        <v/>
      </c>
      <c r="E1543">
        <f t="shared" si="49"/>
        <v>0</v>
      </c>
      <c r="F1543" t="str">
        <f t="shared" si="50"/>
        <v/>
      </c>
      <c r="G1543">
        <f t="shared" si="50"/>
        <v>0.11359024550000001</v>
      </c>
    </row>
    <row r="1544" spans="1:7" x14ac:dyDescent="0.2">
      <c r="A1544" t="s">
        <v>2</v>
      </c>
      <c r="B1544">
        <v>0.67774511240000002</v>
      </c>
      <c r="C1544">
        <v>0</v>
      </c>
      <c r="D1544">
        <f t="shared" si="49"/>
        <v>0</v>
      </c>
      <c r="E1544" t="str">
        <f t="shared" si="49"/>
        <v/>
      </c>
      <c r="F1544">
        <f t="shared" si="50"/>
        <v>0.67774511240000002</v>
      </c>
      <c r="G1544" t="str">
        <f t="shared" si="50"/>
        <v/>
      </c>
    </row>
    <row r="1545" spans="1:7" x14ac:dyDescent="0.2">
      <c r="A1545" t="s">
        <v>2</v>
      </c>
      <c r="B1545">
        <v>0.44511860669999997</v>
      </c>
      <c r="C1545">
        <v>1</v>
      </c>
      <c r="D1545">
        <f t="shared" si="49"/>
        <v>1</v>
      </c>
      <c r="E1545" t="str">
        <f t="shared" si="49"/>
        <v/>
      </c>
      <c r="F1545">
        <f t="shared" si="50"/>
        <v>0.44511860669999997</v>
      </c>
      <c r="G1545" t="str">
        <f t="shared" si="50"/>
        <v/>
      </c>
    </row>
    <row r="1546" spans="1:7" x14ac:dyDescent="0.2">
      <c r="A1546" t="s">
        <v>0</v>
      </c>
      <c r="B1546">
        <v>0.32358662189999998</v>
      </c>
      <c r="C1546">
        <v>0</v>
      </c>
      <c r="D1546" t="str">
        <f t="shared" si="49"/>
        <v/>
      </c>
      <c r="E1546">
        <f t="shared" si="49"/>
        <v>0</v>
      </c>
      <c r="F1546" t="str">
        <f t="shared" si="50"/>
        <v/>
      </c>
      <c r="G1546">
        <f t="shared" si="50"/>
        <v>0.32358662189999998</v>
      </c>
    </row>
    <row r="1547" spans="1:7" x14ac:dyDescent="0.2">
      <c r="A1547" t="s">
        <v>2</v>
      </c>
      <c r="B1547">
        <v>0.37219148629999999</v>
      </c>
      <c r="C1547">
        <v>1</v>
      </c>
      <c r="D1547">
        <f t="shared" si="49"/>
        <v>1</v>
      </c>
      <c r="E1547" t="str">
        <f t="shared" si="49"/>
        <v/>
      </c>
      <c r="F1547">
        <f t="shared" si="50"/>
        <v>0.37219148629999999</v>
      </c>
      <c r="G1547" t="str">
        <f t="shared" si="50"/>
        <v/>
      </c>
    </row>
    <row r="1548" spans="1:7" x14ac:dyDescent="0.2">
      <c r="A1548" t="s">
        <v>2</v>
      </c>
      <c r="B1548">
        <v>0.27560189149999997</v>
      </c>
      <c r="C1548">
        <v>0</v>
      </c>
      <c r="D1548">
        <f t="shared" si="49"/>
        <v>0</v>
      </c>
      <c r="E1548" t="str">
        <f t="shared" si="49"/>
        <v/>
      </c>
      <c r="F1548">
        <f t="shared" si="50"/>
        <v>0.27560189149999997</v>
      </c>
      <c r="G1548" t="str">
        <f t="shared" si="50"/>
        <v/>
      </c>
    </row>
    <row r="1549" spans="1:7" x14ac:dyDescent="0.2">
      <c r="A1549" t="s">
        <v>0</v>
      </c>
      <c r="B1549">
        <v>0.36342944649999998</v>
      </c>
      <c r="C1549">
        <v>0</v>
      </c>
      <c r="D1549" t="str">
        <f t="shared" si="49"/>
        <v/>
      </c>
      <c r="E1549">
        <f t="shared" si="49"/>
        <v>0</v>
      </c>
      <c r="F1549" t="str">
        <f t="shared" si="50"/>
        <v/>
      </c>
      <c r="G1549">
        <f t="shared" si="50"/>
        <v>0.36342944649999998</v>
      </c>
    </row>
    <row r="1550" spans="1:7" x14ac:dyDescent="0.2">
      <c r="A1550" t="s">
        <v>2</v>
      </c>
      <c r="B1550">
        <v>0.1562483855</v>
      </c>
      <c r="C1550">
        <v>0</v>
      </c>
      <c r="D1550">
        <f t="shared" si="49"/>
        <v>0</v>
      </c>
      <c r="E1550" t="str">
        <f t="shared" si="49"/>
        <v/>
      </c>
      <c r="F1550">
        <f t="shared" si="50"/>
        <v>0.1562483855</v>
      </c>
      <c r="G1550" t="str">
        <f t="shared" si="50"/>
        <v/>
      </c>
    </row>
    <row r="1551" spans="1:7" x14ac:dyDescent="0.2">
      <c r="A1551" t="s">
        <v>0</v>
      </c>
      <c r="B1551">
        <v>0.2462973923</v>
      </c>
      <c r="C1551">
        <v>1</v>
      </c>
      <c r="D1551" t="str">
        <f t="shared" si="49"/>
        <v/>
      </c>
      <c r="E1551">
        <f t="shared" si="49"/>
        <v>1</v>
      </c>
      <c r="F1551" t="str">
        <f t="shared" si="50"/>
        <v/>
      </c>
      <c r="G1551">
        <f t="shared" si="50"/>
        <v>0.2462973923</v>
      </c>
    </row>
    <row r="1552" spans="1:7" x14ac:dyDescent="0.2">
      <c r="A1552" t="s">
        <v>0</v>
      </c>
      <c r="B1552">
        <v>0.16515312700000001</v>
      </c>
      <c r="C1552">
        <v>1</v>
      </c>
      <c r="D1552" t="str">
        <f t="shared" si="49"/>
        <v/>
      </c>
      <c r="E1552">
        <f t="shared" si="49"/>
        <v>1</v>
      </c>
      <c r="F1552" t="str">
        <f t="shared" si="50"/>
        <v/>
      </c>
      <c r="G1552">
        <f t="shared" si="50"/>
        <v>0.16515312700000001</v>
      </c>
    </row>
    <row r="1553" spans="1:7" x14ac:dyDescent="0.2">
      <c r="A1553" t="s">
        <v>2</v>
      </c>
      <c r="B1553">
        <v>0.31331387360000001</v>
      </c>
      <c r="C1553">
        <v>0</v>
      </c>
      <c r="D1553">
        <f t="shared" si="49"/>
        <v>0</v>
      </c>
      <c r="E1553" t="str">
        <f t="shared" si="49"/>
        <v/>
      </c>
      <c r="F1553">
        <f t="shared" si="50"/>
        <v>0.31331387360000001</v>
      </c>
      <c r="G1553" t="str">
        <f t="shared" si="50"/>
        <v/>
      </c>
    </row>
    <row r="1554" spans="1:7" x14ac:dyDescent="0.2">
      <c r="A1554" t="s">
        <v>0</v>
      </c>
      <c r="B1554">
        <v>0.66593848860000004</v>
      </c>
      <c r="C1554">
        <v>1</v>
      </c>
      <c r="D1554" t="str">
        <f t="shared" si="49"/>
        <v/>
      </c>
      <c r="E1554">
        <f t="shared" si="49"/>
        <v>1</v>
      </c>
      <c r="F1554" t="str">
        <f t="shared" si="50"/>
        <v/>
      </c>
      <c r="G1554">
        <f t="shared" si="50"/>
        <v>0.66593848860000004</v>
      </c>
    </row>
    <row r="1555" spans="1:7" x14ac:dyDescent="0.2">
      <c r="A1555" t="s">
        <v>2</v>
      </c>
      <c r="B1555">
        <v>0.55782520030000005</v>
      </c>
      <c r="C1555">
        <v>1</v>
      </c>
      <c r="D1555">
        <f t="shared" si="49"/>
        <v>1</v>
      </c>
      <c r="E1555" t="str">
        <f t="shared" si="49"/>
        <v/>
      </c>
      <c r="F1555">
        <f t="shared" si="50"/>
        <v>0.55782520030000005</v>
      </c>
      <c r="G1555" t="str">
        <f t="shared" si="50"/>
        <v/>
      </c>
    </row>
    <row r="1556" spans="1:7" x14ac:dyDescent="0.2">
      <c r="A1556" t="s">
        <v>2</v>
      </c>
      <c r="B1556">
        <v>0.35844408010000001</v>
      </c>
      <c r="C1556">
        <v>1</v>
      </c>
      <c r="D1556">
        <f t="shared" si="49"/>
        <v>1</v>
      </c>
      <c r="E1556" t="str">
        <f t="shared" si="49"/>
        <v/>
      </c>
      <c r="F1556">
        <f t="shared" si="50"/>
        <v>0.35844408010000001</v>
      </c>
      <c r="G1556" t="str">
        <f t="shared" si="50"/>
        <v/>
      </c>
    </row>
    <row r="1557" spans="1:7" x14ac:dyDescent="0.2">
      <c r="A1557" t="s">
        <v>0</v>
      </c>
      <c r="B1557">
        <v>0.1020532909</v>
      </c>
      <c r="C1557">
        <v>0</v>
      </c>
      <c r="D1557" t="str">
        <f t="shared" si="49"/>
        <v/>
      </c>
      <c r="E1557">
        <f t="shared" si="49"/>
        <v>0</v>
      </c>
      <c r="F1557" t="str">
        <f t="shared" si="50"/>
        <v/>
      </c>
      <c r="G1557">
        <f t="shared" si="50"/>
        <v>0.1020532909</v>
      </c>
    </row>
    <row r="1558" spans="1:7" x14ac:dyDescent="0.2">
      <c r="A1558" t="s">
        <v>0</v>
      </c>
      <c r="B1558">
        <v>0.5019703539</v>
      </c>
      <c r="C1558">
        <v>1</v>
      </c>
      <c r="D1558" t="str">
        <f t="shared" si="49"/>
        <v/>
      </c>
      <c r="E1558">
        <f t="shared" si="49"/>
        <v>1</v>
      </c>
      <c r="F1558" t="str">
        <f t="shared" si="50"/>
        <v/>
      </c>
      <c r="G1558">
        <f t="shared" si="50"/>
        <v>0.5019703539</v>
      </c>
    </row>
    <row r="1559" spans="1:7" x14ac:dyDescent="0.2">
      <c r="A1559" t="s">
        <v>2</v>
      </c>
      <c r="B1559">
        <v>0.38173151389999999</v>
      </c>
      <c r="C1559">
        <v>1</v>
      </c>
      <c r="D1559">
        <f t="shared" si="49"/>
        <v>1</v>
      </c>
      <c r="E1559" t="str">
        <f t="shared" si="49"/>
        <v/>
      </c>
      <c r="F1559">
        <f t="shared" si="50"/>
        <v>0.38173151389999999</v>
      </c>
      <c r="G1559" t="str">
        <f t="shared" si="50"/>
        <v/>
      </c>
    </row>
    <row r="1560" spans="1:7" x14ac:dyDescent="0.2">
      <c r="A1560" t="s">
        <v>2</v>
      </c>
      <c r="B1560">
        <v>0.3665697986</v>
      </c>
      <c r="C1560">
        <v>0</v>
      </c>
      <c r="D1560">
        <f t="shared" si="49"/>
        <v>0</v>
      </c>
      <c r="E1560" t="str">
        <f t="shared" si="49"/>
        <v/>
      </c>
      <c r="F1560">
        <f t="shared" si="50"/>
        <v>0.3665697986</v>
      </c>
      <c r="G1560" t="str">
        <f t="shared" si="50"/>
        <v/>
      </c>
    </row>
    <row r="1561" spans="1:7" x14ac:dyDescent="0.2">
      <c r="A1561" t="s">
        <v>2</v>
      </c>
      <c r="B1561">
        <v>0.3828560426</v>
      </c>
      <c r="C1561">
        <v>1</v>
      </c>
      <c r="D1561">
        <f t="shared" si="49"/>
        <v>1</v>
      </c>
      <c r="E1561" t="str">
        <f t="shared" si="49"/>
        <v/>
      </c>
      <c r="F1561">
        <f t="shared" si="50"/>
        <v>0.3828560426</v>
      </c>
      <c r="G1561" t="str">
        <f t="shared" si="50"/>
        <v/>
      </c>
    </row>
    <row r="1562" spans="1:7" x14ac:dyDescent="0.2">
      <c r="A1562" t="s">
        <v>0</v>
      </c>
      <c r="B1562">
        <v>0.70638985109999997</v>
      </c>
      <c r="C1562">
        <v>1</v>
      </c>
      <c r="D1562" t="str">
        <f t="shared" si="49"/>
        <v/>
      </c>
      <c r="E1562">
        <f t="shared" si="49"/>
        <v>1</v>
      </c>
      <c r="F1562" t="str">
        <f t="shared" si="50"/>
        <v/>
      </c>
      <c r="G1562">
        <f t="shared" si="50"/>
        <v>0.70638985109999997</v>
      </c>
    </row>
    <row r="1563" spans="1:7" x14ac:dyDescent="0.2">
      <c r="A1563" t="s">
        <v>0</v>
      </c>
      <c r="B1563">
        <v>0.50770993139999998</v>
      </c>
      <c r="C1563">
        <v>0</v>
      </c>
      <c r="D1563" t="str">
        <f t="shared" si="49"/>
        <v/>
      </c>
      <c r="E1563">
        <f t="shared" si="49"/>
        <v>0</v>
      </c>
      <c r="F1563" t="str">
        <f t="shared" si="50"/>
        <v/>
      </c>
      <c r="G1563">
        <f t="shared" si="50"/>
        <v>0.50770993139999998</v>
      </c>
    </row>
    <row r="1564" spans="1:7" x14ac:dyDescent="0.2">
      <c r="A1564" t="s">
        <v>2</v>
      </c>
      <c r="B1564">
        <v>0.2279155138</v>
      </c>
      <c r="C1564">
        <v>0</v>
      </c>
      <c r="D1564">
        <f t="shared" si="49"/>
        <v>0</v>
      </c>
      <c r="E1564" t="str">
        <f t="shared" si="49"/>
        <v/>
      </c>
      <c r="F1564">
        <f t="shared" si="50"/>
        <v>0.2279155138</v>
      </c>
      <c r="G1564" t="str">
        <f t="shared" si="50"/>
        <v/>
      </c>
    </row>
    <row r="1565" spans="1:7" x14ac:dyDescent="0.2">
      <c r="A1565" t="s">
        <v>2</v>
      </c>
      <c r="B1565">
        <v>0.1523155876</v>
      </c>
      <c r="C1565">
        <v>1</v>
      </c>
      <c r="D1565">
        <f t="shared" si="49"/>
        <v>1</v>
      </c>
      <c r="E1565" t="str">
        <f t="shared" si="49"/>
        <v/>
      </c>
      <c r="F1565">
        <f t="shared" si="50"/>
        <v>0.1523155876</v>
      </c>
      <c r="G1565" t="str">
        <f t="shared" si="50"/>
        <v/>
      </c>
    </row>
    <row r="1566" spans="1:7" x14ac:dyDescent="0.2">
      <c r="A1566" t="s">
        <v>2</v>
      </c>
      <c r="B1566">
        <v>0.71396268969999999</v>
      </c>
      <c r="C1566">
        <v>1</v>
      </c>
      <c r="D1566">
        <f t="shared" si="49"/>
        <v>1</v>
      </c>
      <c r="E1566" t="str">
        <f t="shared" si="49"/>
        <v/>
      </c>
      <c r="F1566">
        <f t="shared" si="50"/>
        <v>0.71396268969999999</v>
      </c>
      <c r="G1566" t="str">
        <f t="shared" si="50"/>
        <v/>
      </c>
    </row>
    <row r="1567" spans="1:7" x14ac:dyDescent="0.2">
      <c r="A1567" t="s">
        <v>2</v>
      </c>
      <c r="B1567">
        <v>0.1969595126</v>
      </c>
      <c r="C1567">
        <v>1</v>
      </c>
      <c r="D1567">
        <f t="shared" si="49"/>
        <v>1</v>
      </c>
      <c r="E1567" t="str">
        <f t="shared" si="49"/>
        <v/>
      </c>
      <c r="F1567">
        <f t="shared" si="50"/>
        <v>0.1969595126</v>
      </c>
      <c r="G1567" t="str">
        <f t="shared" si="50"/>
        <v/>
      </c>
    </row>
    <row r="1568" spans="1:7" x14ac:dyDescent="0.2">
      <c r="A1568" t="s">
        <v>2</v>
      </c>
      <c r="B1568">
        <v>0.86077949399999998</v>
      </c>
      <c r="C1568">
        <v>1</v>
      </c>
      <c r="D1568">
        <f t="shared" si="49"/>
        <v>1</v>
      </c>
      <c r="E1568" t="str">
        <f t="shared" si="49"/>
        <v/>
      </c>
      <c r="F1568">
        <f t="shared" si="50"/>
        <v>0.86077949399999998</v>
      </c>
      <c r="G1568" t="str">
        <f t="shared" si="50"/>
        <v/>
      </c>
    </row>
    <row r="1569" spans="1:7" x14ac:dyDescent="0.2">
      <c r="A1569" t="s">
        <v>2</v>
      </c>
      <c r="B1569">
        <v>0.16772030290000001</v>
      </c>
      <c r="C1569">
        <v>0</v>
      </c>
      <c r="D1569">
        <f t="shared" si="49"/>
        <v>0</v>
      </c>
      <c r="E1569" t="str">
        <f t="shared" si="49"/>
        <v/>
      </c>
      <c r="F1569">
        <f t="shared" si="50"/>
        <v>0.16772030290000001</v>
      </c>
      <c r="G1569" t="str">
        <f t="shared" si="50"/>
        <v/>
      </c>
    </row>
    <row r="1570" spans="1:7" x14ac:dyDescent="0.2">
      <c r="A1570" t="s">
        <v>0</v>
      </c>
      <c r="B1570">
        <v>0.49484953549999999</v>
      </c>
      <c r="C1570">
        <v>1</v>
      </c>
      <c r="D1570" t="str">
        <f t="shared" si="49"/>
        <v/>
      </c>
      <c r="E1570">
        <f t="shared" si="49"/>
        <v>1</v>
      </c>
      <c r="F1570" t="str">
        <f t="shared" si="50"/>
        <v/>
      </c>
      <c r="G1570">
        <f t="shared" si="50"/>
        <v>0.49484953549999999</v>
      </c>
    </row>
    <row r="1571" spans="1:7" x14ac:dyDescent="0.2">
      <c r="A1571" t="s">
        <v>2</v>
      </c>
      <c r="B1571">
        <v>0.20083753800000001</v>
      </c>
      <c r="C1571">
        <v>0</v>
      </c>
      <c r="D1571">
        <f t="shared" si="49"/>
        <v>0</v>
      </c>
      <c r="E1571" t="str">
        <f t="shared" si="49"/>
        <v/>
      </c>
      <c r="F1571">
        <f t="shared" si="50"/>
        <v>0.20083753800000001</v>
      </c>
      <c r="G1571" t="str">
        <f t="shared" si="50"/>
        <v/>
      </c>
    </row>
    <row r="1572" spans="1:7" x14ac:dyDescent="0.2">
      <c r="A1572" t="s">
        <v>2</v>
      </c>
      <c r="B1572">
        <v>0.4376497023</v>
      </c>
      <c r="C1572">
        <v>0</v>
      </c>
      <c r="D1572">
        <f t="shared" si="49"/>
        <v>0</v>
      </c>
      <c r="E1572" t="str">
        <f t="shared" si="49"/>
        <v/>
      </c>
      <c r="F1572">
        <f t="shared" si="50"/>
        <v>0.4376497023</v>
      </c>
      <c r="G1572" t="str">
        <f t="shared" si="50"/>
        <v/>
      </c>
    </row>
    <row r="1573" spans="1:7" x14ac:dyDescent="0.2">
      <c r="A1573" t="s">
        <v>2</v>
      </c>
      <c r="B1573">
        <v>0.14574040129999999</v>
      </c>
      <c r="C1573">
        <v>0</v>
      </c>
      <c r="D1573">
        <f t="shared" si="49"/>
        <v>0</v>
      </c>
      <c r="E1573" t="str">
        <f t="shared" si="49"/>
        <v/>
      </c>
      <c r="F1573">
        <f t="shared" si="50"/>
        <v>0.14574040129999999</v>
      </c>
      <c r="G1573" t="str">
        <f t="shared" si="50"/>
        <v/>
      </c>
    </row>
    <row r="1574" spans="1:7" x14ac:dyDescent="0.2">
      <c r="A1574" t="s">
        <v>2</v>
      </c>
      <c r="B1574">
        <v>0.1366207233</v>
      </c>
      <c r="C1574">
        <v>0</v>
      </c>
      <c r="D1574">
        <f t="shared" si="49"/>
        <v>0</v>
      </c>
      <c r="E1574" t="str">
        <f t="shared" si="49"/>
        <v/>
      </c>
      <c r="F1574">
        <f t="shared" si="50"/>
        <v>0.1366207233</v>
      </c>
      <c r="G1574" t="str">
        <f t="shared" si="50"/>
        <v/>
      </c>
    </row>
    <row r="1575" spans="1:7" x14ac:dyDescent="0.2">
      <c r="A1575" t="s">
        <v>2</v>
      </c>
      <c r="B1575">
        <v>0.47092789750000003</v>
      </c>
      <c r="C1575">
        <v>0</v>
      </c>
      <c r="D1575">
        <f t="shared" si="49"/>
        <v>0</v>
      </c>
      <c r="E1575" t="str">
        <f t="shared" si="49"/>
        <v/>
      </c>
      <c r="F1575">
        <f t="shared" si="50"/>
        <v>0.47092789750000003</v>
      </c>
      <c r="G1575" t="str">
        <f t="shared" si="50"/>
        <v/>
      </c>
    </row>
    <row r="1576" spans="1:7" x14ac:dyDescent="0.2">
      <c r="A1576" t="s">
        <v>0</v>
      </c>
      <c r="B1576">
        <v>9.4920645600000006E-2</v>
      </c>
      <c r="C1576">
        <v>0</v>
      </c>
      <c r="D1576" t="str">
        <f t="shared" si="49"/>
        <v/>
      </c>
      <c r="E1576">
        <f t="shared" si="49"/>
        <v>0</v>
      </c>
      <c r="F1576" t="str">
        <f t="shared" si="50"/>
        <v/>
      </c>
      <c r="G1576">
        <f t="shared" si="50"/>
        <v>9.4920645600000006E-2</v>
      </c>
    </row>
    <row r="1577" spans="1:7" x14ac:dyDescent="0.2">
      <c r="A1577" t="s">
        <v>0</v>
      </c>
      <c r="B1577">
        <v>0.89607570110000001</v>
      </c>
      <c r="C1577">
        <v>1</v>
      </c>
      <c r="D1577" t="str">
        <f t="shared" si="49"/>
        <v/>
      </c>
      <c r="E1577">
        <f t="shared" si="49"/>
        <v>1</v>
      </c>
      <c r="F1577" t="str">
        <f t="shared" si="50"/>
        <v/>
      </c>
      <c r="G1577">
        <f t="shared" si="50"/>
        <v>0.89607570110000001</v>
      </c>
    </row>
    <row r="1578" spans="1:7" x14ac:dyDescent="0.2">
      <c r="A1578" t="s">
        <v>0</v>
      </c>
      <c r="B1578">
        <v>0.13062740719999999</v>
      </c>
      <c r="C1578">
        <v>0</v>
      </c>
      <c r="D1578" t="str">
        <f t="shared" si="49"/>
        <v/>
      </c>
      <c r="E1578">
        <f t="shared" si="49"/>
        <v>0</v>
      </c>
      <c r="F1578" t="str">
        <f t="shared" si="50"/>
        <v/>
      </c>
      <c r="G1578">
        <f t="shared" si="50"/>
        <v>0.13062740719999999</v>
      </c>
    </row>
    <row r="1579" spans="1:7" x14ac:dyDescent="0.2">
      <c r="A1579" t="s">
        <v>2</v>
      </c>
      <c r="B1579">
        <v>0.61600794039999995</v>
      </c>
      <c r="C1579">
        <v>1</v>
      </c>
      <c r="D1579">
        <f t="shared" ref="D1579:E1642" si="51">IF($A1579=D$1,$C1579,"")</f>
        <v>1</v>
      </c>
      <c r="E1579" t="str">
        <f t="shared" si="51"/>
        <v/>
      </c>
      <c r="F1579">
        <f t="shared" ref="F1579:G1642" si="52">IF($A1579=F$1,$B1579,"")</f>
        <v>0.61600794039999995</v>
      </c>
      <c r="G1579" t="str">
        <f t="shared" si="52"/>
        <v/>
      </c>
    </row>
    <row r="1580" spans="1:7" x14ac:dyDescent="0.2">
      <c r="A1580" t="s">
        <v>2</v>
      </c>
      <c r="B1580">
        <v>0.60558862979999994</v>
      </c>
      <c r="C1580">
        <v>0</v>
      </c>
      <c r="D1580">
        <f t="shared" si="51"/>
        <v>0</v>
      </c>
      <c r="E1580" t="str">
        <f t="shared" si="51"/>
        <v/>
      </c>
      <c r="F1580">
        <f t="shared" si="52"/>
        <v>0.60558862979999994</v>
      </c>
      <c r="G1580" t="str">
        <f t="shared" si="52"/>
        <v/>
      </c>
    </row>
    <row r="1581" spans="1:7" x14ac:dyDescent="0.2">
      <c r="A1581" t="s">
        <v>2</v>
      </c>
      <c r="B1581">
        <v>0.3068564204</v>
      </c>
      <c r="C1581">
        <v>1</v>
      </c>
      <c r="D1581">
        <f t="shared" si="51"/>
        <v>1</v>
      </c>
      <c r="E1581" t="str">
        <f t="shared" si="51"/>
        <v/>
      </c>
      <c r="F1581">
        <f t="shared" si="52"/>
        <v>0.3068564204</v>
      </c>
      <c r="G1581" t="str">
        <f t="shared" si="52"/>
        <v/>
      </c>
    </row>
    <row r="1582" spans="1:7" x14ac:dyDescent="0.2">
      <c r="A1582" t="s">
        <v>2</v>
      </c>
      <c r="B1582">
        <v>0.63586295039999996</v>
      </c>
      <c r="C1582">
        <v>0</v>
      </c>
      <c r="D1582">
        <f t="shared" si="51"/>
        <v>0</v>
      </c>
      <c r="E1582" t="str">
        <f t="shared" si="51"/>
        <v/>
      </c>
      <c r="F1582">
        <f t="shared" si="52"/>
        <v>0.63586295039999996</v>
      </c>
      <c r="G1582" t="str">
        <f t="shared" si="52"/>
        <v/>
      </c>
    </row>
    <row r="1583" spans="1:7" x14ac:dyDescent="0.2">
      <c r="A1583" t="s">
        <v>2</v>
      </c>
      <c r="B1583">
        <v>0.24850445700000001</v>
      </c>
      <c r="C1583">
        <v>0</v>
      </c>
      <c r="D1583">
        <f t="shared" si="51"/>
        <v>0</v>
      </c>
      <c r="E1583" t="str">
        <f t="shared" si="51"/>
        <v/>
      </c>
      <c r="F1583">
        <f t="shared" si="52"/>
        <v>0.24850445700000001</v>
      </c>
      <c r="G1583" t="str">
        <f t="shared" si="52"/>
        <v/>
      </c>
    </row>
    <row r="1584" spans="1:7" x14ac:dyDescent="0.2">
      <c r="A1584" t="s">
        <v>2</v>
      </c>
      <c r="B1584">
        <v>0.43548070979999998</v>
      </c>
      <c r="C1584">
        <v>1</v>
      </c>
      <c r="D1584">
        <f t="shared" si="51"/>
        <v>1</v>
      </c>
      <c r="E1584" t="str">
        <f t="shared" si="51"/>
        <v/>
      </c>
      <c r="F1584">
        <f t="shared" si="52"/>
        <v>0.43548070979999998</v>
      </c>
      <c r="G1584" t="str">
        <f t="shared" si="52"/>
        <v/>
      </c>
    </row>
    <row r="1585" spans="1:7" x14ac:dyDescent="0.2">
      <c r="A1585" t="s">
        <v>2</v>
      </c>
      <c r="B1585">
        <v>0.33171137969999998</v>
      </c>
      <c r="C1585">
        <v>0</v>
      </c>
      <c r="D1585">
        <f t="shared" si="51"/>
        <v>0</v>
      </c>
      <c r="E1585" t="str">
        <f t="shared" si="51"/>
        <v/>
      </c>
      <c r="F1585">
        <f t="shared" si="52"/>
        <v>0.33171137969999998</v>
      </c>
      <c r="G1585" t="str">
        <f t="shared" si="52"/>
        <v/>
      </c>
    </row>
    <row r="1586" spans="1:7" x14ac:dyDescent="0.2">
      <c r="A1586" t="s">
        <v>0</v>
      </c>
      <c r="B1586">
        <v>0.48230852689999998</v>
      </c>
      <c r="C1586">
        <v>1</v>
      </c>
      <c r="D1586" t="str">
        <f t="shared" si="51"/>
        <v/>
      </c>
      <c r="E1586">
        <f t="shared" si="51"/>
        <v>1</v>
      </c>
      <c r="F1586" t="str">
        <f t="shared" si="52"/>
        <v/>
      </c>
      <c r="G1586">
        <f t="shared" si="52"/>
        <v>0.48230852689999998</v>
      </c>
    </row>
    <row r="1587" spans="1:7" x14ac:dyDescent="0.2">
      <c r="A1587" t="s">
        <v>0</v>
      </c>
      <c r="B1587">
        <v>0.68441090029999996</v>
      </c>
      <c r="C1587">
        <v>1</v>
      </c>
      <c r="D1587" t="str">
        <f t="shared" si="51"/>
        <v/>
      </c>
      <c r="E1587">
        <f t="shared" si="51"/>
        <v>1</v>
      </c>
      <c r="F1587" t="str">
        <f t="shared" si="52"/>
        <v/>
      </c>
      <c r="G1587">
        <f t="shared" si="52"/>
        <v>0.68441090029999996</v>
      </c>
    </row>
    <row r="1588" spans="1:7" x14ac:dyDescent="0.2">
      <c r="A1588" t="s">
        <v>2</v>
      </c>
      <c r="B1588">
        <v>0.43443379609999999</v>
      </c>
      <c r="C1588">
        <v>0</v>
      </c>
      <c r="D1588">
        <f t="shared" si="51"/>
        <v>0</v>
      </c>
      <c r="E1588" t="str">
        <f t="shared" si="51"/>
        <v/>
      </c>
      <c r="F1588">
        <f t="shared" si="52"/>
        <v>0.43443379609999999</v>
      </c>
      <c r="G1588" t="str">
        <f t="shared" si="52"/>
        <v/>
      </c>
    </row>
    <row r="1589" spans="1:7" x14ac:dyDescent="0.2">
      <c r="A1589" t="s">
        <v>2</v>
      </c>
      <c r="B1589">
        <v>0.32224514160000001</v>
      </c>
      <c r="C1589">
        <v>1</v>
      </c>
      <c r="D1589">
        <f t="shared" si="51"/>
        <v>1</v>
      </c>
      <c r="E1589" t="str">
        <f t="shared" si="51"/>
        <v/>
      </c>
      <c r="F1589">
        <f t="shared" si="52"/>
        <v>0.32224514160000001</v>
      </c>
      <c r="G1589" t="str">
        <f t="shared" si="52"/>
        <v/>
      </c>
    </row>
    <row r="1590" spans="1:7" x14ac:dyDescent="0.2">
      <c r="A1590" t="s">
        <v>2</v>
      </c>
      <c r="B1590">
        <v>0.23579959859999999</v>
      </c>
      <c r="C1590">
        <v>0</v>
      </c>
      <c r="D1590">
        <f t="shared" si="51"/>
        <v>0</v>
      </c>
      <c r="E1590" t="str">
        <f t="shared" si="51"/>
        <v/>
      </c>
      <c r="F1590">
        <f t="shared" si="52"/>
        <v>0.23579959859999999</v>
      </c>
      <c r="G1590" t="str">
        <f t="shared" si="52"/>
        <v/>
      </c>
    </row>
    <row r="1591" spans="1:7" x14ac:dyDescent="0.2">
      <c r="A1591" t="s">
        <v>2</v>
      </c>
      <c r="B1591">
        <v>0.83020506390000004</v>
      </c>
      <c r="C1591">
        <v>1</v>
      </c>
      <c r="D1591">
        <f t="shared" si="51"/>
        <v>1</v>
      </c>
      <c r="E1591" t="str">
        <f t="shared" si="51"/>
        <v/>
      </c>
      <c r="F1591">
        <f t="shared" si="52"/>
        <v>0.83020506390000004</v>
      </c>
      <c r="G1591" t="str">
        <f t="shared" si="52"/>
        <v/>
      </c>
    </row>
    <row r="1592" spans="1:7" x14ac:dyDescent="0.2">
      <c r="A1592" t="s">
        <v>2</v>
      </c>
      <c r="B1592">
        <v>0.2566892113</v>
      </c>
      <c r="C1592">
        <v>1</v>
      </c>
      <c r="D1592">
        <f t="shared" si="51"/>
        <v>1</v>
      </c>
      <c r="E1592" t="str">
        <f t="shared" si="51"/>
        <v/>
      </c>
      <c r="F1592">
        <f t="shared" si="52"/>
        <v>0.2566892113</v>
      </c>
      <c r="G1592" t="str">
        <f t="shared" si="52"/>
        <v/>
      </c>
    </row>
    <row r="1593" spans="1:7" x14ac:dyDescent="0.2">
      <c r="A1593" t="s">
        <v>2</v>
      </c>
      <c r="B1593">
        <v>0.13124425300000001</v>
      </c>
      <c r="C1593">
        <v>0</v>
      </c>
      <c r="D1593">
        <f t="shared" si="51"/>
        <v>0</v>
      </c>
      <c r="E1593" t="str">
        <f t="shared" si="51"/>
        <v/>
      </c>
      <c r="F1593">
        <f t="shared" si="52"/>
        <v>0.13124425300000001</v>
      </c>
      <c r="G1593" t="str">
        <f t="shared" si="52"/>
        <v/>
      </c>
    </row>
    <row r="1594" spans="1:7" x14ac:dyDescent="0.2">
      <c r="A1594" t="s">
        <v>0</v>
      </c>
      <c r="B1594">
        <v>0.52939417970000002</v>
      </c>
      <c r="C1594">
        <v>0</v>
      </c>
      <c r="D1594" t="str">
        <f t="shared" si="51"/>
        <v/>
      </c>
      <c r="E1594">
        <f t="shared" si="51"/>
        <v>0</v>
      </c>
      <c r="F1594" t="str">
        <f t="shared" si="52"/>
        <v/>
      </c>
      <c r="G1594">
        <f t="shared" si="52"/>
        <v>0.52939417970000002</v>
      </c>
    </row>
    <row r="1595" spans="1:7" x14ac:dyDescent="0.2">
      <c r="A1595" t="s">
        <v>2</v>
      </c>
      <c r="B1595">
        <v>0.58871920879999995</v>
      </c>
      <c r="C1595">
        <v>1</v>
      </c>
      <c r="D1595">
        <f t="shared" si="51"/>
        <v>1</v>
      </c>
      <c r="E1595" t="str">
        <f t="shared" si="51"/>
        <v/>
      </c>
      <c r="F1595">
        <f t="shared" si="52"/>
        <v>0.58871920879999995</v>
      </c>
      <c r="G1595" t="str">
        <f t="shared" si="52"/>
        <v/>
      </c>
    </row>
    <row r="1596" spans="1:7" x14ac:dyDescent="0.2">
      <c r="A1596" t="s">
        <v>0</v>
      </c>
      <c r="B1596">
        <v>0.56941930419999998</v>
      </c>
      <c r="C1596">
        <v>0</v>
      </c>
      <c r="D1596" t="str">
        <f t="shared" si="51"/>
        <v/>
      </c>
      <c r="E1596">
        <f t="shared" si="51"/>
        <v>0</v>
      </c>
      <c r="F1596" t="str">
        <f t="shared" si="52"/>
        <v/>
      </c>
      <c r="G1596">
        <f t="shared" si="52"/>
        <v>0.56941930419999998</v>
      </c>
    </row>
    <row r="1597" spans="1:7" x14ac:dyDescent="0.2">
      <c r="A1597" t="s">
        <v>0</v>
      </c>
      <c r="B1597">
        <v>0.43548070979999998</v>
      </c>
      <c r="C1597">
        <v>1</v>
      </c>
      <c r="D1597" t="str">
        <f t="shared" si="51"/>
        <v/>
      </c>
      <c r="E1597">
        <f t="shared" si="51"/>
        <v>1</v>
      </c>
      <c r="F1597" t="str">
        <f t="shared" si="52"/>
        <v/>
      </c>
      <c r="G1597">
        <f t="shared" si="52"/>
        <v>0.43548070979999998</v>
      </c>
    </row>
    <row r="1598" spans="1:7" x14ac:dyDescent="0.2">
      <c r="A1598" t="s">
        <v>2</v>
      </c>
      <c r="B1598">
        <v>9.6628452099999998E-2</v>
      </c>
      <c r="C1598">
        <v>0</v>
      </c>
      <c r="D1598">
        <f t="shared" si="51"/>
        <v>0</v>
      </c>
      <c r="E1598" t="str">
        <f t="shared" si="51"/>
        <v/>
      </c>
      <c r="F1598">
        <f t="shared" si="52"/>
        <v>9.6628452099999998E-2</v>
      </c>
      <c r="G1598" t="str">
        <f t="shared" si="52"/>
        <v/>
      </c>
    </row>
    <row r="1599" spans="1:7" x14ac:dyDescent="0.2">
      <c r="A1599" t="s">
        <v>0</v>
      </c>
      <c r="B1599">
        <v>0.3756955797</v>
      </c>
      <c r="C1599">
        <v>1</v>
      </c>
      <c r="D1599" t="str">
        <f t="shared" si="51"/>
        <v/>
      </c>
      <c r="E1599">
        <f t="shared" si="51"/>
        <v>1</v>
      </c>
      <c r="F1599" t="str">
        <f t="shared" si="52"/>
        <v/>
      </c>
      <c r="G1599">
        <f t="shared" si="52"/>
        <v>0.3756955797</v>
      </c>
    </row>
    <row r="1600" spans="1:7" x14ac:dyDescent="0.2">
      <c r="A1600" t="s">
        <v>2</v>
      </c>
      <c r="B1600">
        <v>0.63322728260000005</v>
      </c>
      <c r="C1600">
        <v>1</v>
      </c>
      <c r="D1600">
        <f t="shared" si="51"/>
        <v>1</v>
      </c>
      <c r="E1600" t="str">
        <f t="shared" si="51"/>
        <v/>
      </c>
      <c r="F1600">
        <f t="shared" si="52"/>
        <v>0.63322728260000005</v>
      </c>
      <c r="G1600" t="str">
        <f t="shared" si="52"/>
        <v/>
      </c>
    </row>
    <row r="1601" spans="1:7" x14ac:dyDescent="0.2">
      <c r="A1601" t="s">
        <v>0</v>
      </c>
      <c r="B1601">
        <v>0.61350292679999996</v>
      </c>
      <c r="C1601">
        <v>1</v>
      </c>
      <c r="D1601" t="str">
        <f t="shared" si="51"/>
        <v/>
      </c>
      <c r="E1601">
        <f t="shared" si="51"/>
        <v>1</v>
      </c>
      <c r="F1601" t="str">
        <f t="shared" si="52"/>
        <v/>
      </c>
      <c r="G1601">
        <f t="shared" si="52"/>
        <v>0.61350292679999996</v>
      </c>
    </row>
    <row r="1602" spans="1:7" x14ac:dyDescent="0.2">
      <c r="A1602" t="s">
        <v>0</v>
      </c>
      <c r="B1602">
        <v>0.1134699233</v>
      </c>
      <c r="C1602">
        <v>0</v>
      </c>
      <c r="D1602" t="str">
        <f t="shared" si="51"/>
        <v/>
      </c>
      <c r="E1602">
        <f t="shared" si="51"/>
        <v>0</v>
      </c>
      <c r="F1602" t="str">
        <f t="shared" si="52"/>
        <v/>
      </c>
      <c r="G1602">
        <f t="shared" si="52"/>
        <v>0.1134699233</v>
      </c>
    </row>
    <row r="1603" spans="1:7" x14ac:dyDescent="0.2">
      <c r="A1603" t="s">
        <v>2</v>
      </c>
      <c r="B1603">
        <v>0.66078433660000002</v>
      </c>
      <c r="C1603">
        <v>1</v>
      </c>
      <c r="D1603">
        <f t="shared" si="51"/>
        <v>1</v>
      </c>
      <c r="E1603" t="str">
        <f t="shared" si="51"/>
        <v/>
      </c>
      <c r="F1603">
        <f t="shared" si="52"/>
        <v>0.66078433660000002</v>
      </c>
      <c r="G1603" t="str">
        <f t="shared" si="52"/>
        <v/>
      </c>
    </row>
    <row r="1604" spans="1:7" x14ac:dyDescent="0.2">
      <c r="A1604" t="s">
        <v>2</v>
      </c>
      <c r="B1604">
        <v>0.57358182469999996</v>
      </c>
      <c r="C1604">
        <v>0</v>
      </c>
      <c r="D1604">
        <f t="shared" si="51"/>
        <v>0</v>
      </c>
      <c r="E1604" t="str">
        <f t="shared" si="51"/>
        <v/>
      </c>
      <c r="F1604">
        <f t="shared" si="52"/>
        <v>0.57358182469999996</v>
      </c>
      <c r="G1604" t="str">
        <f t="shared" si="52"/>
        <v/>
      </c>
    </row>
    <row r="1605" spans="1:7" x14ac:dyDescent="0.2">
      <c r="A1605" t="s">
        <v>0</v>
      </c>
      <c r="B1605">
        <v>0.70279023780000005</v>
      </c>
      <c r="C1605">
        <v>1</v>
      </c>
      <c r="D1605" t="str">
        <f t="shared" si="51"/>
        <v/>
      </c>
      <c r="E1605">
        <f t="shared" si="51"/>
        <v>1</v>
      </c>
      <c r="F1605" t="str">
        <f t="shared" si="52"/>
        <v/>
      </c>
      <c r="G1605">
        <f t="shared" si="52"/>
        <v>0.70279023780000005</v>
      </c>
    </row>
    <row r="1606" spans="1:7" x14ac:dyDescent="0.2">
      <c r="A1606" t="s">
        <v>2</v>
      </c>
      <c r="B1606">
        <v>0.26502441339999999</v>
      </c>
      <c r="C1606">
        <v>0</v>
      </c>
      <c r="D1606">
        <f t="shared" si="51"/>
        <v>0</v>
      </c>
      <c r="E1606" t="str">
        <f t="shared" si="51"/>
        <v/>
      </c>
      <c r="F1606">
        <f t="shared" si="52"/>
        <v>0.26502441339999999</v>
      </c>
      <c r="G1606" t="str">
        <f t="shared" si="52"/>
        <v/>
      </c>
    </row>
    <row r="1607" spans="1:7" x14ac:dyDescent="0.2">
      <c r="A1607" t="s">
        <v>2</v>
      </c>
      <c r="B1607">
        <v>0.61316158249999997</v>
      </c>
      <c r="C1607">
        <v>1</v>
      </c>
      <c r="D1607">
        <f t="shared" si="51"/>
        <v>1</v>
      </c>
      <c r="E1607" t="str">
        <f t="shared" si="51"/>
        <v/>
      </c>
      <c r="F1607">
        <f t="shared" si="52"/>
        <v>0.61316158249999997</v>
      </c>
      <c r="G1607" t="str">
        <f t="shared" si="52"/>
        <v/>
      </c>
    </row>
    <row r="1608" spans="1:7" x14ac:dyDescent="0.2">
      <c r="A1608" t="s">
        <v>2</v>
      </c>
      <c r="B1608">
        <v>0.6396878668</v>
      </c>
      <c r="C1608">
        <v>0</v>
      </c>
      <c r="D1608">
        <f t="shared" si="51"/>
        <v>0</v>
      </c>
      <c r="E1608" t="str">
        <f t="shared" si="51"/>
        <v/>
      </c>
      <c r="F1608">
        <f t="shared" si="52"/>
        <v>0.6396878668</v>
      </c>
      <c r="G1608" t="str">
        <f t="shared" si="52"/>
        <v/>
      </c>
    </row>
    <row r="1609" spans="1:7" x14ac:dyDescent="0.2">
      <c r="A1609" t="s">
        <v>2</v>
      </c>
      <c r="B1609">
        <v>0.78460139500000003</v>
      </c>
      <c r="C1609">
        <v>1</v>
      </c>
      <c r="D1609">
        <f t="shared" si="51"/>
        <v>1</v>
      </c>
      <c r="E1609" t="str">
        <f t="shared" si="51"/>
        <v/>
      </c>
      <c r="F1609">
        <f t="shared" si="52"/>
        <v>0.78460139500000003</v>
      </c>
      <c r="G1609" t="str">
        <f t="shared" si="52"/>
        <v/>
      </c>
    </row>
    <row r="1610" spans="1:7" x14ac:dyDescent="0.2">
      <c r="A1610" t="s">
        <v>0</v>
      </c>
      <c r="B1610">
        <v>0.53567681970000003</v>
      </c>
      <c r="C1610">
        <v>1</v>
      </c>
      <c r="D1610" t="str">
        <f t="shared" si="51"/>
        <v/>
      </c>
      <c r="E1610">
        <f t="shared" si="51"/>
        <v>1</v>
      </c>
      <c r="F1610" t="str">
        <f t="shared" si="52"/>
        <v/>
      </c>
      <c r="G1610">
        <f t="shared" si="52"/>
        <v>0.53567681970000003</v>
      </c>
    </row>
    <row r="1611" spans="1:7" x14ac:dyDescent="0.2">
      <c r="A1611" t="s">
        <v>2</v>
      </c>
      <c r="B1611">
        <v>0.35829407169999999</v>
      </c>
      <c r="C1611">
        <v>0</v>
      </c>
      <c r="D1611">
        <f t="shared" si="51"/>
        <v>0</v>
      </c>
      <c r="E1611" t="str">
        <f t="shared" si="51"/>
        <v/>
      </c>
      <c r="F1611">
        <f t="shared" si="52"/>
        <v>0.35829407169999999</v>
      </c>
      <c r="G1611" t="str">
        <f t="shared" si="52"/>
        <v/>
      </c>
    </row>
    <row r="1612" spans="1:7" x14ac:dyDescent="0.2">
      <c r="A1612" t="s">
        <v>0</v>
      </c>
      <c r="B1612">
        <v>0.48222456559999999</v>
      </c>
      <c r="C1612">
        <v>0</v>
      </c>
      <c r="D1612" t="str">
        <f t="shared" si="51"/>
        <v/>
      </c>
      <c r="E1612">
        <f t="shared" si="51"/>
        <v>0</v>
      </c>
      <c r="F1612" t="str">
        <f t="shared" si="52"/>
        <v/>
      </c>
      <c r="G1612">
        <f t="shared" si="52"/>
        <v>0.48222456559999999</v>
      </c>
    </row>
    <row r="1613" spans="1:7" x14ac:dyDescent="0.2">
      <c r="A1613" t="s">
        <v>2</v>
      </c>
      <c r="B1613">
        <v>0.27518827229999998</v>
      </c>
      <c r="C1613">
        <v>0</v>
      </c>
      <c r="D1613">
        <f t="shared" si="51"/>
        <v>0</v>
      </c>
      <c r="E1613" t="str">
        <f t="shared" si="51"/>
        <v/>
      </c>
      <c r="F1613">
        <f t="shared" si="52"/>
        <v>0.27518827229999998</v>
      </c>
      <c r="G1613" t="str">
        <f t="shared" si="52"/>
        <v/>
      </c>
    </row>
    <row r="1614" spans="1:7" x14ac:dyDescent="0.2">
      <c r="A1614" t="s">
        <v>2</v>
      </c>
      <c r="B1614">
        <v>0.43873625360000001</v>
      </c>
      <c r="C1614">
        <v>1</v>
      </c>
      <c r="D1614">
        <f t="shared" si="51"/>
        <v>1</v>
      </c>
      <c r="E1614" t="str">
        <f t="shared" si="51"/>
        <v/>
      </c>
      <c r="F1614">
        <f t="shared" si="52"/>
        <v>0.43873625360000001</v>
      </c>
      <c r="G1614" t="str">
        <f t="shared" si="52"/>
        <v/>
      </c>
    </row>
    <row r="1615" spans="1:7" x14ac:dyDescent="0.2">
      <c r="A1615" t="s">
        <v>0</v>
      </c>
      <c r="B1615">
        <v>0.25059869270000001</v>
      </c>
      <c r="C1615">
        <v>0</v>
      </c>
      <c r="D1615" t="str">
        <f t="shared" si="51"/>
        <v/>
      </c>
      <c r="E1615">
        <f t="shared" si="51"/>
        <v>0</v>
      </c>
      <c r="F1615" t="str">
        <f t="shared" si="52"/>
        <v/>
      </c>
      <c r="G1615">
        <f t="shared" si="52"/>
        <v>0.25059869270000001</v>
      </c>
    </row>
    <row r="1616" spans="1:7" x14ac:dyDescent="0.2">
      <c r="A1616" t="s">
        <v>0</v>
      </c>
      <c r="B1616">
        <v>0.61521697689999999</v>
      </c>
      <c r="C1616">
        <v>0</v>
      </c>
      <c r="D1616" t="str">
        <f t="shared" si="51"/>
        <v/>
      </c>
      <c r="E1616">
        <f t="shared" si="51"/>
        <v>0</v>
      </c>
      <c r="F1616" t="str">
        <f t="shared" si="52"/>
        <v/>
      </c>
      <c r="G1616">
        <f t="shared" si="52"/>
        <v>0.61521697689999999</v>
      </c>
    </row>
    <row r="1617" spans="1:7" x14ac:dyDescent="0.2">
      <c r="A1617" t="s">
        <v>2</v>
      </c>
      <c r="B1617">
        <v>0.71244233260000001</v>
      </c>
      <c r="C1617">
        <v>0</v>
      </c>
      <c r="D1617">
        <f t="shared" si="51"/>
        <v>0</v>
      </c>
      <c r="E1617" t="str">
        <f t="shared" si="51"/>
        <v/>
      </c>
      <c r="F1617">
        <f t="shared" si="52"/>
        <v>0.71244233260000001</v>
      </c>
      <c r="G1617" t="str">
        <f t="shared" si="52"/>
        <v/>
      </c>
    </row>
    <row r="1618" spans="1:7" x14ac:dyDescent="0.2">
      <c r="A1618" t="s">
        <v>0</v>
      </c>
      <c r="B1618">
        <v>0.16633693159999999</v>
      </c>
      <c r="C1618">
        <v>0</v>
      </c>
      <c r="D1618" t="str">
        <f t="shared" si="51"/>
        <v/>
      </c>
      <c r="E1618">
        <f t="shared" si="51"/>
        <v>0</v>
      </c>
      <c r="F1618" t="str">
        <f t="shared" si="52"/>
        <v/>
      </c>
      <c r="G1618">
        <f t="shared" si="52"/>
        <v>0.16633693159999999</v>
      </c>
    </row>
    <row r="1619" spans="1:7" x14ac:dyDescent="0.2">
      <c r="A1619" t="s">
        <v>0</v>
      </c>
      <c r="B1619">
        <v>0.19425178379999999</v>
      </c>
      <c r="C1619">
        <v>0</v>
      </c>
      <c r="D1619" t="str">
        <f t="shared" si="51"/>
        <v/>
      </c>
      <c r="E1619">
        <f t="shared" si="51"/>
        <v>0</v>
      </c>
      <c r="F1619" t="str">
        <f t="shared" si="52"/>
        <v/>
      </c>
      <c r="G1619">
        <f t="shared" si="52"/>
        <v>0.19425178379999999</v>
      </c>
    </row>
    <row r="1620" spans="1:7" x14ac:dyDescent="0.2">
      <c r="A1620" t="s">
        <v>0</v>
      </c>
      <c r="B1620">
        <v>0.82826879220000005</v>
      </c>
      <c r="C1620">
        <v>1</v>
      </c>
      <c r="D1620" t="str">
        <f t="shared" si="51"/>
        <v/>
      </c>
      <c r="E1620">
        <f t="shared" si="51"/>
        <v>1</v>
      </c>
      <c r="F1620" t="str">
        <f t="shared" si="52"/>
        <v/>
      </c>
      <c r="G1620">
        <f t="shared" si="52"/>
        <v>0.82826879220000005</v>
      </c>
    </row>
    <row r="1621" spans="1:7" x14ac:dyDescent="0.2">
      <c r="A1621" t="s">
        <v>2</v>
      </c>
      <c r="B1621">
        <v>0.1510333163</v>
      </c>
      <c r="C1621">
        <v>0</v>
      </c>
      <c r="D1621">
        <f t="shared" si="51"/>
        <v>0</v>
      </c>
      <c r="E1621" t="str">
        <f t="shared" si="51"/>
        <v/>
      </c>
      <c r="F1621">
        <f t="shared" si="52"/>
        <v>0.1510333163</v>
      </c>
      <c r="G1621" t="str">
        <f t="shared" si="52"/>
        <v/>
      </c>
    </row>
    <row r="1622" spans="1:7" x14ac:dyDescent="0.2">
      <c r="A1622" t="s">
        <v>2</v>
      </c>
      <c r="B1622">
        <v>0.38172882190000001</v>
      </c>
      <c r="C1622">
        <v>0</v>
      </c>
      <c r="D1622">
        <f t="shared" si="51"/>
        <v>0</v>
      </c>
      <c r="E1622" t="str">
        <f t="shared" si="51"/>
        <v/>
      </c>
      <c r="F1622">
        <f t="shared" si="52"/>
        <v>0.38172882190000001</v>
      </c>
      <c r="G1622" t="str">
        <f t="shared" si="52"/>
        <v/>
      </c>
    </row>
    <row r="1623" spans="1:7" x14ac:dyDescent="0.2">
      <c r="A1623" t="s">
        <v>0</v>
      </c>
      <c r="B1623">
        <v>0.57464384400000001</v>
      </c>
      <c r="C1623">
        <v>1</v>
      </c>
      <c r="D1623" t="str">
        <f t="shared" si="51"/>
        <v/>
      </c>
      <c r="E1623">
        <f t="shared" si="51"/>
        <v>1</v>
      </c>
      <c r="F1623" t="str">
        <f t="shared" si="52"/>
        <v/>
      </c>
      <c r="G1623">
        <f t="shared" si="52"/>
        <v>0.57464384400000001</v>
      </c>
    </row>
    <row r="1624" spans="1:7" x14ac:dyDescent="0.2">
      <c r="A1624" t="s">
        <v>2</v>
      </c>
      <c r="B1624">
        <v>0.13770754700000001</v>
      </c>
      <c r="C1624">
        <v>0</v>
      </c>
      <c r="D1624">
        <f t="shared" si="51"/>
        <v>0</v>
      </c>
      <c r="E1624" t="str">
        <f t="shared" si="51"/>
        <v/>
      </c>
      <c r="F1624">
        <f t="shared" si="52"/>
        <v>0.13770754700000001</v>
      </c>
      <c r="G1624" t="str">
        <f t="shared" si="52"/>
        <v/>
      </c>
    </row>
    <row r="1625" spans="1:7" x14ac:dyDescent="0.2">
      <c r="A1625" t="s">
        <v>0</v>
      </c>
      <c r="B1625">
        <v>0.3592609007</v>
      </c>
      <c r="C1625">
        <v>1</v>
      </c>
      <c r="D1625" t="str">
        <f t="shared" si="51"/>
        <v/>
      </c>
      <c r="E1625">
        <f t="shared" si="51"/>
        <v>1</v>
      </c>
      <c r="F1625" t="str">
        <f t="shared" si="52"/>
        <v/>
      </c>
      <c r="G1625">
        <f t="shared" si="52"/>
        <v>0.3592609007</v>
      </c>
    </row>
    <row r="1626" spans="1:7" x14ac:dyDescent="0.2">
      <c r="A1626" t="s">
        <v>0</v>
      </c>
      <c r="B1626">
        <v>0.1067067994</v>
      </c>
      <c r="C1626">
        <v>0</v>
      </c>
      <c r="D1626" t="str">
        <f t="shared" si="51"/>
        <v/>
      </c>
      <c r="E1626">
        <f t="shared" si="51"/>
        <v>0</v>
      </c>
      <c r="F1626" t="str">
        <f t="shared" si="52"/>
        <v/>
      </c>
      <c r="G1626">
        <f t="shared" si="52"/>
        <v>0.1067067994</v>
      </c>
    </row>
    <row r="1627" spans="1:7" x14ac:dyDescent="0.2">
      <c r="A1627" t="s">
        <v>2</v>
      </c>
      <c r="B1627">
        <v>0.1659812249</v>
      </c>
      <c r="C1627">
        <v>0</v>
      </c>
      <c r="D1627">
        <f t="shared" si="51"/>
        <v>0</v>
      </c>
      <c r="E1627" t="str">
        <f t="shared" si="51"/>
        <v/>
      </c>
      <c r="F1627">
        <f t="shared" si="52"/>
        <v>0.1659812249</v>
      </c>
      <c r="G1627" t="str">
        <f t="shared" si="52"/>
        <v/>
      </c>
    </row>
    <row r="1628" spans="1:7" x14ac:dyDescent="0.2">
      <c r="A1628" t="s">
        <v>2</v>
      </c>
      <c r="B1628">
        <v>0.51636329319999996</v>
      </c>
      <c r="C1628">
        <v>1</v>
      </c>
      <c r="D1628">
        <f t="shared" si="51"/>
        <v>1</v>
      </c>
      <c r="E1628" t="str">
        <f t="shared" si="51"/>
        <v/>
      </c>
      <c r="F1628">
        <f t="shared" si="52"/>
        <v>0.51636329319999996</v>
      </c>
      <c r="G1628" t="str">
        <f t="shared" si="52"/>
        <v/>
      </c>
    </row>
    <row r="1629" spans="1:7" x14ac:dyDescent="0.2">
      <c r="A1629" t="s">
        <v>2</v>
      </c>
      <c r="B1629">
        <v>0.41493306520000001</v>
      </c>
      <c r="C1629">
        <v>1</v>
      </c>
      <c r="D1629">
        <f t="shared" si="51"/>
        <v>1</v>
      </c>
      <c r="E1629" t="str">
        <f t="shared" si="51"/>
        <v/>
      </c>
      <c r="F1629">
        <f t="shared" si="52"/>
        <v>0.41493306520000001</v>
      </c>
      <c r="G1629" t="str">
        <f t="shared" si="52"/>
        <v/>
      </c>
    </row>
    <row r="1630" spans="1:7" x14ac:dyDescent="0.2">
      <c r="A1630" t="s">
        <v>2</v>
      </c>
      <c r="B1630">
        <v>0.82826879220000005</v>
      </c>
      <c r="C1630">
        <v>1</v>
      </c>
      <c r="D1630">
        <f t="shared" si="51"/>
        <v>1</v>
      </c>
      <c r="E1630" t="str">
        <f t="shared" si="51"/>
        <v/>
      </c>
      <c r="F1630">
        <f t="shared" si="52"/>
        <v>0.82826879220000005</v>
      </c>
      <c r="G1630" t="str">
        <f t="shared" si="52"/>
        <v/>
      </c>
    </row>
    <row r="1631" spans="1:7" x14ac:dyDescent="0.2">
      <c r="A1631" t="s">
        <v>0</v>
      </c>
      <c r="B1631">
        <v>0.74934118949999995</v>
      </c>
      <c r="C1631">
        <v>1</v>
      </c>
      <c r="D1631" t="str">
        <f t="shared" si="51"/>
        <v/>
      </c>
      <c r="E1631">
        <f t="shared" si="51"/>
        <v>1</v>
      </c>
      <c r="F1631" t="str">
        <f t="shared" si="52"/>
        <v/>
      </c>
      <c r="G1631">
        <f t="shared" si="52"/>
        <v>0.74934118949999995</v>
      </c>
    </row>
    <row r="1632" spans="1:7" x14ac:dyDescent="0.2">
      <c r="A1632" t="s">
        <v>0</v>
      </c>
      <c r="B1632">
        <v>0.2637200428</v>
      </c>
      <c r="C1632">
        <v>1</v>
      </c>
      <c r="D1632" t="str">
        <f t="shared" si="51"/>
        <v/>
      </c>
      <c r="E1632">
        <f t="shared" si="51"/>
        <v>1</v>
      </c>
      <c r="F1632" t="str">
        <f t="shared" si="52"/>
        <v/>
      </c>
      <c r="G1632">
        <f t="shared" si="52"/>
        <v>0.2637200428</v>
      </c>
    </row>
    <row r="1633" spans="1:7" x14ac:dyDescent="0.2">
      <c r="A1633" t="s">
        <v>2</v>
      </c>
      <c r="B1633">
        <v>0.53794478499999998</v>
      </c>
      <c r="C1633">
        <v>0</v>
      </c>
      <c r="D1633">
        <f t="shared" si="51"/>
        <v>0</v>
      </c>
      <c r="E1633" t="str">
        <f t="shared" si="51"/>
        <v/>
      </c>
      <c r="F1633">
        <f t="shared" si="52"/>
        <v>0.53794478499999998</v>
      </c>
      <c r="G1633" t="str">
        <f t="shared" si="52"/>
        <v/>
      </c>
    </row>
    <row r="1634" spans="1:7" x14ac:dyDescent="0.2">
      <c r="A1634" t="s">
        <v>2</v>
      </c>
      <c r="B1634">
        <v>0.60997677279999996</v>
      </c>
      <c r="C1634">
        <v>1</v>
      </c>
      <c r="D1634">
        <f t="shared" si="51"/>
        <v>1</v>
      </c>
      <c r="E1634" t="str">
        <f t="shared" si="51"/>
        <v/>
      </c>
      <c r="F1634">
        <f t="shared" si="52"/>
        <v>0.60997677279999996</v>
      </c>
      <c r="G1634" t="str">
        <f t="shared" si="52"/>
        <v/>
      </c>
    </row>
    <row r="1635" spans="1:7" x14ac:dyDescent="0.2">
      <c r="A1635" t="s">
        <v>0</v>
      </c>
      <c r="B1635">
        <v>0.3891902928</v>
      </c>
      <c r="C1635">
        <v>0</v>
      </c>
      <c r="D1635" t="str">
        <f t="shared" si="51"/>
        <v/>
      </c>
      <c r="E1635">
        <f t="shared" si="51"/>
        <v>0</v>
      </c>
      <c r="F1635" t="str">
        <f t="shared" si="52"/>
        <v/>
      </c>
      <c r="G1635">
        <f t="shared" si="52"/>
        <v>0.3891902928</v>
      </c>
    </row>
    <row r="1636" spans="1:7" x14ac:dyDescent="0.2">
      <c r="A1636" t="s">
        <v>2</v>
      </c>
      <c r="B1636">
        <v>0.4647439055</v>
      </c>
      <c r="C1636">
        <v>1</v>
      </c>
      <c r="D1636">
        <f t="shared" si="51"/>
        <v>1</v>
      </c>
      <c r="E1636" t="str">
        <f t="shared" si="51"/>
        <v/>
      </c>
      <c r="F1636">
        <f t="shared" si="52"/>
        <v>0.4647439055</v>
      </c>
      <c r="G1636" t="str">
        <f t="shared" si="52"/>
        <v/>
      </c>
    </row>
    <row r="1637" spans="1:7" x14ac:dyDescent="0.2">
      <c r="A1637" t="s">
        <v>2</v>
      </c>
      <c r="B1637">
        <v>0.64328095750000003</v>
      </c>
      <c r="C1637">
        <v>1</v>
      </c>
      <c r="D1637">
        <f t="shared" si="51"/>
        <v>1</v>
      </c>
      <c r="E1637" t="str">
        <f t="shared" si="51"/>
        <v/>
      </c>
      <c r="F1637">
        <f t="shared" si="52"/>
        <v>0.64328095750000003</v>
      </c>
      <c r="G1637" t="str">
        <f t="shared" si="52"/>
        <v/>
      </c>
    </row>
    <row r="1638" spans="1:7" x14ac:dyDescent="0.2">
      <c r="A1638" t="s">
        <v>2</v>
      </c>
      <c r="B1638">
        <v>0.85901316770000002</v>
      </c>
      <c r="C1638">
        <v>0</v>
      </c>
      <c r="D1638">
        <f t="shared" si="51"/>
        <v>0</v>
      </c>
      <c r="E1638" t="str">
        <f t="shared" si="51"/>
        <v/>
      </c>
      <c r="F1638">
        <f t="shared" si="52"/>
        <v>0.85901316770000002</v>
      </c>
      <c r="G1638" t="str">
        <f t="shared" si="52"/>
        <v/>
      </c>
    </row>
    <row r="1639" spans="1:7" x14ac:dyDescent="0.2">
      <c r="A1639" t="s">
        <v>2</v>
      </c>
      <c r="B1639">
        <v>9.7897469400000006E-2</v>
      </c>
      <c r="C1639">
        <v>0</v>
      </c>
      <c r="D1639">
        <f t="shared" si="51"/>
        <v>0</v>
      </c>
      <c r="E1639" t="str">
        <f t="shared" si="51"/>
        <v/>
      </c>
      <c r="F1639">
        <f t="shared" si="52"/>
        <v>9.7897469400000006E-2</v>
      </c>
      <c r="G1639" t="str">
        <f t="shared" si="52"/>
        <v/>
      </c>
    </row>
    <row r="1640" spans="1:7" x14ac:dyDescent="0.2">
      <c r="A1640" t="s">
        <v>2</v>
      </c>
      <c r="B1640">
        <v>0.19855404169999999</v>
      </c>
      <c r="C1640">
        <v>0</v>
      </c>
      <c r="D1640">
        <f t="shared" si="51"/>
        <v>0</v>
      </c>
      <c r="E1640" t="str">
        <f t="shared" si="51"/>
        <v/>
      </c>
      <c r="F1640">
        <f t="shared" si="52"/>
        <v>0.19855404169999999</v>
      </c>
      <c r="G1640" t="str">
        <f t="shared" si="52"/>
        <v/>
      </c>
    </row>
    <row r="1641" spans="1:7" x14ac:dyDescent="0.2">
      <c r="A1641" t="s">
        <v>2</v>
      </c>
      <c r="B1641">
        <v>0.16166853740000001</v>
      </c>
      <c r="C1641">
        <v>0</v>
      </c>
      <c r="D1641">
        <f t="shared" si="51"/>
        <v>0</v>
      </c>
      <c r="E1641" t="str">
        <f t="shared" si="51"/>
        <v/>
      </c>
      <c r="F1641">
        <f t="shared" si="52"/>
        <v>0.16166853740000001</v>
      </c>
      <c r="G1641" t="str">
        <f t="shared" si="52"/>
        <v/>
      </c>
    </row>
    <row r="1642" spans="1:7" x14ac:dyDescent="0.2">
      <c r="A1642" t="s">
        <v>2</v>
      </c>
      <c r="B1642">
        <v>0.24450517290000001</v>
      </c>
      <c r="C1642">
        <v>1</v>
      </c>
      <c r="D1642">
        <f t="shared" si="51"/>
        <v>1</v>
      </c>
      <c r="E1642" t="str">
        <f t="shared" si="51"/>
        <v/>
      </c>
      <c r="F1642">
        <f t="shared" si="52"/>
        <v>0.24450517290000001</v>
      </c>
      <c r="G1642" t="str">
        <f t="shared" si="52"/>
        <v/>
      </c>
    </row>
    <row r="1643" spans="1:7" x14ac:dyDescent="0.2">
      <c r="A1643" t="s">
        <v>2</v>
      </c>
      <c r="B1643">
        <v>0.59641763709999995</v>
      </c>
      <c r="C1643">
        <v>0</v>
      </c>
      <c r="D1643">
        <f t="shared" ref="D1643:E1706" si="53">IF($A1643=D$1,$C1643,"")</f>
        <v>0</v>
      </c>
      <c r="E1643" t="str">
        <f t="shared" si="53"/>
        <v/>
      </c>
      <c r="F1643">
        <f t="shared" ref="F1643:G1706" si="54">IF($A1643=F$1,$B1643,"")</f>
        <v>0.59641763709999995</v>
      </c>
      <c r="G1643" t="str">
        <f t="shared" si="54"/>
        <v/>
      </c>
    </row>
    <row r="1644" spans="1:7" x14ac:dyDescent="0.2">
      <c r="A1644" t="s">
        <v>2</v>
      </c>
      <c r="B1644">
        <v>0.5001679738</v>
      </c>
      <c r="C1644">
        <v>1</v>
      </c>
      <c r="D1644">
        <f t="shared" si="53"/>
        <v>1</v>
      </c>
      <c r="E1644" t="str">
        <f t="shared" si="53"/>
        <v/>
      </c>
      <c r="F1644">
        <f t="shared" si="54"/>
        <v>0.5001679738</v>
      </c>
      <c r="G1644" t="str">
        <f t="shared" si="54"/>
        <v/>
      </c>
    </row>
    <row r="1645" spans="1:7" x14ac:dyDescent="0.2">
      <c r="A1645" t="s">
        <v>2</v>
      </c>
      <c r="B1645">
        <v>0.7486473951</v>
      </c>
      <c r="C1645">
        <v>1</v>
      </c>
      <c r="D1645">
        <f t="shared" si="53"/>
        <v>1</v>
      </c>
      <c r="E1645" t="str">
        <f t="shared" si="53"/>
        <v/>
      </c>
      <c r="F1645">
        <f t="shared" si="54"/>
        <v>0.7486473951</v>
      </c>
      <c r="G1645" t="str">
        <f t="shared" si="54"/>
        <v/>
      </c>
    </row>
    <row r="1646" spans="1:7" x14ac:dyDescent="0.2">
      <c r="A1646" t="s">
        <v>2</v>
      </c>
      <c r="B1646">
        <v>0.54774458100000001</v>
      </c>
      <c r="C1646">
        <v>1</v>
      </c>
      <c r="D1646">
        <f t="shared" si="53"/>
        <v>1</v>
      </c>
      <c r="E1646" t="str">
        <f t="shared" si="53"/>
        <v/>
      </c>
      <c r="F1646">
        <f t="shared" si="54"/>
        <v>0.54774458100000001</v>
      </c>
      <c r="G1646" t="str">
        <f t="shared" si="54"/>
        <v/>
      </c>
    </row>
    <row r="1647" spans="1:7" x14ac:dyDescent="0.2">
      <c r="A1647" t="s">
        <v>2</v>
      </c>
      <c r="B1647">
        <v>0.57453269870000001</v>
      </c>
      <c r="C1647">
        <v>1</v>
      </c>
      <c r="D1647">
        <f t="shared" si="53"/>
        <v>1</v>
      </c>
      <c r="E1647" t="str">
        <f t="shared" si="53"/>
        <v/>
      </c>
      <c r="F1647">
        <f t="shared" si="54"/>
        <v>0.57453269870000001</v>
      </c>
      <c r="G1647" t="str">
        <f t="shared" si="54"/>
        <v/>
      </c>
    </row>
    <row r="1648" spans="1:7" x14ac:dyDescent="0.2">
      <c r="A1648" t="s">
        <v>0</v>
      </c>
      <c r="B1648">
        <v>0.56892595199999996</v>
      </c>
      <c r="C1648">
        <v>1</v>
      </c>
      <c r="D1648" t="str">
        <f t="shared" si="53"/>
        <v/>
      </c>
      <c r="E1648">
        <f t="shared" si="53"/>
        <v>1</v>
      </c>
      <c r="F1648" t="str">
        <f t="shared" si="54"/>
        <v/>
      </c>
      <c r="G1648">
        <f t="shared" si="54"/>
        <v>0.56892595199999996</v>
      </c>
    </row>
    <row r="1649" spans="1:7" x14ac:dyDescent="0.2">
      <c r="A1649" t="s">
        <v>0</v>
      </c>
      <c r="B1649">
        <v>0.30879861619999999</v>
      </c>
      <c r="C1649">
        <v>1</v>
      </c>
      <c r="D1649" t="str">
        <f t="shared" si="53"/>
        <v/>
      </c>
      <c r="E1649">
        <f t="shared" si="53"/>
        <v>1</v>
      </c>
      <c r="F1649" t="str">
        <f t="shared" si="54"/>
        <v/>
      </c>
      <c r="G1649">
        <f t="shared" si="54"/>
        <v>0.30879861619999999</v>
      </c>
    </row>
    <row r="1650" spans="1:7" x14ac:dyDescent="0.2">
      <c r="A1650" t="s">
        <v>2</v>
      </c>
      <c r="B1650">
        <v>0.82864516519999998</v>
      </c>
      <c r="C1650">
        <v>1</v>
      </c>
      <c r="D1650">
        <f t="shared" si="53"/>
        <v>1</v>
      </c>
      <c r="E1650" t="str">
        <f t="shared" si="53"/>
        <v/>
      </c>
      <c r="F1650">
        <f t="shared" si="54"/>
        <v>0.82864516519999998</v>
      </c>
      <c r="G1650" t="str">
        <f t="shared" si="54"/>
        <v/>
      </c>
    </row>
    <row r="1651" spans="1:7" x14ac:dyDescent="0.2">
      <c r="A1651" t="s">
        <v>0</v>
      </c>
      <c r="B1651">
        <v>0.65296470610000001</v>
      </c>
      <c r="C1651">
        <v>0</v>
      </c>
      <c r="D1651" t="str">
        <f t="shared" si="53"/>
        <v/>
      </c>
      <c r="E1651">
        <f t="shared" si="53"/>
        <v>0</v>
      </c>
      <c r="F1651" t="str">
        <f t="shared" si="54"/>
        <v/>
      </c>
      <c r="G1651">
        <f t="shared" si="54"/>
        <v>0.65296470610000001</v>
      </c>
    </row>
    <row r="1652" spans="1:7" x14ac:dyDescent="0.2">
      <c r="A1652" t="s">
        <v>2</v>
      </c>
      <c r="B1652">
        <v>0.57503463929999998</v>
      </c>
      <c r="C1652">
        <v>0</v>
      </c>
      <c r="D1652">
        <f t="shared" si="53"/>
        <v>0</v>
      </c>
      <c r="E1652" t="str">
        <f t="shared" si="53"/>
        <v/>
      </c>
      <c r="F1652">
        <f t="shared" si="54"/>
        <v>0.57503463929999998</v>
      </c>
      <c r="G1652" t="str">
        <f t="shared" si="54"/>
        <v/>
      </c>
    </row>
    <row r="1653" spans="1:7" x14ac:dyDescent="0.2">
      <c r="A1653" t="s">
        <v>2</v>
      </c>
      <c r="B1653">
        <v>0.68806188700000004</v>
      </c>
      <c r="C1653">
        <v>1</v>
      </c>
      <c r="D1653">
        <f t="shared" si="53"/>
        <v>1</v>
      </c>
      <c r="E1653" t="str">
        <f t="shared" si="53"/>
        <v/>
      </c>
      <c r="F1653">
        <f t="shared" si="54"/>
        <v>0.68806188700000004</v>
      </c>
      <c r="G1653" t="str">
        <f t="shared" si="54"/>
        <v/>
      </c>
    </row>
    <row r="1654" spans="1:7" x14ac:dyDescent="0.2">
      <c r="A1654" t="s">
        <v>0</v>
      </c>
      <c r="B1654">
        <v>0.5647686502</v>
      </c>
      <c r="C1654">
        <v>1</v>
      </c>
      <c r="D1654" t="str">
        <f t="shared" si="53"/>
        <v/>
      </c>
      <c r="E1654">
        <f t="shared" si="53"/>
        <v>1</v>
      </c>
      <c r="F1654" t="str">
        <f t="shared" si="54"/>
        <v/>
      </c>
      <c r="G1654">
        <f t="shared" si="54"/>
        <v>0.5647686502</v>
      </c>
    </row>
    <row r="1655" spans="1:7" x14ac:dyDescent="0.2">
      <c r="A1655" t="s">
        <v>2</v>
      </c>
      <c r="B1655">
        <v>0.50774859289999996</v>
      </c>
      <c r="C1655">
        <v>1</v>
      </c>
      <c r="D1655">
        <f t="shared" si="53"/>
        <v>1</v>
      </c>
      <c r="E1655" t="str">
        <f t="shared" si="53"/>
        <v/>
      </c>
      <c r="F1655">
        <f t="shared" si="54"/>
        <v>0.50774859289999996</v>
      </c>
      <c r="G1655" t="str">
        <f t="shared" si="54"/>
        <v/>
      </c>
    </row>
    <row r="1656" spans="1:7" x14ac:dyDescent="0.2">
      <c r="A1656" t="s">
        <v>2</v>
      </c>
      <c r="B1656">
        <v>0.35063805460000003</v>
      </c>
      <c r="C1656">
        <v>1</v>
      </c>
      <c r="D1656">
        <f t="shared" si="53"/>
        <v>1</v>
      </c>
      <c r="E1656" t="str">
        <f t="shared" si="53"/>
        <v/>
      </c>
      <c r="F1656">
        <f t="shared" si="54"/>
        <v>0.35063805460000003</v>
      </c>
      <c r="G1656" t="str">
        <f t="shared" si="54"/>
        <v/>
      </c>
    </row>
    <row r="1657" spans="1:7" x14ac:dyDescent="0.2">
      <c r="A1657" t="s">
        <v>0</v>
      </c>
      <c r="B1657">
        <v>0.20712923059999999</v>
      </c>
      <c r="C1657">
        <v>0</v>
      </c>
      <c r="D1657" t="str">
        <f t="shared" si="53"/>
        <v/>
      </c>
      <c r="E1657">
        <f t="shared" si="53"/>
        <v>0</v>
      </c>
      <c r="F1657" t="str">
        <f t="shared" si="54"/>
        <v/>
      </c>
      <c r="G1657">
        <f t="shared" si="54"/>
        <v>0.20712923059999999</v>
      </c>
    </row>
    <row r="1658" spans="1:7" x14ac:dyDescent="0.2">
      <c r="A1658" t="s">
        <v>0</v>
      </c>
      <c r="B1658">
        <v>9.0329870399999998E-2</v>
      </c>
      <c r="C1658">
        <v>0</v>
      </c>
      <c r="D1658" t="str">
        <f t="shared" si="53"/>
        <v/>
      </c>
      <c r="E1658">
        <f t="shared" si="53"/>
        <v>0</v>
      </c>
      <c r="F1658" t="str">
        <f t="shared" si="54"/>
        <v/>
      </c>
      <c r="G1658">
        <f t="shared" si="54"/>
        <v>9.0329870399999998E-2</v>
      </c>
    </row>
    <row r="1659" spans="1:7" x14ac:dyDescent="0.2">
      <c r="A1659" t="s">
        <v>2</v>
      </c>
      <c r="B1659">
        <v>0.26540982730000001</v>
      </c>
      <c r="C1659">
        <v>0</v>
      </c>
      <c r="D1659">
        <f t="shared" si="53"/>
        <v>0</v>
      </c>
      <c r="E1659" t="str">
        <f t="shared" si="53"/>
        <v/>
      </c>
      <c r="F1659">
        <f t="shared" si="54"/>
        <v>0.26540982730000001</v>
      </c>
      <c r="G1659" t="str">
        <f t="shared" si="54"/>
        <v/>
      </c>
    </row>
    <row r="1660" spans="1:7" x14ac:dyDescent="0.2">
      <c r="A1660" t="s">
        <v>2</v>
      </c>
      <c r="B1660">
        <v>0.39308760230000001</v>
      </c>
      <c r="C1660">
        <v>1</v>
      </c>
      <c r="D1660">
        <f t="shared" si="53"/>
        <v>1</v>
      </c>
      <c r="E1660" t="str">
        <f t="shared" si="53"/>
        <v/>
      </c>
      <c r="F1660">
        <f t="shared" si="54"/>
        <v>0.39308760230000001</v>
      </c>
      <c r="G1660" t="str">
        <f t="shared" si="54"/>
        <v/>
      </c>
    </row>
    <row r="1661" spans="1:7" x14ac:dyDescent="0.2">
      <c r="A1661" t="s">
        <v>2</v>
      </c>
      <c r="B1661">
        <v>0.25174765980000002</v>
      </c>
      <c r="C1661">
        <v>1</v>
      </c>
      <c r="D1661">
        <f t="shared" si="53"/>
        <v>1</v>
      </c>
      <c r="E1661" t="str">
        <f t="shared" si="53"/>
        <v/>
      </c>
      <c r="F1661">
        <f t="shared" si="54"/>
        <v>0.25174765980000002</v>
      </c>
      <c r="G1661" t="str">
        <f t="shared" si="54"/>
        <v/>
      </c>
    </row>
    <row r="1662" spans="1:7" x14ac:dyDescent="0.2">
      <c r="A1662" t="s">
        <v>2</v>
      </c>
      <c r="B1662">
        <v>0.33724790090000001</v>
      </c>
      <c r="C1662">
        <v>0</v>
      </c>
      <c r="D1662">
        <f t="shared" si="53"/>
        <v>0</v>
      </c>
      <c r="E1662" t="str">
        <f t="shared" si="53"/>
        <v/>
      </c>
      <c r="F1662">
        <f t="shared" si="54"/>
        <v>0.33724790090000001</v>
      </c>
      <c r="G1662" t="str">
        <f t="shared" si="54"/>
        <v/>
      </c>
    </row>
    <row r="1663" spans="1:7" x14ac:dyDescent="0.2">
      <c r="A1663" t="s">
        <v>2</v>
      </c>
      <c r="B1663">
        <v>0.2011885783</v>
      </c>
      <c r="C1663">
        <v>0</v>
      </c>
      <c r="D1663">
        <f t="shared" si="53"/>
        <v>0</v>
      </c>
      <c r="E1663" t="str">
        <f t="shared" si="53"/>
        <v/>
      </c>
      <c r="F1663">
        <f t="shared" si="54"/>
        <v>0.2011885783</v>
      </c>
      <c r="G1663" t="str">
        <f t="shared" si="54"/>
        <v/>
      </c>
    </row>
    <row r="1664" spans="1:7" x14ac:dyDescent="0.2">
      <c r="A1664" t="s">
        <v>0</v>
      </c>
      <c r="B1664">
        <v>0.71396268969999999</v>
      </c>
      <c r="C1664">
        <v>1</v>
      </c>
      <c r="D1664" t="str">
        <f t="shared" si="53"/>
        <v/>
      </c>
      <c r="E1664">
        <f t="shared" si="53"/>
        <v>1</v>
      </c>
      <c r="F1664" t="str">
        <f t="shared" si="54"/>
        <v/>
      </c>
      <c r="G1664">
        <f t="shared" si="54"/>
        <v>0.71396268969999999</v>
      </c>
    </row>
    <row r="1665" spans="1:7" x14ac:dyDescent="0.2">
      <c r="A1665" t="s">
        <v>0</v>
      </c>
      <c r="B1665">
        <v>0.58718691739999995</v>
      </c>
      <c r="C1665">
        <v>1</v>
      </c>
      <c r="D1665" t="str">
        <f t="shared" si="53"/>
        <v/>
      </c>
      <c r="E1665">
        <f t="shared" si="53"/>
        <v>1</v>
      </c>
      <c r="F1665" t="str">
        <f t="shared" si="54"/>
        <v/>
      </c>
      <c r="G1665">
        <f t="shared" si="54"/>
        <v>0.58718691739999995</v>
      </c>
    </row>
    <row r="1666" spans="1:7" x14ac:dyDescent="0.2">
      <c r="A1666" t="s">
        <v>2</v>
      </c>
      <c r="B1666">
        <v>0.47393507219999997</v>
      </c>
      <c r="C1666">
        <v>0</v>
      </c>
      <c r="D1666">
        <f t="shared" si="53"/>
        <v>0</v>
      </c>
      <c r="E1666" t="str">
        <f t="shared" si="53"/>
        <v/>
      </c>
      <c r="F1666">
        <f t="shared" si="54"/>
        <v>0.47393507219999997</v>
      </c>
      <c r="G1666" t="str">
        <f t="shared" si="54"/>
        <v/>
      </c>
    </row>
    <row r="1667" spans="1:7" x14ac:dyDescent="0.2">
      <c r="A1667" t="s">
        <v>2</v>
      </c>
      <c r="B1667">
        <v>0.25234200880000002</v>
      </c>
      <c r="C1667">
        <v>1</v>
      </c>
      <c r="D1667">
        <f t="shared" si="53"/>
        <v>1</v>
      </c>
      <c r="E1667" t="str">
        <f t="shared" si="53"/>
        <v/>
      </c>
      <c r="F1667">
        <f t="shared" si="54"/>
        <v>0.25234200880000002</v>
      </c>
      <c r="G1667" t="str">
        <f t="shared" si="54"/>
        <v/>
      </c>
    </row>
    <row r="1668" spans="1:7" x14ac:dyDescent="0.2">
      <c r="A1668" t="s">
        <v>2</v>
      </c>
      <c r="B1668">
        <v>0.3068564204</v>
      </c>
      <c r="C1668">
        <v>1</v>
      </c>
      <c r="D1668">
        <f t="shared" si="53"/>
        <v>1</v>
      </c>
      <c r="E1668" t="str">
        <f t="shared" si="53"/>
        <v/>
      </c>
      <c r="F1668">
        <f t="shared" si="54"/>
        <v>0.3068564204</v>
      </c>
      <c r="G1668" t="str">
        <f t="shared" si="54"/>
        <v/>
      </c>
    </row>
    <row r="1669" spans="1:7" x14ac:dyDescent="0.2">
      <c r="A1669" t="s">
        <v>2</v>
      </c>
      <c r="B1669">
        <v>0.45408521509999999</v>
      </c>
      <c r="C1669">
        <v>0</v>
      </c>
      <c r="D1669">
        <f t="shared" si="53"/>
        <v>0</v>
      </c>
      <c r="E1669" t="str">
        <f t="shared" si="53"/>
        <v/>
      </c>
      <c r="F1669">
        <f t="shared" si="54"/>
        <v>0.45408521509999999</v>
      </c>
      <c r="G1669" t="str">
        <f t="shared" si="54"/>
        <v/>
      </c>
    </row>
    <row r="1670" spans="1:7" x14ac:dyDescent="0.2">
      <c r="A1670" t="s">
        <v>2</v>
      </c>
      <c r="B1670">
        <v>0.52676780869999995</v>
      </c>
      <c r="C1670">
        <v>0</v>
      </c>
      <c r="D1670">
        <f t="shared" si="53"/>
        <v>0</v>
      </c>
      <c r="E1670" t="str">
        <f t="shared" si="53"/>
        <v/>
      </c>
      <c r="F1670">
        <f t="shared" si="54"/>
        <v>0.52676780869999995</v>
      </c>
      <c r="G1670" t="str">
        <f t="shared" si="54"/>
        <v/>
      </c>
    </row>
    <row r="1671" spans="1:7" x14ac:dyDescent="0.2">
      <c r="A1671" t="s">
        <v>2</v>
      </c>
      <c r="B1671">
        <v>0.51064725229999997</v>
      </c>
      <c r="C1671">
        <v>0</v>
      </c>
      <c r="D1671">
        <f t="shared" si="53"/>
        <v>0</v>
      </c>
      <c r="E1671" t="str">
        <f t="shared" si="53"/>
        <v/>
      </c>
      <c r="F1671">
        <f t="shared" si="54"/>
        <v>0.51064725229999997</v>
      </c>
      <c r="G1671" t="str">
        <f t="shared" si="54"/>
        <v/>
      </c>
    </row>
    <row r="1672" spans="1:7" x14ac:dyDescent="0.2">
      <c r="A1672" t="s">
        <v>2</v>
      </c>
      <c r="B1672">
        <v>0.81197238589999998</v>
      </c>
      <c r="C1672">
        <v>1</v>
      </c>
      <c r="D1672">
        <f t="shared" si="53"/>
        <v>1</v>
      </c>
      <c r="E1672" t="str">
        <f t="shared" si="53"/>
        <v/>
      </c>
      <c r="F1672">
        <f t="shared" si="54"/>
        <v>0.81197238589999998</v>
      </c>
      <c r="G1672" t="str">
        <f t="shared" si="54"/>
        <v/>
      </c>
    </row>
    <row r="1673" spans="1:7" x14ac:dyDescent="0.2">
      <c r="A1673" t="s">
        <v>0</v>
      </c>
      <c r="B1673">
        <v>0.35844408010000001</v>
      </c>
      <c r="C1673">
        <v>0</v>
      </c>
      <c r="D1673" t="str">
        <f t="shared" si="53"/>
        <v/>
      </c>
      <c r="E1673">
        <f t="shared" si="53"/>
        <v>0</v>
      </c>
      <c r="F1673" t="str">
        <f t="shared" si="54"/>
        <v/>
      </c>
      <c r="G1673">
        <f t="shared" si="54"/>
        <v>0.35844408010000001</v>
      </c>
    </row>
    <row r="1674" spans="1:7" x14ac:dyDescent="0.2">
      <c r="A1674" t="s">
        <v>2</v>
      </c>
      <c r="B1674">
        <v>0.39618618830000002</v>
      </c>
      <c r="C1674">
        <v>1</v>
      </c>
      <c r="D1674">
        <f t="shared" si="53"/>
        <v>1</v>
      </c>
      <c r="E1674" t="str">
        <f t="shared" si="53"/>
        <v/>
      </c>
      <c r="F1674">
        <f t="shared" si="54"/>
        <v>0.39618618830000002</v>
      </c>
      <c r="G1674" t="str">
        <f t="shared" si="54"/>
        <v/>
      </c>
    </row>
    <row r="1675" spans="1:7" x14ac:dyDescent="0.2">
      <c r="A1675" t="s">
        <v>0</v>
      </c>
      <c r="B1675">
        <v>0.44205055319999997</v>
      </c>
      <c r="C1675">
        <v>1</v>
      </c>
      <c r="D1675" t="str">
        <f t="shared" si="53"/>
        <v/>
      </c>
      <c r="E1675">
        <f t="shared" si="53"/>
        <v>1</v>
      </c>
      <c r="F1675" t="str">
        <f t="shared" si="54"/>
        <v/>
      </c>
      <c r="G1675">
        <f t="shared" si="54"/>
        <v>0.44205055319999997</v>
      </c>
    </row>
    <row r="1676" spans="1:7" x14ac:dyDescent="0.2">
      <c r="A1676" t="s">
        <v>2</v>
      </c>
      <c r="B1676">
        <v>0.69991790320000002</v>
      </c>
      <c r="C1676">
        <v>1</v>
      </c>
      <c r="D1676">
        <f t="shared" si="53"/>
        <v>1</v>
      </c>
      <c r="E1676" t="str">
        <f t="shared" si="53"/>
        <v/>
      </c>
      <c r="F1676">
        <f t="shared" si="54"/>
        <v>0.69991790320000002</v>
      </c>
      <c r="G1676" t="str">
        <f t="shared" si="54"/>
        <v/>
      </c>
    </row>
    <row r="1677" spans="1:7" x14ac:dyDescent="0.2">
      <c r="A1677" t="s">
        <v>0</v>
      </c>
      <c r="B1677">
        <v>0.1240199615</v>
      </c>
      <c r="C1677">
        <v>0</v>
      </c>
      <c r="D1677" t="str">
        <f t="shared" si="53"/>
        <v/>
      </c>
      <c r="E1677">
        <f t="shared" si="53"/>
        <v>0</v>
      </c>
      <c r="F1677" t="str">
        <f t="shared" si="54"/>
        <v/>
      </c>
      <c r="G1677">
        <f t="shared" si="54"/>
        <v>0.1240199615</v>
      </c>
    </row>
    <row r="1678" spans="1:7" x14ac:dyDescent="0.2">
      <c r="A1678" t="s">
        <v>2</v>
      </c>
      <c r="B1678">
        <v>0.26208809329999999</v>
      </c>
      <c r="C1678">
        <v>1</v>
      </c>
      <c r="D1678">
        <f t="shared" si="53"/>
        <v>1</v>
      </c>
      <c r="E1678" t="str">
        <f t="shared" si="53"/>
        <v/>
      </c>
      <c r="F1678">
        <f t="shared" si="54"/>
        <v>0.26208809329999999</v>
      </c>
      <c r="G1678" t="str">
        <f t="shared" si="54"/>
        <v/>
      </c>
    </row>
    <row r="1679" spans="1:7" x14ac:dyDescent="0.2">
      <c r="A1679" t="s">
        <v>2</v>
      </c>
      <c r="B1679">
        <v>0.31349007820000002</v>
      </c>
      <c r="C1679">
        <v>1</v>
      </c>
      <c r="D1679">
        <f t="shared" si="53"/>
        <v>1</v>
      </c>
      <c r="E1679" t="str">
        <f t="shared" si="53"/>
        <v/>
      </c>
      <c r="F1679">
        <f t="shared" si="54"/>
        <v>0.31349007820000002</v>
      </c>
      <c r="G1679" t="str">
        <f t="shared" si="54"/>
        <v/>
      </c>
    </row>
    <row r="1680" spans="1:7" x14ac:dyDescent="0.2">
      <c r="A1680" t="s">
        <v>2</v>
      </c>
      <c r="B1680">
        <v>0.41085290969999999</v>
      </c>
      <c r="C1680">
        <v>1</v>
      </c>
      <c r="D1680">
        <f t="shared" si="53"/>
        <v>1</v>
      </c>
      <c r="E1680" t="str">
        <f t="shared" si="53"/>
        <v/>
      </c>
      <c r="F1680">
        <f t="shared" si="54"/>
        <v>0.41085290969999999</v>
      </c>
      <c r="G1680" t="str">
        <f t="shared" si="54"/>
        <v/>
      </c>
    </row>
    <row r="1681" spans="1:7" x14ac:dyDescent="0.2">
      <c r="A1681" t="s">
        <v>2</v>
      </c>
      <c r="B1681">
        <v>0.58649227559999995</v>
      </c>
      <c r="C1681">
        <v>0</v>
      </c>
      <c r="D1681">
        <f t="shared" si="53"/>
        <v>0</v>
      </c>
      <c r="E1681" t="str">
        <f t="shared" si="53"/>
        <v/>
      </c>
      <c r="F1681">
        <f t="shared" si="54"/>
        <v>0.58649227559999995</v>
      </c>
      <c r="G1681" t="str">
        <f t="shared" si="54"/>
        <v/>
      </c>
    </row>
    <row r="1682" spans="1:7" x14ac:dyDescent="0.2">
      <c r="A1682" t="s">
        <v>2</v>
      </c>
      <c r="B1682">
        <v>0.42818879129999998</v>
      </c>
      <c r="C1682">
        <v>1</v>
      </c>
      <c r="D1682">
        <f t="shared" si="53"/>
        <v>1</v>
      </c>
      <c r="E1682" t="str">
        <f t="shared" si="53"/>
        <v/>
      </c>
      <c r="F1682">
        <f t="shared" si="54"/>
        <v>0.42818879129999998</v>
      </c>
      <c r="G1682" t="str">
        <f t="shared" si="54"/>
        <v/>
      </c>
    </row>
    <row r="1683" spans="1:7" x14ac:dyDescent="0.2">
      <c r="A1683" t="s">
        <v>2</v>
      </c>
      <c r="B1683">
        <v>0.52727757249999996</v>
      </c>
      <c r="C1683">
        <v>1</v>
      </c>
      <c r="D1683">
        <f t="shared" si="53"/>
        <v>1</v>
      </c>
      <c r="E1683" t="str">
        <f t="shared" si="53"/>
        <v/>
      </c>
      <c r="F1683">
        <f t="shared" si="54"/>
        <v>0.52727757249999996</v>
      </c>
      <c r="G1683" t="str">
        <f t="shared" si="54"/>
        <v/>
      </c>
    </row>
    <row r="1684" spans="1:7" x14ac:dyDescent="0.2">
      <c r="A1684" t="s">
        <v>0</v>
      </c>
      <c r="B1684">
        <v>0.63175922039999999</v>
      </c>
      <c r="C1684">
        <v>0</v>
      </c>
      <c r="D1684" t="str">
        <f t="shared" si="53"/>
        <v/>
      </c>
      <c r="E1684">
        <f t="shared" si="53"/>
        <v>0</v>
      </c>
      <c r="F1684" t="str">
        <f t="shared" si="54"/>
        <v/>
      </c>
      <c r="G1684">
        <f t="shared" si="54"/>
        <v>0.63175922039999999</v>
      </c>
    </row>
    <row r="1685" spans="1:7" x14ac:dyDescent="0.2">
      <c r="A1685" t="s">
        <v>2</v>
      </c>
      <c r="B1685">
        <v>0.31349007820000002</v>
      </c>
      <c r="C1685">
        <v>1</v>
      </c>
      <c r="D1685">
        <f t="shared" si="53"/>
        <v>1</v>
      </c>
      <c r="E1685" t="str">
        <f t="shared" si="53"/>
        <v/>
      </c>
      <c r="F1685">
        <f t="shared" si="54"/>
        <v>0.31349007820000002</v>
      </c>
      <c r="G1685" t="str">
        <f t="shared" si="54"/>
        <v/>
      </c>
    </row>
    <row r="1686" spans="1:7" x14ac:dyDescent="0.2">
      <c r="A1686" t="s">
        <v>2</v>
      </c>
      <c r="B1686">
        <v>0.77014110309999995</v>
      </c>
      <c r="C1686">
        <v>1</v>
      </c>
      <c r="D1686">
        <f t="shared" si="53"/>
        <v>1</v>
      </c>
      <c r="E1686" t="str">
        <f t="shared" si="53"/>
        <v/>
      </c>
      <c r="F1686">
        <f t="shared" si="54"/>
        <v>0.77014110309999995</v>
      </c>
      <c r="G1686" t="str">
        <f t="shared" si="54"/>
        <v/>
      </c>
    </row>
    <row r="1687" spans="1:7" x14ac:dyDescent="0.2">
      <c r="A1687" t="s">
        <v>2</v>
      </c>
      <c r="B1687">
        <v>0.31576325360000002</v>
      </c>
      <c r="C1687">
        <v>0</v>
      </c>
      <c r="D1687">
        <f t="shared" si="53"/>
        <v>0</v>
      </c>
      <c r="E1687" t="str">
        <f t="shared" si="53"/>
        <v/>
      </c>
      <c r="F1687">
        <f t="shared" si="54"/>
        <v>0.31576325360000002</v>
      </c>
      <c r="G1687" t="str">
        <f t="shared" si="54"/>
        <v/>
      </c>
    </row>
    <row r="1688" spans="1:7" x14ac:dyDescent="0.2">
      <c r="A1688" t="s">
        <v>0</v>
      </c>
      <c r="B1688">
        <v>0.1366260353</v>
      </c>
      <c r="C1688">
        <v>0</v>
      </c>
      <c r="D1688" t="str">
        <f t="shared" si="53"/>
        <v/>
      </c>
      <c r="E1688">
        <f t="shared" si="53"/>
        <v>0</v>
      </c>
      <c r="F1688" t="str">
        <f t="shared" si="54"/>
        <v/>
      </c>
      <c r="G1688">
        <f t="shared" si="54"/>
        <v>0.1366260353</v>
      </c>
    </row>
    <row r="1689" spans="1:7" x14ac:dyDescent="0.2">
      <c r="A1689" t="s">
        <v>2</v>
      </c>
      <c r="B1689">
        <v>0.13824236140000001</v>
      </c>
      <c r="C1689">
        <v>0</v>
      </c>
      <c r="D1689">
        <f t="shared" si="53"/>
        <v>0</v>
      </c>
      <c r="E1689" t="str">
        <f t="shared" si="53"/>
        <v/>
      </c>
      <c r="F1689">
        <f t="shared" si="54"/>
        <v>0.13824236140000001</v>
      </c>
      <c r="G1689" t="str">
        <f t="shared" si="54"/>
        <v/>
      </c>
    </row>
    <row r="1690" spans="1:7" x14ac:dyDescent="0.2">
      <c r="A1690" t="s">
        <v>2</v>
      </c>
      <c r="B1690">
        <v>0.59764079290000005</v>
      </c>
      <c r="C1690">
        <v>1</v>
      </c>
      <c r="D1690">
        <f t="shared" si="53"/>
        <v>1</v>
      </c>
      <c r="E1690" t="str">
        <f t="shared" si="53"/>
        <v/>
      </c>
      <c r="F1690">
        <f t="shared" si="54"/>
        <v>0.59764079290000005</v>
      </c>
      <c r="G1690" t="str">
        <f t="shared" si="54"/>
        <v/>
      </c>
    </row>
    <row r="1691" spans="1:7" x14ac:dyDescent="0.2">
      <c r="A1691" t="s">
        <v>2</v>
      </c>
      <c r="B1691">
        <v>0.22053968030000001</v>
      </c>
      <c r="C1691">
        <v>0</v>
      </c>
      <c r="D1691">
        <f t="shared" si="53"/>
        <v>0</v>
      </c>
      <c r="E1691" t="str">
        <f t="shared" si="53"/>
        <v/>
      </c>
      <c r="F1691">
        <f t="shared" si="54"/>
        <v>0.22053968030000001</v>
      </c>
      <c r="G1691" t="str">
        <f t="shared" si="54"/>
        <v/>
      </c>
    </row>
    <row r="1692" spans="1:7" x14ac:dyDescent="0.2">
      <c r="A1692" t="s">
        <v>2</v>
      </c>
      <c r="B1692">
        <v>0.82031423749999999</v>
      </c>
      <c r="C1692">
        <v>0</v>
      </c>
      <c r="D1692">
        <f t="shared" si="53"/>
        <v>0</v>
      </c>
      <c r="E1692" t="str">
        <f t="shared" si="53"/>
        <v/>
      </c>
      <c r="F1692">
        <f t="shared" si="54"/>
        <v>0.82031423749999999</v>
      </c>
      <c r="G1692" t="str">
        <f t="shared" si="54"/>
        <v/>
      </c>
    </row>
    <row r="1693" spans="1:7" x14ac:dyDescent="0.2">
      <c r="A1693" t="s">
        <v>2</v>
      </c>
      <c r="B1693">
        <v>0.1001738185</v>
      </c>
      <c r="C1693">
        <v>0</v>
      </c>
      <c r="D1693">
        <f t="shared" si="53"/>
        <v>0</v>
      </c>
      <c r="E1693" t="str">
        <f t="shared" si="53"/>
        <v/>
      </c>
      <c r="F1693">
        <f t="shared" si="54"/>
        <v>0.1001738185</v>
      </c>
      <c r="G1693" t="str">
        <f t="shared" si="54"/>
        <v/>
      </c>
    </row>
    <row r="1694" spans="1:7" x14ac:dyDescent="0.2">
      <c r="A1694" t="s">
        <v>0</v>
      </c>
      <c r="B1694">
        <v>0.47617810669999999</v>
      </c>
      <c r="C1694">
        <v>0</v>
      </c>
      <c r="D1694" t="str">
        <f t="shared" si="53"/>
        <v/>
      </c>
      <c r="E1694">
        <f t="shared" si="53"/>
        <v>0</v>
      </c>
      <c r="F1694" t="str">
        <f t="shared" si="54"/>
        <v/>
      </c>
      <c r="G1694">
        <f t="shared" si="54"/>
        <v>0.47617810669999999</v>
      </c>
    </row>
    <row r="1695" spans="1:7" x14ac:dyDescent="0.2">
      <c r="A1695" t="s">
        <v>2</v>
      </c>
      <c r="B1695">
        <v>0.49182053710000001</v>
      </c>
      <c r="C1695">
        <v>1</v>
      </c>
      <c r="D1695">
        <f t="shared" si="53"/>
        <v>1</v>
      </c>
      <c r="E1695" t="str">
        <f t="shared" si="53"/>
        <v/>
      </c>
      <c r="F1695">
        <f t="shared" si="54"/>
        <v>0.49182053710000001</v>
      </c>
      <c r="G1695" t="str">
        <f t="shared" si="54"/>
        <v/>
      </c>
    </row>
    <row r="1696" spans="1:7" x14ac:dyDescent="0.2">
      <c r="A1696" t="s">
        <v>0</v>
      </c>
      <c r="B1696">
        <v>0.87721272620000001</v>
      </c>
      <c r="C1696">
        <v>1</v>
      </c>
      <c r="D1696" t="str">
        <f t="shared" si="53"/>
        <v/>
      </c>
      <c r="E1696">
        <f t="shared" si="53"/>
        <v>1</v>
      </c>
      <c r="F1696" t="str">
        <f t="shared" si="54"/>
        <v/>
      </c>
      <c r="G1696">
        <f t="shared" si="54"/>
        <v>0.87721272620000001</v>
      </c>
    </row>
    <row r="1697" spans="1:7" x14ac:dyDescent="0.2">
      <c r="A1697" t="s">
        <v>2</v>
      </c>
      <c r="B1697">
        <v>0.75634608380000001</v>
      </c>
      <c r="C1697">
        <v>0</v>
      </c>
      <c r="D1697">
        <f t="shared" si="53"/>
        <v>0</v>
      </c>
      <c r="E1697" t="str">
        <f t="shared" si="53"/>
        <v/>
      </c>
      <c r="F1697">
        <f t="shared" si="54"/>
        <v>0.75634608380000001</v>
      </c>
      <c r="G1697" t="str">
        <f t="shared" si="54"/>
        <v/>
      </c>
    </row>
    <row r="1698" spans="1:7" x14ac:dyDescent="0.2">
      <c r="A1698" t="s">
        <v>2</v>
      </c>
      <c r="B1698">
        <v>0.70039829220000005</v>
      </c>
      <c r="C1698">
        <v>0</v>
      </c>
      <c r="D1698">
        <f t="shared" si="53"/>
        <v>0</v>
      </c>
      <c r="E1698" t="str">
        <f t="shared" si="53"/>
        <v/>
      </c>
      <c r="F1698">
        <f t="shared" si="54"/>
        <v>0.70039829220000005</v>
      </c>
      <c r="G1698" t="str">
        <f t="shared" si="54"/>
        <v/>
      </c>
    </row>
    <row r="1699" spans="1:7" x14ac:dyDescent="0.2">
      <c r="A1699" t="s">
        <v>0</v>
      </c>
      <c r="B1699">
        <v>0.58606222620000004</v>
      </c>
      <c r="C1699">
        <v>0</v>
      </c>
      <c r="D1699" t="str">
        <f t="shared" si="53"/>
        <v/>
      </c>
      <c r="E1699">
        <f t="shared" si="53"/>
        <v>0</v>
      </c>
      <c r="F1699" t="str">
        <f t="shared" si="54"/>
        <v/>
      </c>
      <c r="G1699">
        <f t="shared" si="54"/>
        <v>0.58606222620000004</v>
      </c>
    </row>
    <row r="1700" spans="1:7" x14ac:dyDescent="0.2">
      <c r="A1700" t="s">
        <v>2</v>
      </c>
      <c r="B1700">
        <v>0.84474184559999999</v>
      </c>
      <c r="C1700">
        <v>1</v>
      </c>
      <c r="D1700">
        <f t="shared" si="53"/>
        <v>1</v>
      </c>
      <c r="E1700" t="str">
        <f t="shared" si="53"/>
        <v/>
      </c>
      <c r="F1700">
        <f t="shared" si="54"/>
        <v>0.84474184559999999</v>
      </c>
      <c r="G1700" t="str">
        <f t="shared" si="54"/>
        <v/>
      </c>
    </row>
    <row r="1701" spans="1:7" x14ac:dyDescent="0.2">
      <c r="A1701" t="s">
        <v>2</v>
      </c>
      <c r="B1701">
        <v>0.57945307729999995</v>
      </c>
      <c r="C1701">
        <v>1</v>
      </c>
      <c r="D1701">
        <f t="shared" si="53"/>
        <v>1</v>
      </c>
      <c r="E1701" t="str">
        <f t="shared" si="53"/>
        <v/>
      </c>
      <c r="F1701">
        <f t="shared" si="54"/>
        <v>0.57945307729999995</v>
      </c>
      <c r="G1701" t="str">
        <f t="shared" si="54"/>
        <v/>
      </c>
    </row>
    <row r="1702" spans="1:7" x14ac:dyDescent="0.2">
      <c r="A1702" t="s">
        <v>2</v>
      </c>
      <c r="B1702">
        <v>0.1486207168</v>
      </c>
      <c r="C1702">
        <v>0</v>
      </c>
      <c r="D1702">
        <f t="shared" si="53"/>
        <v>0</v>
      </c>
      <c r="E1702" t="str">
        <f t="shared" si="53"/>
        <v/>
      </c>
      <c r="F1702">
        <f t="shared" si="54"/>
        <v>0.1486207168</v>
      </c>
      <c r="G1702" t="str">
        <f t="shared" si="54"/>
        <v/>
      </c>
    </row>
    <row r="1703" spans="1:7" x14ac:dyDescent="0.2">
      <c r="A1703" t="s">
        <v>2</v>
      </c>
      <c r="B1703">
        <v>0.6693953976</v>
      </c>
      <c r="C1703">
        <v>1</v>
      </c>
      <c r="D1703">
        <f t="shared" si="53"/>
        <v>1</v>
      </c>
      <c r="E1703" t="str">
        <f t="shared" si="53"/>
        <v/>
      </c>
      <c r="F1703">
        <f t="shared" si="54"/>
        <v>0.6693953976</v>
      </c>
      <c r="G1703" t="str">
        <f t="shared" si="54"/>
        <v/>
      </c>
    </row>
    <row r="1704" spans="1:7" x14ac:dyDescent="0.2">
      <c r="A1704" t="s">
        <v>2</v>
      </c>
      <c r="B1704">
        <v>0.87675975299999998</v>
      </c>
      <c r="C1704">
        <v>1</v>
      </c>
      <c r="D1704">
        <f t="shared" si="53"/>
        <v>1</v>
      </c>
      <c r="E1704" t="str">
        <f t="shared" si="53"/>
        <v/>
      </c>
      <c r="F1704">
        <f t="shared" si="54"/>
        <v>0.87675975299999998</v>
      </c>
      <c r="G1704" t="str">
        <f t="shared" si="54"/>
        <v/>
      </c>
    </row>
    <row r="1705" spans="1:7" x14ac:dyDescent="0.2">
      <c r="A1705" t="s">
        <v>0</v>
      </c>
      <c r="B1705">
        <v>7.9986441000000005E-2</v>
      </c>
      <c r="C1705">
        <v>0</v>
      </c>
      <c r="D1705" t="str">
        <f t="shared" si="53"/>
        <v/>
      </c>
      <c r="E1705">
        <f t="shared" si="53"/>
        <v>0</v>
      </c>
      <c r="F1705" t="str">
        <f t="shared" si="54"/>
        <v/>
      </c>
      <c r="G1705">
        <f t="shared" si="54"/>
        <v>7.9986441000000005E-2</v>
      </c>
    </row>
    <row r="1706" spans="1:7" x14ac:dyDescent="0.2">
      <c r="A1706" t="s">
        <v>2</v>
      </c>
      <c r="B1706">
        <v>0.2007963807</v>
      </c>
      <c r="C1706">
        <v>0</v>
      </c>
      <c r="D1706">
        <f t="shared" si="53"/>
        <v>0</v>
      </c>
      <c r="E1706" t="str">
        <f t="shared" si="53"/>
        <v/>
      </c>
      <c r="F1706">
        <f t="shared" si="54"/>
        <v>0.2007963807</v>
      </c>
      <c r="G1706" t="str">
        <f t="shared" si="54"/>
        <v/>
      </c>
    </row>
    <row r="1707" spans="1:7" x14ac:dyDescent="0.2">
      <c r="A1707" t="s">
        <v>2</v>
      </c>
      <c r="B1707">
        <v>0.27852329980000001</v>
      </c>
      <c r="C1707">
        <v>0</v>
      </c>
      <c r="D1707">
        <f t="shared" ref="D1707:E1770" si="55">IF($A1707=D$1,$C1707,"")</f>
        <v>0</v>
      </c>
      <c r="E1707" t="str">
        <f t="shared" si="55"/>
        <v/>
      </c>
      <c r="F1707">
        <f t="shared" ref="F1707:G1770" si="56">IF($A1707=F$1,$B1707,"")</f>
        <v>0.27852329980000001</v>
      </c>
      <c r="G1707" t="str">
        <f t="shared" si="56"/>
        <v/>
      </c>
    </row>
    <row r="1708" spans="1:7" x14ac:dyDescent="0.2">
      <c r="A1708" t="s">
        <v>0</v>
      </c>
      <c r="B1708">
        <v>0.19971857400000001</v>
      </c>
      <c r="C1708">
        <v>0</v>
      </c>
      <c r="D1708" t="str">
        <f t="shared" si="55"/>
        <v/>
      </c>
      <c r="E1708">
        <f t="shared" si="55"/>
        <v>0</v>
      </c>
      <c r="F1708" t="str">
        <f t="shared" si="56"/>
        <v/>
      </c>
      <c r="G1708">
        <f t="shared" si="56"/>
        <v>0.19971857400000001</v>
      </c>
    </row>
    <row r="1709" spans="1:7" x14ac:dyDescent="0.2">
      <c r="A1709" t="s">
        <v>2</v>
      </c>
      <c r="B1709">
        <v>0.53888207519999998</v>
      </c>
      <c r="C1709">
        <v>1</v>
      </c>
      <c r="D1709">
        <f t="shared" si="55"/>
        <v>1</v>
      </c>
      <c r="E1709" t="str">
        <f t="shared" si="55"/>
        <v/>
      </c>
      <c r="F1709">
        <f t="shared" si="56"/>
        <v>0.53888207519999998</v>
      </c>
      <c r="G1709" t="str">
        <f t="shared" si="56"/>
        <v/>
      </c>
    </row>
    <row r="1710" spans="1:7" x14ac:dyDescent="0.2">
      <c r="A1710" t="s">
        <v>0</v>
      </c>
      <c r="B1710">
        <v>0.21664235709999999</v>
      </c>
      <c r="C1710">
        <v>0</v>
      </c>
      <c r="D1710" t="str">
        <f t="shared" si="55"/>
        <v/>
      </c>
      <c r="E1710">
        <f t="shared" si="55"/>
        <v>0</v>
      </c>
      <c r="F1710" t="str">
        <f t="shared" si="56"/>
        <v/>
      </c>
      <c r="G1710">
        <f t="shared" si="56"/>
        <v>0.21664235709999999</v>
      </c>
    </row>
    <row r="1711" spans="1:7" x14ac:dyDescent="0.2">
      <c r="A1711" t="s">
        <v>2</v>
      </c>
      <c r="B1711">
        <v>0.10205370699999999</v>
      </c>
      <c r="C1711">
        <v>0</v>
      </c>
      <c r="D1711">
        <f t="shared" si="55"/>
        <v>0</v>
      </c>
      <c r="E1711" t="str">
        <f t="shared" si="55"/>
        <v/>
      </c>
      <c r="F1711">
        <f t="shared" si="56"/>
        <v>0.10205370699999999</v>
      </c>
      <c r="G1711" t="str">
        <f t="shared" si="56"/>
        <v/>
      </c>
    </row>
    <row r="1712" spans="1:7" x14ac:dyDescent="0.2">
      <c r="A1712" t="s">
        <v>0</v>
      </c>
      <c r="B1712">
        <v>0.32509615580000001</v>
      </c>
      <c r="C1712">
        <v>1</v>
      </c>
      <c r="D1712" t="str">
        <f t="shared" si="55"/>
        <v/>
      </c>
      <c r="E1712">
        <f t="shared" si="55"/>
        <v>1</v>
      </c>
      <c r="F1712" t="str">
        <f t="shared" si="56"/>
        <v/>
      </c>
      <c r="G1712">
        <f t="shared" si="56"/>
        <v>0.32509615580000001</v>
      </c>
    </row>
    <row r="1713" spans="1:7" x14ac:dyDescent="0.2">
      <c r="A1713" t="s">
        <v>2</v>
      </c>
      <c r="B1713">
        <v>0.2671970172</v>
      </c>
      <c r="C1713">
        <v>1</v>
      </c>
      <c r="D1713">
        <f t="shared" si="55"/>
        <v>1</v>
      </c>
      <c r="E1713" t="str">
        <f t="shared" si="55"/>
        <v/>
      </c>
      <c r="F1713">
        <f t="shared" si="56"/>
        <v>0.2671970172</v>
      </c>
      <c r="G1713" t="str">
        <f t="shared" si="56"/>
        <v/>
      </c>
    </row>
    <row r="1714" spans="1:7" x14ac:dyDescent="0.2">
      <c r="A1714" t="s">
        <v>2</v>
      </c>
      <c r="B1714">
        <v>0.27941964809999997</v>
      </c>
      <c r="C1714">
        <v>0</v>
      </c>
      <c r="D1714">
        <f t="shared" si="55"/>
        <v>0</v>
      </c>
      <c r="E1714" t="str">
        <f t="shared" si="55"/>
        <v/>
      </c>
      <c r="F1714">
        <f t="shared" si="56"/>
        <v>0.27941964809999997</v>
      </c>
      <c r="G1714" t="str">
        <f t="shared" si="56"/>
        <v/>
      </c>
    </row>
    <row r="1715" spans="1:7" x14ac:dyDescent="0.2">
      <c r="A1715" t="s">
        <v>2</v>
      </c>
      <c r="B1715">
        <v>0.56892595199999996</v>
      </c>
      <c r="C1715">
        <v>1</v>
      </c>
      <c r="D1715">
        <f t="shared" si="55"/>
        <v>1</v>
      </c>
      <c r="E1715" t="str">
        <f t="shared" si="55"/>
        <v/>
      </c>
      <c r="F1715">
        <f t="shared" si="56"/>
        <v>0.56892595199999996</v>
      </c>
      <c r="G1715" t="str">
        <f t="shared" si="56"/>
        <v/>
      </c>
    </row>
    <row r="1716" spans="1:7" x14ac:dyDescent="0.2">
      <c r="A1716" t="s">
        <v>2</v>
      </c>
      <c r="B1716">
        <v>9.5012212400000004E-2</v>
      </c>
      <c r="C1716">
        <v>0</v>
      </c>
      <c r="D1716">
        <f t="shared" si="55"/>
        <v>0</v>
      </c>
      <c r="E1716" t="str">
        <f t="shared" si="55"/>
        <v/>
      </c>
      <c r="F1716">
        <f t="shared" si="56"/>
        <v>9.5012212400000004E-2</v>
      </c>
      <c r="G1716" t="str">
        <f t="shared" si="56"/>
        <v/>
      </c>
    </row>
    <row r="1717" spans="1:7" x14ac:dyDescent="0.2">
      <c r="A1717" t="s">
        <v>2</v>
      </c>
      <c r="B1717">
        <v>0.3588066191</v>
      </c>
      <c r="C1717">
        <v>1</v>
      </c>
      <c r="D1717">
        <f t="shared" si="55"/>
        <v>1</v>
      </c>
      <c r="E1717" t="str">
        <f t="shared" si="55"/>
        <v/>
      </c>
      <c r="F1717">
        <f t="shared" si="56"/>
        <v>0.3588066191</v>
      </c>
      <c r="G1717" t="str">
        <f t="shared" si="56"/>
        <v/>
      </c>
    </row>
    <row r="1718" spans="1:7" x14ac:dyDescent="0.2">
      <c r="A1718" t="s">
        <v>0</v>
      </c>
      <c r="B1718">
        <v>0.30427971679999999</v>
      </c>
      <c r="C1718">
        <v>0</v>
      </c>
      <c r="D1718" t="str">
        <f t="shared" si="55"/>
        <v/>
      </c>
      <c r="E1718">
        <f t="shared" si="55"/>
        <v>0</v>
      </c>
      <c r="F1718" t="str">
        <f t="shared" si="56"/>
        <v/>
      </c>
      <c r="G1718">
        <f t="shared" si="56"/>
        <v>0.30427971679999999</v>
      </c>
    </row>
    <row r="1719" spans="1:7" x14ac:dyDescent="0.2">
      <c r="A1719" t="s">
        <v>0</v>
      </c>
      <c r="B1719">
        <v>0.10275920819999999</v>
      </c>
      <c r="C1719">
        <v>0</v>
      </c>
      <c r="D1719" t="str">
        <f t="shared" si="55"/>
        <v/>
      </c>
      <c r="E1719">
        <f t="shared" si="55"/>
        <v>0</v>
      </c>
      <c r="F1719" t="str">
        <f t="shared" si="56"/>
        <v/>
      </c>
      <c r="G1719">
        <f t="shared" si="56"/>
        <v>0.10275920819999999</v>
      </c>
    </row>
    <row r="1720" spans="1:7" x14ac:dyDescent="0.2">
      <c r="A1720" t="s">
        <v>0</v>
      </c>
      <c r="B1720">
        <v>0.49560267879999997</v>
      </c>
      <c r="C1720">
        <v>0</v>
      </c>
      <c r="D1720" t="str">
        <f t="shared" si="55"/>
        <v/>
      </c>
      <c r="E1720">
        <f t="shared" si="55"/>
        <v>0</v>
      </c>
      <c r="F1720" t="str">
        <f t="shared" si="56"/>
        <v/>
      </c>
      <c r="G1720">
        <f t="shared" si="56"/>
        <v>0.49560267879999997</v>
      </c>
    </row>
    <row r="1721" spans="1:7" x14ac:dyDescent="0.2">
      <c r="A1721" t="s">
        <v>2</v>
      </c>
      <c r="B1721">
        <v>0.1284491422</v>
      </c>
      <c r="C1721">
        <v>0</v>
      </c>
      <c r="D1721">
        <f t="shared" si="55"/>
        <v>0</v>
      </c>
      <c r="E1721" t="str">
        <f t="shared" si="55"/>
        <v/>
      </c>
      <c r="F1721">
        <f t="shared" si="56"/>
        <v>0.1284491422</v>
      </c>
      <c r="G1721" t="str">
        <f t="shared" si="56"/>
        <v/>
      </c>
    </row>
    <row r="1722" spans="1:7" x14ac:dyDescent="0.2">
      <c r="A1722" t="s">
        <v>0</v>
      </c>
      <c r="B1722">
        <v>0.57150084430000003</v>
      </c>
      <c r="C1722">
        <v>0</v>
      </c>
      <c r="D1722" t="str">
        <f t="shared" si="55"/>
        <v/>
      </c>
      <c r="E1722">
        <f t="shared" si="55"/>
        <v>0</v>
      </c>
      <c r="F1722" t="str">
        <f t="shared" si="56"/>
        <v/>
      </c>
      <c r="G1722">
        <f t="shared" si="56"/>
        <v>0.57150084430000003</v>
      </c>
    </row>
    <row r="1723" spans="1:7" x14ac:dyDescent="0.2">
      <c r="A1723" t="s">
        <v>2</v>
      </c>
      <c r="B1723">
        <v>0.5491624624</v>
      </c>
      <c r="C1723">
        <v>1</v>
      </c>
      <c r="D1723">
        <f t="shared" si="55"/>
        <v>1</v>
      </c>
      <c r="E1723" t="str">
        <f t="shared" si="55"/>
        <v/>
      </c>
      <c r="F1723">
        <f t="shared" si="56"/>
        <v>0.5491624624</v>
      </c>
      <c r="G1723" t="str">
        <f t="shared" si="56"/>
        <v/>
      </c>
    </row>
    <row r="1724" spans="1:7" x14ac:dyDescent="0.2">
      <c r="A1724" t="s">
        <v>2</v>
      </c>
      <c r="B1724">
        <v>0.29683506980000002</v>
      </c>
      <c r="C1724">
        <v>1</v>
      </c>
      <c r="D1724">
        <f t="shared" si="55"/>
        <v>1</v>
      </c>
      <c r="E1724" t="str">
        <f t="shared" si="55"/>
        <v/>
      </c>
      <c r="F1724">
        <f t="shared" si="56"/>
        <v>0.29683506980000002</v>
      </c>
      <c r="G1724" t="str">
        <f t="shared" si="56"/>
        <v/>
      </c>
    </row>
    <row r="1725" spans="1:7" x14ac:dyDescent="0.2">
      <c r="A1725" t="s">
        <v>2</v>
      </c>
      <c r="B1725">
        <v>0.83355822609999997</v>
      </c>
      <c r="C1725">
        <v>0</v>
      </c>
      <c r="D1725">
        <f t="shared" si="55"/>
        <v>0</v>
      </c>
      <c r="E1725" t="str">
        <f t="shared" si="55"/>
        <v/>
      </c>
      <c r="F1725">
        <f t="shared" si="56"/>
        <v>0.83355822609999997</v>
      </c>
      <c r="G1725" t="str">
        <f t="shared" si="56"/>
        <v/>
      </c>
    </row>
    <row r="1726" spans="1:7" x14ac:dyDescent="0.2">
      <c r="A1726" t="s">
        <v>2</v>
      </c>
      <c r="B1726">
        <v>0.177932387</v>
      </c>
      <c r="C1726">
        <v>0</v>
      </c>
      <c r="D1726">
        <f t="shared" si="55"/>
        <v>0</v>
      </c>
      <c r="E1726" t="str">
        <f t="shared" si="55"/>
        <v/>
      </c>
      <c r="F1726">
        <f t="shared" si="56"/>
        <v>0.177932387</v>
      </c>
      <c r="G1726" t="str">
        <f t="shared" si="56"/>
        <v/>
      </c>
    </row>
    <row r="1727" spans="1:7" x14ac:dyDescent="0.2">
      <c r="A1727" t="s">
        <v>2</v>
      </c>
      <c r="B1727">
        <v>0.30879861619999999</v>
      </c>
      <c r="C1727">
        <v>1</v>
      </c>
      <c r="D1727">
        <f t="shared" si="55"/>
        <v>1</v>
      </c>
      <c r="E1727" t="str">
        <f t="shared" si="55"/>
        <v/>
      </c>
      <c r="F1727">
        <f t="shared" si="56"/>
        <v>0.30879861619999999</v>
      </c>
      <c r="G1727" t="str">
        <f t="shared" si="56"/>
        <v/>
      </c>
    </row>
    <row r="1728" spans="1:7" x14ac:dyDescent="0.2">
      <c r="A1728" t="s">
        <v>0</v>
      </c>
      <c r="B1728">
        <v>0.37907011779999999</v>
      </c>
      <c r="C1728">
        <v>0</v>
      </c>
      <c r="D1728" t="str">
        <f t="shared" si="55"/>
        <v/>
      </c>
      <c r="E1728">
        <f t="shared" si="55"/>
        <v>0</v>
      </c>
      <c r="F1728" t="str">
        <f t="shared" si="56"/>
        <v/>
      </c>
      <c r="G1728">
        <f t="shared" si="56"/>
        <v>0.37907011779999999</v>
      </c>
    </row>
    <row r="1729" spans="1:7" x14ac:dyDescent="0.2">
      <c r="A1729" t="s">
        <v>2</v>
      </c>
      <c r="B1729">
        <v>0.52829989369999997</v>
      </c>
      <c r="C1729">
        <v>1</v>
      </c>
      <c r="D1729">
        <f t="shared" si="55"/>
        <v>1</v>
      </c>
      <c r="E1729" t="str">
        <f t="shared" si="55"/>
        <v/>
      </c>
      <c r="F1729">
        <f t="shared" si="56"/>
        <v>0.52829989369999997</v>
      </c>
      <c r="G1729" t="str">
        <f t="shared" si="56"/>
        <v/>
      </c>
    </row>
    <row r="1730" spans="1:7" x14ac:dyDescent="0.2">
      <c r="A1730" t="s">
        <v>2</v>
      </c>
      <c r="B1730">
        <v>0.29196068590000002</v>
      </c>
      <c r="C1730">
        <v>1</v>
      </c>
      <c r="D1730">
        <f t="shared" si="55"/>
        <v>1</v>
      </c>
      <c r="E1730" t="str">
        <f t="shared" si="55"/>
        <v/>
      </c>
      <c r="F1730">
        <f t="shared" si="56"/>
        <v>0.29196068590000002</v>
      </c>
      <c r="G1730" t="str">
        <f t="shared" si="56"/>
        <v/>
      </c>
    </row>
    <row r="1731" spans="1:7" x14ac:dyDescent="0.2">
      <c r="A1731" t="s">
        <v>2</v>
      </c>
      <c r="B1731">
        <v>0.15382048840000001</v>
      </c>
      <c r="C1731">
        <v>0</v>
      </c>
      <c r="D1731">
        <f t="shared" si="55"/>
        <v>0</v>
      </c>
      <c r="E1731" t="str">
        <f t="shared" si="55"/>
        <v/>
      </c>
      <c r="F1731">
        <f t="shared" si="56"/>
        <v>0.15382048840000001</v>
      </c>
      <c r="G1731" t="str">
        <f t="shared" si="56"/>
        <v/>
      </c>
    </row>
    <row r="1732" spans="1:7" x14ac:dyDescent="0.2">
      <c r="A1732" t="s">
        <v>2</v>
      </c>
      <c r="B1732">
        <v>0.12626993819999999</v>
      </c>
      <c r="C1732">
        <v>0</v>
      </c>
      <c r="D1732">
        <f t="shared" si="55"/>
        <v>0</v>
      </c>
      <c r="E1732" t="str">
        <f t="shared" si="55"/>
        <v/>
      </c>
      <c r="F1732">
        <f t="shared" si="56"/>
        <v>0.12626993819999999</v>
      </c>
      <c r="G1732" t="str">
        <f t="shared" si="56"/>
        <v/>
      </c>
    </row>
    <row r="1733" spans="1:7" x14ac:dyDescent="0.2">
      <c r="A1733" t="s">
        <v>2</v>
      </c>
      <c r="B1733">
        <v>0.26261608710000001</v>
      </c>
      <c r="C1733">
        <v>0</v>
      </c>
      <c r="D1733">
        <f t="shared" si="55"/>
        <v>0</v>
      </c>
      <c r="E1733" t="str">
        <f t="shared" si="55"/>
        <v/>
      </c>
      <c r="F1733">
        <f t="shared" si="56"/>
        <v>0.26261608710000001</v>
      </c>
      <c r="G1733" t="str">
        <f t="shared" si="56"/>
        <v/>
      </c>
    </row>
    <row r="1734" spans="1:7" x14ac:dyDescent="0.2">
      <c r="A1734" t="s">
        <v>2</v>
      </c>
      <c r="B1734">
        <v>0.41005926869999998</v>
      </c>
      <c r="C1734">
        <v>0</v>
      </c>
      <c r="D1734">
        <f t="shared" si="55"/>
        <v>0</v>
      </c>
      <c r="E1734" t="str">
        <f t="shared" si="55"/>
        <v/>
      </c>
      <c r="F1734">
        <f t="shared" si="56"/>
        <v>0.41005926869999998</v>
      </c>
      <c r="G1734" t="str">
        <f t="shared" si="56"/>
        <v/>
      </c>
    </row>
    <row r="1735" spans="1:7" x14ac:dyDescent="0.2">
      <c r="A1735" t="s">
        <v>2</v>
      </c>
      <c r="B1735">
        <v>0.2548685034</v>
      </c>
      <c r="C1735">
        <v>1</v>
      </c>
      <c r="D1735">
        <f t="shared" si="55"/>
        <v>1</v>
      </c>
      <c r="E1735" t="str">
        <f t="shared" si="55"/>
        <v/>
      </c>
      <c r="F1735">
        <f t="shared" si="56"/>
        <v>0.2548685034</v>
      </c>
      <c r="G1735" t="str">
        <f t="shared" si="56"/>
        <v/>
      </c>
    </row>
    <row r="1736" spans="1:7" x14ac:dyDescent="0.2">
      <c r="A1736" t="s">
        <v>2</v>
      </c>
      <c r="B1736">
        <v>0.17226465790000001</v>
      </c>
      <c r="C1736">
        <v>0</v>
      </c>
      <c r="D1736">
        <f t="shared" si="55"/>
        <v>0</v>
      </c>
      <c r="E1736" t="str">
        <f t="shared" si="55"/>
        <v/>
      </c>
      <c r="F1736">
        <f t="shared" si="56"/>
        <v>0.17226465790000001</v>
      </c>
      <c r="G1736" t="str">
        <f t="shared" si="56"/>
        <v/>
      </c>
    </row>
    <row r="1737" spans="1:7" x14ac:dyDescent="0.2">
      <c r="A1737" t="s">
        <v>2</v>
      </c>
      <c r="B1737">
        <v>0.5695269704</v>
      </c>
      <c r="C1737">
        <v>0</v>
      </c>
      <c r="D1737">
        <f t="shared" si="55"/>
        <v>0</v>
      </c>
      <c r="E1737" t="str">
        <f t="shared" si="55"/>
        <v/>
      </c>
      <c r="F1737">
        <f t="shared" si="56"/>
        <v>0.5695269704</v>
      </c>
      <c r="G1737" t="str">
        <f t="shared" si="56"/>
        <v/>
      </c>
    </row>
    <row r="1738" spans="1:7" x14ac:dyDescent="0.2">
      <c r="A1738" t="s">
        <v>0</v>
      </c>
      <c r="B1738">
        <v>0.2354725852</v>
      </c>
      <c r="C1738">
        <v>0</v>
      </c>
      <c r="D1738" t="str">
        <f t="shared" si="55"/>
        <v/>
      </c>
      <c r="E1738">
        <f t="shared" si="55"/>
        <v>0</v>
      </c>
      <c r="F1738" t="str">
        <f t="shared" si="56"/>
        <v/>
      </c>
      <c r="G1738">
        <f t="shared" si="56"/>
        <v>0.2354725852</v>
      </c>
    </row>
    <row r="1739" spans="1:7" x14ac:dyDescent="0.2">
      <c r="A1739" t="s">
        <v>2</v>
      </c>
      <c r="B1739">
        <v>0.32053658979999999</v>
      </c>
      <c r="C1739">
        <v>0</v>
      </c>
      <c r="D1739">
        <f t="shared" si="55"/>
        <v>0</v>
      </c>
      <c r="E1739" t="str">
        <f t="shared" si="55"/>
        <v/>
      </c>
      <c r="F1739">
        <f t="shared" si="56"/>
        <v>0.32053658979999999</v>
      </c>
      <c r="G1739" t="str">
        <f t="shared" si="56"/>
        <v/>
      </c>
    </row>
    <row r="1740" spans="1:7" x14ac:dyDescent="0.2">
      <c r="A1740" t="s">
        <v>2</v>
      </c>
      <c r="B1740">
        <v>8.9491961499999995E-2</v>
      </c>
      <c r="C1740">
        <v>0</v>
      </c>
      <c r="D1740">
        <f t="shared" si="55"/>
        <v>0</v>
      </c>
      <c r="E1740" t="str">
        <f t="shared" si="55"/>
        <v/>
      </c>
      <c r="F1740">
        <f t="shared" si="56"/>
        <v>8.9491961499999995E-2</v>
      </c>
      <c r="G1740" t="str">
        <f t="shared" si="56"/>
        <v/>
      </c>
    </row>
    <row r="1741" spans="1:7" x14ac:dyDescent="0.2">
      <c r="A1741" t="s">
        <v>2</v>
      </c>
      <c r="B1741">
        <v>0.19926027769999999</v>
      </c>
      <c r="C1741">
        <v>0</v>
      </c>
      <c r="D1741">
        <f t="shared" si="55"/>
        <v>0</v>
      </c>
      <c r="E1741" t="str">
        <f t="shared" si="55"/>
        <v/>
      </c>
      <c r="F1741">
        <f t="shared" si="56"/>
        <v>0.19926027769999999</v>
      </c>
      <c r="G1741" t="str">
        <f t="shared" si="56"/>
        <v/>
      </c>
    </row>
    <row r="1742" spans="1:7" x14ac:dyDescent="0.2">
      <c r="A1742" t="s">
        <v>0</v>
      </c>
      <c r="B1742">
        <v>0.26149282130000001</v>
      </c>
      <c r="C1742">
        <v>0</v>
      </c>
      <c r="D1742" t="str">
        <f t="shared" si="55"/>
        <v/>
      </c>
      <c r="E1742">
        <f t="shared" si="55"/>
        <v>0</v>
      </c>
      <c r="F1742" t="str">
        <f t="shared" si="56"/>
        <v/>
      </c>
      <c r="G1742">
        <f t="shared" si="56"/>
        <v>0.26149282130000001</v>
      </c>
    </row>
    <row r="1743" spans="1:7" x14ac:dyDescent="0.2">
      <c r="A1743" t="s">
        <v>2</v>
      </c>
      <c r="B1743">
        <v>0.43033896449999998</v>
      </c>
      <c r="C1743">
        <v>1</v>
      </c>
      <c r="D1743">
        <f t="shared" si="55"/>
        <v>1</v>
      </c>
      <c r="E1743" t="str">
        <f t="shared" si="55"/>
        <v/>
      </c>
      <c r="F1743">
        <f t="shared" si="56"/>
        <v>0.43033896449999998</v>
      </c>
      <c r="G1743" t="str">
        <f t="shared" si="56"/>
        <v/>
      </c>
    </row>
    <row r="1744" spans="1:7" x14ac:dyDescent="0.2">
      <c r="A1744" t="s">
        <v>0</v>
      </c>
      <c r="B1744">
        <v>0.40970866099999997</v>
      </c>
      <c r="C1744">
        <v>0</v>
      </c>
      <c r="D1744" t="str">
        <f t="shared" si="55"/>
        <v/>
      </c>
      <c r="E1744">
        <f t="shared" si="55"/>
        <v>0</v>
      </c>
      <c r="F1744" t="str">
        <f t="shared" si="56"/>
        <v/>
      </c>
      <c r="G1744">
        <f t="shared" si="56"/>
        <v>0.40970866099999997</v>
      </c>
    </row>
    <row r="1745" spans="1:7" x14ac:dyDescent="0.2">
      <c r="A1745" t="s">
        <v>2</v>
      </c>
      <c r="B1745">
        <v>0.52773176509999997</v>
      </c>
      <c r="C1745">
        <v>0</v>
      </c>
      <c r="D1745">
        <f t="shared" si="55"/>
        <v>0</v>
      </c>
      <c r="E1745" t="str">
        <f t="shared" si="55"/>
        <v/>
      </c>
      <c r="F1745">
        <f t="shared" si="56"/>
        <v>0.52773176509999997</v>
      </c>
      <c r="G1745" t="str">
        <f t="shared" si="56"/>
        <v/>
      </c>
    </row>
    <row r="1746" spans="1:7" x14ac:dyDescent="0.2">
      <c r="A1746" t="s">
        <v>0</v>
      </c>
      <c r="B1746">
        <v>0.15239723690000001</v>
      </c>
      <c r="C1746">
        <v>0</v>
      </c>
      <c r="D1746" t="str">
        <f t="shared" si="55"/>
        <v/>
      </c>
      <c r="E1746">
        <f t="shared" si="55"/>
        <v>0</v>
      </c>
      <c r="F1746" t="str">
        <f t="shared" si="56"/>
        <v/>
      </c>
      <c r="G1746">
        <f t="shared" si="56"/>
        <v>0.15239723690000001</v>
      </c>
    </row>
    <row r="1747" spans="1:7" x14ac:dyDescent="0.2">
      <c r="A1747" t="s">
        <v>0</v>
      </c>
      <c r="B1747">
        <v>0.44027339659999998</v>
      </c>
      <c r="C1747">
        <v>0</v>
      </c>
      <c r="D1747" t="str">
        <f t="shared" si="55"/>
        <v/>
      </c>
      <c r="E1747">
        <f t="shared" si="55"/>
        <v>0</v>
      </c>
      <c r="F1747" t="str">
        <f t="shared" si="56"/>
        <v/>
      </c>
      <c r="G1747">
        <f t="shared" si="56"/>
        <v>0.44027339659999998</v>
      </c>
    </row>
    <row r="1748" spans="1:7" x14ac:dyDescent="0.2">
      <c r="A1748" t="s">
        <v>0</v>
      </c>
      <c r="B1748">
        <v>0.85727229439999997</v>
      </c>
      <c r="C1748">
        <v>1</v>
      </c>
      <c r="D1748" t="str">
        <f t="shared" si="55"/>
        <v/>
      </c>
      <c r="E1748">
        <f t="shared" si="55"/>
        <v>1</v>
      </c>
      <c r="F1748" t="str">
        <f t="shared" si="56"/>
        <v/>
      </c>
      <c r="G1748">
        <f t="shared" si="56"/>
        <v>0.85727229439999997</v>
      </c>
    </row>
    <row r="1749" spans="1:7" x14ac:dyDescent="0.2">
      <c r="A1749" t="s">
        <v>0</v>
      </c>
      <c r="B1749">
        <v>0.55905747729999999</v>
      </c>
      <c r="C1749">
        <v>0</v>
      </c>
      <c r="D1749" t="str">
        <f t="shared" si="55"/>
        <v/>
      </c>
      <c r="E1749">
        <f t="shared" si="55"/>
        <v>0</v>
      </c>
      <c r="F1749" t="str">
        <f t="shared" si="56"/>
        <v/>
      </c>
      <c r="G1749">
        <f t="shared" si="56"/>
        <v>0.55905747729999999</v>
      </c>
    </row>
    <row r="1750" spans="1:7" x14ac:dyDescent="0.2">
      <c r="A1750" t="s">
        <v>0</v>
      </c>
      <c r="B1750">
        <v>0.54850627679999997</v>
      </c>
      <c r="C1750">
        <v>0</v>
      </c>
      <c r="D1750" t="str">
        <f t="shared" si="55"/>
        <v/>
      </c>
      <c r="E1750">
        <f t="shared" si="55"/>
        <v>0</v>
      </c>
      <c r="F1750" t="str">
        <f t="shared" si="56"/>
        <v/>
      </c>
      <c r="G1750">
        <f t="shared" si="56"/>
        <v>0.54850627679999997</v>
      </c>
    </row>
    <row r="1751" spans="1:7" x14ac:dyDescent="0.2">
      <c r="A1751" t="s">
        <v>2</v>
      </c>
      <c r="B1751">
        <v>0.56457306090000003</v>
      </c>
      <c r="C1751">
        <v>0</v>
      </c>
      <c r="D1751">
        <f t="shared" si="55"/>
        <v>0</v>
      </c>
      <c r="E1751" t="str">
        <f t="shared" si="55"/>
        <v/>
      </c>
      <c r="F1751">
        <f t="shared" si="56"/>
        <v>0.56457306090000003</v>
      </c>
      <c r="G1751" t="str">
        <f t="shared" si="56"/>
        <v/>
      </c>
    </row>
    <row r="1752" spans="1:7" x14ac:dyDescent="0.2">
      <c r="A1752" t="s">
        <v>0</v>
      </c>
      <c r="B1752">
        <v>0.27253556639999998</v>
      </c>
      <c r="C1752">
        <v>1</v>
      </c>
      <c r="D1752" t="str">
        <f t="shared" si="55"/>
        <v/>
      </c>
      <c r="E1752">
        <f t="shared" si="55"/>
        <v>1</v>
      </c>
      <c r="F1752" t="str">
        <f t="shared" si="56"/>
        <v/>
      </c>
      <c r="G1752">
        <f t="shared" si="56"/>
        <v>0.27253556639999998</v>
      </c>
    </row>
    <row r="1753" spans="1:7" x14ac:dyDescent="0.2">
      <c r="A1753" t="s">
        <v>0</v>
      </c>
      <c r="B1753">
        <v>0.19480745390000001</v>
      </c>
      <c r="C1753">
        <v>0</v>
      </c>
      <c r="D1753" t="str">
        <f t="shared" si="55"/>
        <v/>
      </c>
      <c r="E1753">
        <f t="shared" si="55"/>
        <v>0</v>
      </c>
      <c r="F1753" t="str">
        <f t="shared" si="56"/>
        <v/>
      </c>
      <c r="G1753">
        <f t="shared" si="56"/>
        <v>0.19480745390000001</v>
      </c>
    </row>
    <row r="1754" spans="1:7" x14ac:dyDescent="0.2">
      <c r="A1754" t="s">
        <v>2</v>
      </c>
      <c r="B1754">
        <v>0.2195414829</v>
      </c>
      <c r="C1754">
        <v>0</v>
      </c>
      <c r="D1754">
        <f t="shared" si="55"/>
        <v>0</v>
      </c>
      <c r="E1754" t="str">
        <f t="shared" si="55"/>
        <v/>
      </c>
      <c r="F1754">
        <f t="shared" si="56"/>
        <v>0.2195414829</v>
      </c>
      <c r="G1754" t="str">
        <f t="shared" si="56"/>
        <v/>
      </c>
    </row>
    <row r="1755" spans="1:7" x14ac:dyDescent="0.2">
      <c r="A1755" t="s">
        <v>2</v>
      </c>
      <c r="B1755">
        <v>0.1823518026</v>
      </c>
      <c r="C1755">
        <v>1</v>
      </c>
      <c r="D1755">
        <f t="shared" si="55"/>
        <v>1</v>
      </c>
      <c r="E1755" t="str">
        <f t="shared" si="55"/>
        <v/>
      </c>
      <c r="F1755">
        <f t="shared" si="56"/>
        <v>0.1823518026</v>
      </c>
      <c r="G1755" t="str">
        <f t="shared" si="56"/>
        <v/>
      </c>
    </row>
    <row r="1756" spans="1:7" x14ac:dyDescent="0.2">
      <c r="A1756" t="s">
        <v>2</v>
      </c>
      <c r="B1756">
        <v>0.49446009629999998</v>
      </c>
      <c r="C1756">
        <v>1</v>
      </c>
      <c r="D1756">
        <f t="shared" si="55"/>
        <v>1</v>
      </c>
      <c r="E1756" t="str">
        <f t="shared" si="55"/>
        <v/>
      </c>
      <c r="F1756">
        <f t="shared" si="56"/>
        <v>0.49446009629999998</v>
      </c>
      <c r="G1756" t="str">
        <f t="shared" si="56"/>
        <v/>
      </c>
    </row>
    <row r="1757" spans="1:7" x14ac:dyDescent="0.2">
      <c r="A1757" t="s">
        <v>2</v>
      </c>
      <c r="B1757">
        <v>0.38212957850000001</v>
      </c>
      <c r="C1757">
        <v>0</v>
      </c>
      <c r="D1757">
        <f t="shared" si="55"/>
        <v>0</v>
      </c>
      <c r="E1757" t="str">
        <f t="shared" si="55"/>
        <v/>
      </c>
      <c r="F1757">
        <f t="shared" si="56"/>
        <v>0.38212957850000001</v>
      </c>
      <c r="G1757" t="str">
        <f t="shared" si="56"/>
        <v/>
      </c>
    </row>
    <row r="1758" spans="1:7" x14ac:dyDescent="0.2">
      <c r="A1758" t="s">
        <v>0</v>
      </c>
      <c r="B1758">
        <v>0.54405083320000003</v>
      </c>
      <c r="C1758">
        <v>1</v>
      </c>
      <c r="D1758" t="str">
        <f t="shared" si="55"/>
        <v/>
      </c>
      <c r="E1758">
        <f t="shared" si="55"/>
        <v>1</v>
      </c>
      <c r="F1758" t="str">
        <f t="shared" si="56"/>
        <v/>
      </c>
      <c r="G1758">
        <f t="shared" si="56"/>
        <v>0.54405083320000003</v>
      </c>
    </row>
    <row r="1759" spans="1:7" x14ac:dyDescent="0.2">
      <c r="A1759" t="s">
        <v>2</v>
      </c>
      <c r="B1759">
        <v>0.43292584150000002</v>
      </c>
      <c r="C1759">
        <v>0</v>
      </c>
      <c r="D1759">
        <f t="shared" si="55"/>
        <v>0</v>
      </c>
      <c r="E1759" t="str">
        <f t="shared" si="55"/>
        <v/>
      </c>
      <c r="F1759">
        <f t="shared" si="56"/>
        <v>0.43292584150000002</v>
      </c>
      <c r="G1759" t="str">
        <f t="shared" si="56"/>
        <v/>
      </c>
    </row>
    <row r="1760" spans="1:7" x14ac:dyDescent="0.2">
      <c r="A1760" t="s">
        <v>2</v>
      </c>
      <c r="B1760">
        <v>0.17215731400000001</v>
      </c>
      <c r="C1760">
        <v>1</v>
      </c>
      <c r="D1760">
        <f t="shared" si="55"/>
        <v>1</v>
      </c>
      <c r="E1760" t="str">
        <f t="shared" si="55"/>
        <v/>
      </c>
      <c r="F1760">
        <f t="shared" si="56"/>
        <v>0.17215731400000001</v>
      </c>
      <c r="G1760" t="str">
        <f t="shared" si="56"/>
        <v/>
      </c>
    </row>
    <row r="1761" spans="1:7" x14ac:dyDescent="0.2">
      <c r="A1761" t="s">
        <v>2</v>
      </c>
      <c r="B1761">
        <v>0.74375335350000005</v>
      </c>
      <c r="C1761">
        <v>1</v>
      </c>
      <c r="D1761">
        <f t="shared" si="55"/>
        <v>1</v>
      </c>
      <c r="E1761" t="str">
        <f t="shared" si="55"/>
        <v/>
      </c>
      <c r="F1761">
        <f t="shared" si="56"/>
        <v>0.74375335350000005</v>
      </c>
      <c r="G1761" t="str">
        <f t="shared" si="56"/>
        <v/>
      </c>
    </row>
    <row r="1762" spans="1:7" x14ac:dyDescent="0.2">
      <c r="A1762" t="s">
        <v>2</v>
      </c>
      <c r="B1762">
        <v>0.41982844930000002</v>
      </c>
      <c r="C1762">
        <v>0</v>
      </c>
      <c r="D1762">
        <f t="shared" si="55"/>
        <v>0</v>
      </c>
      <c r="E1762" t="str">
        <f t="shared" si="55"/>
        <v/>
      </c>
      <c r="F1762">
        <f t="shared" si="56"/>
        <v>0.41982844930000002</v>
      </c>
      <c r="G1762" t="str">
        <f t="shared" si="56"/>
        <v/>
      </c>
    </row>
    <row r="1763" spans="1:7" x14ac:dyDescent="0.2">
      <c r="A1763" t="s">
        <v>2</v>
      </c>
      <c r="B1763">
        <v>0.23586332930000001</v>
      </c>
      <c r="C1763">
        <v>0</v>
      </c>
      <c r="D1763">
        <f t="shared" si="55"/>
        <v>0</v>
      </c>
      <c r="E1763" t="str">
        <f t="shared" si="55"/>
        <v/>
      </c>
      <c r="F1763">
        <f t="shared" si="56"/>
        <v>0.23586332930000001</v>
      </c>
      <c r="G1763" t="str">
        <f t="shared" si="56"/>
        <v/>
      </c>
    </row>
    <row r="1764" spans="1:7" x14ac:dyDescent="0.2">
      <c r="A1764" t="s">
        <v>0</v>
      </c>
      <c r="B1764">
        <v>0.37048129590000001</v>
      </c>
      <c r="C1764">
        <v>0</v>
      </c>
      <c r="D1764" t="str">
        <f t="shared" si="55"/>
        <v/>
      </c>
      <c r="E1764">
        <f t="shared" si="55"/>
        <v>0</v>
      </c>
      <c r="F1764" t="str">
        <f t="shared" si="56"/>
        <v/>
      </c>
      <c r="G1764">
        <f t="shared" si="56"/>
        <v>0.37048129590000001</v>
      </c>
    </row>
    <row r="1765" spans="1:7" x14ac:dyDescent="0.2">
      <c r="A1765" t="s">
        <v>0</v>
      </c>
      <c r="B1765">
        <v>0.1946058614</v>
      </c>
      <c r="C1765">
        <v>1</v>
      </c>
      <c r="D1765" t="str">
        <f t="shared" si="55"/>
        <v/>
      </c>
      <c r="E1765">
        <f t="shared" si="55"/>
        <v>1</v>
      </c>
      <c r="F1765" t="str">
        <f t="shared" si="56"/>
        <v/>
      </c>
      <c r="G1765">
        <f t="shared" si="56"/>
        <v>0.1946058614</v>
      </c>
    </row>
    <row r="1766" spans="1:7" x14ac:dyDescent="0.2">
      <c r="A1766" t="s">
        <v>0</v>
      </c>
      <c r="B1766">
        <v>0.30344967160000003</v>
      </c>
      <c r="C1766">
        <v>0</v>
      </c>
      <c r="D1766" t="str">
        <f t="shared" si="55"/>
        <v/>
      </c>
      <c r="E1766">
        <f t="shared" si="55"/>
        <v>0</v>
      </c>
      <c r="F1766" t="str">
        <f t="shared" si="56"/>
        <v/>
      </c>
      <c r="G1766">
        <f t="shared" si="56"/>
        <v>0.30344967160000003</v>
      </c>
    </row>
    <row r="1767" spans="1:7" x14ac:dyDescent="0.2">
      <c r="A1767" t="s">
        <v>2</v>
      </c>
      <c r="B1767">
        <v>0.28141999649999999</v>
      </c>
      <c r="C1767">
        <v>0</v>
      </c>
      <c r="D1767">
        <f t="shared" si="55"/>
        <v>0</v>
      </c>
      <c r="E1767" t="str">
        <f t="shared" si="55"/>
        <v/>
      </c>
      <c r="F1767">
        <f t="shared" si="56"/>
        <v>0.28141999649999999</v>
      </c>
      <c r="G1767" t="str">
        <f t="shared" si="56"/>
        <v/>
      </c>
    </row>
    <row r="1768" spans="1:7" x14ac:dyDescent="0.2">
      <c r="A1768" t="s">
        <v>0</v>
      </c>
      <c r="B1768">
        <v>0.45547861249999999</v>
      </c>
      <c r="C1768">
        <v>0</v>
      </c>
      <c r="D1768" t="str">
        <f t="shared" si="55"/>
        <v/>
      </c>
      <c r="E1768">
        <f t="shared" si="55"/>
        <v>0</v>
      </c>
      <c r="F1768" t="str">
        <f t="shared" si="56"/>
        <v/>
      </c>
      <c r="G1768">
        <f t="shared" si="56"/>
        <v>0.45547861249999999</v>
      </c>
    </row>
    <row r="1769" spans="1:7" x14ac:dyDescent="0.2">
      <c r="A1769" t="s">
        <v>2</v>
      </c>
      <c r="B1769">
        <v>0.36272105900000001</v>
      </c>
      <c r="C1769">
        <v>0</v>
      </c>
      <c r="D1769">
        <f t="shared" si="55"/>
        <v>0</v>
      </c>
      <c r="E1769" t="str">
        <f t="shared" si="55"/>
        <v/>
      </c>
      <c r="F1769">
        <f t="shared" si="56"/>
        <v>0.36272105900000001</v>
      </c>
      <c r="G1769" t="str">
        <f t="shared" si="56"/>
        <v/>
      </c>
    </row>
    <row r="1770" spans="1:7" x14ac:dyDescent="0.2">
      <c r="A1770" t="s">
        <v>0</v>
      </c>
      <c r="B1770">
        <v>0.78681448769999995</v>
      </c>
      <c r="C1770">
        <v>0</v>
      </c>
      <c r="D1770" t="str">
        <f t="shared" si="55"/>
        <v/>
      </c>
      <c r="E1770">
        <f t="shared" si="55"/>
        <v>0</v>
      </c>
      <c r="F1770" t="str">
        <f t="shared" si="56"/>
        <v/>
      </c>
      <c r="G1770">
        <f t="shared" si="56"/>
        <v>0.78681448769999995</v>
      </c>
    </row>
    <row r="1771" spans="1:7" x14ac:dyDescent="0.2">
      <c r="A1771" t="s">
        <v>2</v>
      </c>
      <c r="B1771">
        <v>0.23984936909999999</v>
      </c>
      <c r="C1771">
        <v>0</v>
      </c>
      <c r="D1771">
        <f t="shared" ref="D1771:E1834" si="57">IF($A1771=D$1,$C1771,"")</f>
        <v>0</v>
      </c>
      <c r="E1771" t="str">
        <f t="shared" si="57"/>
        <v/>
      </c>
      <c r="F1771">
        <f t="shared" ref="F1771:G1834" si="58">IF($A1771=F$1,$B1771,"")</f>
        <v>0.23984936909999999</v>
      </c>
      <c r="G1771" t="str">
        <f t="shared" si="58"/>
        <v/>
      </c>
    </row>
    <row r="1772" spans="1:7" x14ac:dyDescent="0.2">
      <c r="A1772" t="s">
        <v>2</v>
      </c>
      <c r="B1772">
        <v>0.51743467669999998</v>
      </c>
      <c r="C1772">
        <v>0</v>
      </c>
      <c r="D1772">
        <f t="shared" si="57"/>
        <v>0</v>
      </c>
      <c r="E1772" t="str">
        <f t="shared" si="57"/>
        <v/>
      </c>
      <c r="F1772">
        <f t="shared" si="58"/>
        <v>0.51743467669999998</v>
      </c>
      <c r="G1772" t="str">
        <f t="shared" si="58"/>
        <v/>
      </c>
    </row>
    <row r="1773" spans="1:7" x14ac:dyDescent="0.2">
      <c r="A1773" t="s">
        <v>0</v>
      </c>
      <c r="B1773">
        <v>0.16910029409999999</v>
      </c>
      <c r="C1773">
        <v>0</v>
      </c>
      <c r="D1773" t="str">
        <f t="shared" si="57"/>
        <v/>
      </c>
      <c r="E1773">
        <f t="shared" si="57"/>
        <v>0</v>
      </c>
      <c r="F1773" t="str">
        <f t="shared" si="58"/>
        <v/>
      </c>
      <c r="G1773">
        <f t="shared" si="58"/>
        <v>0.16910029409999999</v>
      </c>
    </row>
    <row r="1774" spans="1:7" x14ac:dyDescent="0.2">
      <c r="A1774" t="s">
        <v>2</v>
      </c>
      <c r="B1774">
        <v>0.49819768190000002</v>
      </c>
      <c r="C1774">
        <v>0</v>
      </c>
      <c r="D1774">
        <f t="shared" si="57"/>
        <v>0</v>
      </c>
      <c r="E1774" t="str">
        <f t="shared" si="57"/>
        <v/>
      </c>
      <c r="F1774">
        <f t="shared" si="58"/>
        <v>0.49819768190000002</v>
      </c>
      <c r="G1774" t="str">
        <f t="shared" si="58"/>
        <v/>
      </c>
    </row>
    <row r="1775" spans="1:7" x14ac:dyDescent="0.2">
      <c r="A1775" t="s">
        <v>2</v>
      </c>
      <c r="B1775">
        <v>0.29174082680000002</v>
      </c>
      <c r="C1775">
        <v>0</v>
      </c>
      <c r="D1775">
        <f t="shared" si="57"/>
        <v>0</v>
      </c>
      <c r="E1775" t="str">
        <f t="shared" si="57"/>
        <v/>
      </c>
      <c r="F1775">
        <f t="shared" si="58"/>
        <v>0.29174082680000002</v>
      </c>
      <c r="G1775" t="str">
        <f t="shared" si="58"/>
        <v/>
      </c>
    </row>
    <row r="1776" spans="1:7" x14ac:dyDescent="0.2">
      <c r="A1776" t="s">
        <v>0</v>
      </c>
      <c r="B1776">
        <v>0.81512936849999995</v>
      </c>
      <c r="C1776">
        <v>1</v>
      </c>
      <c r="D1776" t="str">
        <f t="shared" si="57"/>
        <v/>
      </c>
      <c r="E1776">
        <f t="shared" si="57"/>
        <v>1</v>
      </c>
      <c r="F1776" t="str">
        <f t="shared" si="58"/>
        <v/>
      </c>
      <c r="G1776">
        <f t="shared" si="58"/>
        <v>0.81512936849999995</v>
      </c>
    </row>
    <row r="1777" spans="1:7" x14ac:dyDescent="0.2">
      <c r="A1777" t="s">
        <v>2</v>
      </c>
      <c r="B1777">
        <v>0.66532076579999999</v>
      </c>
      <c r="C1777">
        <v>1</v>
      </c>
      <c r="D1777">
        <f t="shared" si="57"/>
        <v>1</v>
      </c>
      <c r="E1777" t="str">
        <f t="shared" si="57"/>
        <v/>
      </c>
      <c r="F1777">
        <f t="shared" si="58"/>
        <v>0.66532076579999999</v>
      </c>
      <c r="G1777" t="str">
        <f t="shared" si="58"/>
        <v/>
      </c>
    </row>
    <row r="1778" spans="1:7" x14ac:dyDescent="0.2">
      <c r="A1778" t="s">
        <v>2</v>
      </c>
      <c r="B1778">
        <v>0.67540789369999998</v>
      </c>
      <c r="C1778">
        <v>1</v>
      </c>
      <c r="D1778">
        <f t="shared" si="57"/>
        <v>1</v>
      </c>
      <c r="E1778" t="str">
        <f t="shared" si="57"/>
        <v/>
      </c>
      <c r="F1778">
        <f t="shared" si="58"/>
        <v>0.67540789369999998</v>
      </c>
      <c r="G1778" t="str">
        <f t="shared" si="58"/>
        <v/>
      </c>
    </row>
    <row r="1779" spans="1:7" x14ac:dyDescent="0.2">
      <c r="A1779" t="s">
        <v>2</v>
      </c>
      <c r="B1779">
        <v>0.52049818069999998</v>
      </c>
      <c r="C1779">
        <v>0</v>
      </c>
      <c r="D1779">
        <f t="shared" si="57"/>
        <v>0</v>
      </c>
      <c r="E1779" t="str">
        <f t="shared" si="57"/>
        <v/>
      </c>
      <c r="F1779">
        <f t="shared" si="58"/>
        <v>0.52049818069999998</v>
      </c>
      <c r="G1779" t="str">
        <f t="shared" si="58"/>
        <v/>
      </c>
    </row>
    <row r="1780" spans="1:7" x14ac:dyDescent="0.2">
      <c r="A1780" t="s">
        <v>2</v>
      </c>
      <c r="B1780">
        <v>0.38158511249999999</v>
      </c>
      <c r="C1780">
        <v>1</v>
      </c>
      <c r="D1780">
        <f t="shared" si="57"/>
        <v>1</v>
      </c>
      <c r="E1780" t="str">
        <f t="shared" si="57"/>
        <v/>
      </c>
      <c r="F1780">
        <f t="shared" si="58"/>
        <v>0.38158511249999999</v>
      </c>
      <c r="G1780" t="str">
        <f t="shared" si="58"/>
        <v/>
      </c>
    </row>
    <row r="1781" spans="1:7" x14ac:dyDescent="0.2">
      <c r="A1781" t="s">
        <v>2</v>
      </c>
      <c r="B1781">
        <v>0.18428922480000001</v>
      </c>
      <c r="C1781">
        <v>0</v>
      </c>
      <c r="D1781">
        <f t="shared" si="57"/>
        <v>0</v>
      </c>
      <c r="E1781" t="str">
        <f t="shared" si="57"/>
        <v/>
      </c>
      <c r="F1781">
        <f t="shared" si="58"/>
        <v>0.18428922480000001</v>
      </c>
      <c r="G1781" t="str">
        <f t="shared" si="58"/>
        <v/>
      </c>
    </row>
    <row r="1782" spans="1:7" x14ac:dyDescent="0.2">
      <c r="A1782" t="s">
        <v>2</v>
      </c>
      <c r="B1782">
        <v>0.3305062963</v>
      </c>
      <c r="C1782">
        <v>1</v>
      </c>
      <c r="D1782">
        <f t="shared" si="57"/>
        <v>1</v>
      </c>
      <c r="E1782" t="str">
        <f t="shared" si="57"/>
        <v/>
      </c>
      <c r="F1782">
        <f t="shared" si="58"/>
        <v>0.3305062963</v>
      </c>
      <c r="G1782" t="str">
        <f t="shared" si="58"/>
        <v/>
      </c>
    </row>
    <row r="1783" spans="1:7" x14ac:dyDescent="0.2">
      <c r="A1783" t="s">
        <v>2</v>
      </c>
      <c r="B1783">
        <v>0.66145592399999997</v>
      </c>
      <c r="C1783">
        <v>1</v>
      </c>
      <c r="D1783">
        <f t="shared" si="57"/>
        <v>1</v>
      </c>
      <c r="E1783" t="str">
        <f t="shared" si="57"/>
        <v/>
      </c>
      <c r="F1783">
        <f t="shared" si="58"/>
        <v>0.66145592399999997</v>
      </c>
      <c r="G1783" t="str">
        <f t="shared" si="58"/>
        <v/>
      </c>
    </row>
    <row r="1784" spans="1:7" x14ac:dyDescent="0.2">
      <c r="A1784" t="s">
        <v>2</v>
      </c>
      <c r="B1784">
        <v>0.47225032150000001</v>
      </c>
      <c r="C1784">
        <v>1</v>
      </c>
      <c r="D1784">
        <f t="shared" si="57"/>
        <v>1</v>
      </c>
      <c r="E1784" t="str">
        <f t="shared" si="57"/>
        <v/>
      </c>
      <c r="F1784">
        <f t="shared" si="58"/>
        <v>0.47225032150000001</v>
      </c>
      <c r="G1784" t="str">
        <f t="shared" si="58"/>
        <v/>
      </c>
    </row>
    <row r="1785" spans="1:7" x14ac:dyDescent="0.2">
      <c r="A1785" t="s">
        <v>2</v>
      </c>
      <c r="B1785">
        <v>0.61033109519999995</v>
      </c>
      <c r="C1785">
        <v>0</v>
      </c>
      <c r="D1785">
        <f t="shared" si="57"/>
        <v>0</v>
      </c>
      <c r="E1785" t="str">
        <f t="shared" si="57"/>
        <v/>
      </c>
      <c r="F1785">
        <f t="shared" si="58"/>
        <v>0.61033109519999995</v>
      </c>
      <c r="G1785" t="str">
        <f t="shared" si="58"/>
        <v/>
      </c>
    </row>
    <row r="1786" spans="1:7" x14ac:dyDescent="0.2">
      <c r="A1786" t="s">
        <v>2</v>
      </c>
      <c r="B1786">
        <v>0.47225032150000001</v>
      </c>
      <c r="C1786">
        <v>0</v>
      </c>
      <c r="D1786">
        <f t="shared" si="57"/>
        <v>0</v>
      </c>
      <c r="E1786" t="str">
        <f t="shared" si="57"/>
        <v/>
      </c>
      <c r="F1786">
        <f t="shared" si="58"/>
        <v>0.47225032150000001</v>
      </c>
      <c r="G1786" t="str">
        <f t="shared" si="58"/>
        <v/>
      </c>
    </row>
    <row r="1787" spans="1:7" x14ac:dyDescent="0.2">
      <c r="A1787" t="s">
        <v>0</v>
      </c>
      <c r="B1787">
        <v>0.16389459370000001</v>
      </c>
      <c r="C1787">
        <v>0</v>
      </c>
      <c r="D1787" t="str">
        <f t="shared" si="57"/>
        <v/>
      </c>
      <c r="E1787">
        <f t="shared" si="57"/>
        <v>0</v>
      </c>
      <c r="F1787" t="str">
        <f t="shared" si="58"/>
        <v/>
      </c>
      <c r="G1787">
        <f t="shared" si="58"/>
        <v>0.16389459370000001</v>
      </c>
    </row>
    <row r="1788" spans="1:7" x14ac:dyDescent="0.2">
      <c r="A1788" t="s">
        <v>0</v>
      </c>
      <c r="B1788">
        <v>0.47519729840000002</v>
      </c>
      <c r="C1788">
        <v>0</v>
      </c>
      <c r="D1788" t="str">
        <f t="shared" si="57"/>
        <v/>
      </c>
      <c r="E1788">
        <f t="shared" si="57"/>
        <v>0</v>
      </c>
      <c r="F1788" t="str">
        <f t="shared" si="58"/>
        <v/>
      </c>
      <c r="G1788">
        <f t="shared" si="58"/>
        <v>0.47519729840000002</v>
      </c>
    </row>
    <row r="1789" spans="1:7" x14ac:dyDescent="0.2">
      <c r="A1789" t="s">
        <v>0</v>
      </c>
      <c r="B1789">
        <v>0.35685933359999999</v>
      </c>
      <c r="C1789">
        <v>0</v>
      </c>
      <c r="D1789" t="str">
        <f t="shared" si="57"/>
        <v/>
      </c>
      <c r="E1789">
        <f t="shared" si="57"/>
        <v>0</v>
      </c>
      <c r="F1789" t="str">
        <f t="shared" si="58"/>
        <v/>
      </c>
      <c r="G1789">
        <f t="shared" si="58"/>
        <v>0.35685933359999999</v>
      </c>
    </row>
    <row r="1790" spans="1:7" x14ac:dyDescent="0.2">
      <c r="A1790" t="s">
        <v>0</v>
      </c>
      <c r="B1790">
        <v>0.1595333025</v>
      </c>
      <c r="C1790">
        <v>0</v>
      </c>
      <c r="D1790" t="str">
        <f t="shared" si="57"/>
        <v/>
      </c>
      <c r="E1790">
        <f t="shared" si="57"/>
        <v>0</v>
      </c>
      <c r="F1790" t="str">
        <f t="shared" si="58"/>
        <v/>
      </c>
      <c r="G1790">
        <f t="shared" si="58"/>
        <v>0.1595333025</v>
      </c>
    </row>
    <row r="1791" spans="1:7" x14ac:dyDescent="0.2">
      <c r="A1791" t="s">
        <v>0</v>
      </c>
      <c r="B1791">
        <v>9.1669649699999994E-2</v>
      </c>
      <c r="C1791">
        <v>0</v>
      </c>
      <c r="D1791" t="str">
        <f t="shared" si="57"/>
        <v/>
      </c>
      <c r="E1791">
        <f t="shared" si="57"/>
        <v>0</v>
      </c>
      <c r="F1791" t="str">
        <f t="shared" si="58"/>
        <v/>
      </c>
      <c r="G1791">
        <f t="shared" si="58"/>
        <v>9.1669649699999994E-2</v>
      </c>
    </row>
    <row r="1792" spans="1:7" x14ac:dyDescent="0.2">
      <c r="A1792" t="s">
        <v>2</v>
      </c>
      <c r="B1792">
        <v>0.25234200880000002</v>
      </c>
      <c r="C1792">
        <v>1</v>
      </c>
      <c r="D1792">
        <f t="shared" si="57"/>
        <v>1</v>
      </c>
      <c r="E1792" t="str">
        <f t="shared" si="57"/>
        <v/>
      </c>
      <c r="F1792">
        <f t="shared" si="58"/>
        <v>0.25234200880000002</v>
      </c>
      <c r="G1792" t="str">
        <f t="shared" si="58"/>
        <v/>
      </c>
    </row>
    <row r="1793" spans="1:7" x14ac:dyDescent="0.2">
      <c r="A1793" t="s">
        <v>2</v>
      </c>
      <c r="B1793">
        <v>0.74370657679999996</v>
      </c>
      <c r="C1793">
        <v>0</v>
      </c>
      <c r="D1793">
        <f t="shared" si="57"/>
        <v>0</v>
      </c>
      <c r="E1793" t="str">
        <f t="shared" si="57"/>
        <v/>
      </c>
      <c r="F1793">
        <f t="shared" si="58"/>
        <v>0.74370657679999996</v>
      </c>
      <c r="G1793" t="str">
        <f t="shared" si="58"/>
        <v/>
      </c>
    </row>
    <row r="1794" spans="1:7" x14ac:dyDescent="0.2">
      <c r="A1794" t="s">
        <v>0</v>
      </c>
      <c r="B1794">
        <v>0.62443499920000001</v>
      </c>
      <c r="C1794">
        <v>0</v>
      </c>
      <c r="D1794" t="str">
        <f t="shared" si="57"/>
        <v/>
      </c>
      <c r="E1794">
        <f t="shared" si="57"/>
        <v>0</v>
      </c>
      <c r="F1794" t="str">
        <f t="shared" si="58"/>
        <v/>
      </c>
      <c r="G1794">
        <f t="shared" si="58"/>
        <v>0.62443499920000001</v>
      </c>
    </row>
    <row r="1795" spans="1:7" x14ac:dyDescent="0.2">
      <c r="A1795" t="s">
        <v>0</v>
      </c>
      <c r="B1795">
        <v>9.5001273900000002E-2</v>
      </c>
      <c r="C1795">
        <v>0</v>
      </c>
      <c r="D1795" t="str">
        <f t="shared" si="57"/>
        <v/>
      </c>
      <c r="E1795">
        <f t="shared" si="57"/>
        <v>0</v>
      </c>
      <c r="F1795" t="str">
        <f t="shared" si="58"/>
        <v/>
      </c>
      <c r="G1795">
        <f t="shared" si="58"/>
        <v>9.5001273900000002E-2</v>
      </c>
    </row>
    <row r="1796" spans="1:7" x14ac:dyDescent="0.2">
      <c r="A1796" t="s">
        <v>2</v>
      </c>
      <c r="B1796">
        <v>0.58584622919999996</v>
      </c>
      <c r="C1796">
        <v>1</v>
      </c>
      <c r="D1796">
        <f t="shared" si="57"/>
        <v>1</v>
      </c>
      <c r="E1796" t="str">
        <f t="shared" si="57"/>
        <v/>
      </c>
      <c r="F1796">
        <f t="shared" si="58"/>
        <v>0.58584622919999996</v>
      </c>
      <c r="G1796" t="str">
        <f t="shared" si="58"/>
        <v/>
      </c>
    </row>
    <row r="1797" spans="1:7" x14ac:dyDescent="0.2">
      <c r="A1797" t="s">
        <v>2</v>
      </c>
      <c r="B1797">
        <v>0.61656430309999999</v>
      </c>
      <c r="C1797">
        <v>0</v>
      </c>
      <c r="D1797">
        <f t="shared" si="57"/>
        <v>0</v>
      </c>
      <c r="E1797" t="str">
        <f t="shared" si="57"/>
        <v/>
      </c>
      <c r="F1797">
        <f t="shared" si="58"/>
        <v>0.61656430309999999</v>
      </c>
      <c r="G1797" t="str">
        <f t="shared" si="58"/>
        <v/>
      </c>
    </row>
    <row r="1798" spans="1:7" x14ac:dyDescent="0.2">
      <c r="A1798" t="s">
        <v>2</v>
      </c>
      <c r="B1798">
        <v>0.40422173169999998</v>
      </c>
      <c r="C1798">
        <v>0</v>
      </c>
      <c r="D1798">
        <f t="shared" si="57"/>
        <v>0</v>
      </c>
      <c r="E1798" t="str">
        <f t="shared" si="57"/>
        <v/>
      </c>
      <c r="F1798">
        <f t="shared" si="58"/>
        <v>0.40422173169999998</v>
      </c>
      <c r="G1798" t="str">
        <f t="shared" si="58"/>
        <v/>
      </c>
    </row>
    <row r="1799" spans="1:7" x14ac:dyDescent="0.2">
      <c r="A1799" t="s">
        <v>2</v>
      </c>
      <c r="B1799">
        <v>0.57276107890000005</v>
      </c>
      <c r="C1799">
        <v>1</v>
      </c>
      <c r="D1799">
        <f t="shared" si="57"/>
        <v>1</v>
      </c>
      <c r="E1799" t="str">
        <f t="shared" si="57"/>
        <v/>
      </c>
      <c r="F1799">
        <f t="shared" si="58"/>
        <v>0.57276107890000005</v>
      </c>
      <c r="G1799" t="str">
        <f t="shared" si="58"/>
        <v/>
      </c>
    </row>
    <row r="1800" spans="1:7" x14ac:dyDescent="0.2">
      <c r="A1800" t="s">
        <v>0</v>
      </c>
      <c r="B1800">
        <v>0.25523969149999998</v>
      </c>
      <c r="C1800">
        <v>0</v>
      </c>
      <c r="D1800" t="str">
        <f t="shared" si="57"/>
        <v/>
      </c>
      <c r="E1800">
        <f t="shared" si="57"/>
        <v>0</v>
      </c>
      <c r="F1800" t="str">
        <f t="shared" si="58"/>
        <v/>
      </c>
      <c r="G1800">
        <f t="shared" si="58"/>
        <v>0.25523969149999998</v>
      </c>
    </row>
    <row r="1801" spans="1:7" x14ac:dyDescent="0.2">
      <c r="A1801" t="s">
        <v>2</v>
      </c>
      <c r="B1801">
        <v>0.48236799339999997</v>
      </c>
      <c r="C1801">
        <v>0</v>
      </c>
      <c r="D1801">
        <f t="shared" si="57"/>
        <v>0</v>
      </c>
      <c r="E1801" t="str">
        <f t="shared" si="57"/>
        <v/>
      </c>
      <c r="F1801">
        <f t="shared" si="58"/>
        <v>0.48236799339999997</v>
      </c>
      <c r="G1801" t="str">
        <f t="shared" si="58"/>
        <v/>
      </c>
    </row>
    <row r="1802" spans="1:7" x14ac:dyDescent="0.2">
      <c r="A1802" t="s">
        <v>2</v>
      </c>
      <c r="B1802">
        <v>0.24774235180000001</v>
      </c>
      <c r="C1802">
        <v>1</v>
      </c>
      <c r="D1802">
        <f t="shared" si="57"/>
        <v>1</v>
      </c>
      <c r="E1802" t="str">
        <f t="shared" si="57"/>
        <v/>
      </c>
      <c r="F1802">
        <f t="shared" si="58"/>
        <v>0.24774235180000001</v>
      </c>
      <c r="G1802" t="str">
        <f t="shared" si="58"/>
        <v/>
      </c>
    </row>
    <row r="1803" spans="1:7" x14ac:dyDescent="0.2">
      <c r="A1803" t="s">
        <v>2</v>
      </c>
      <c r="B1803">
        <v>0.64474336109999997</v>
      </c>
      <c r="C1803">
        <v>0</v>
      </c>
      <c r="D1803">
        <f t="shared" si="57"/>
        <v>0</v>
      </c>
      <c r="E1803" t="str">
        <f t="shared" si="57"/>
        <v/>
      </c>
      <c r="F1803">
        <f t="shared" si="58"/>
        <v>0.64474336109999997</v>
      </c>
      <c r="G1803" t="str">
        <f t="shared" si="58"/>
        <v/>
      </c>
    </row>
    <row r="1804" spans="1:7" x14ac:dyDescent="0.2">
      <c r="A1804" t="s">
        <v>2</v>
      </c>
      <c r="B1804">
        <v>0.58474844640000001</v>
      </c>
      <c r="C1804">
        <v>0</v>
      </c>
      <c r="D1804">
        <f t="shared" si="57"/>
        <v>0</v>
      </c>
      <c r="E1804" t="str">
        <f t="shared" si="57"/>
        <v/>
      </c>
      <c r="F1804">
        <f t="shared" si="58"/>
        <v>0.58474844640000001</v>
      </c>
      <c r="G1804" t="str">
        <f t="shared" si="58"/>
        <v/>
      </c>
    </row>
    <row r="1805" spans="1:7" x14ac:dyDescent="0.2">
      <c r="A1805" t="s">
        <v>0</v>
      </c>
      <c r="B1805">
        <v>0.36646841769999999</v>
      </c>
      <c r="C1805">
        <v>0</v>
      </c>
      <c r="D1805" t="str">
        <f t="shared" si="57"/>
        <v/>
      </c>
      <c r="E1805">
        <f t="shared" si="57"/>
        <v>0</v>
      </c>
      <c r="F1805" t="str">
        <f t="shared" si="58"/>
        <v/>
      </c>
      <c r="G1805">
        <f t="shared" si="58"/>
        <v>0.36646841769999999</v>
      </c>
    </row>
    <row r="1806" spans="1:7" x14ac:dyDescent="0.2">
      <c r="A1806" t="s">
        <v>2</v>
      </c>
      <c r="B1806">
        <v>0.4289865363</v>
      </c>
      <c r="C1806">
        <v>0</v>
      </c>
      <c r="D1806">
        <f t="shared" si="57"/>
        <v>0</v>
      </c>
      <c r="E1806" t="str">
        <f t="shared" si="57"/>
        <v/>
      </c>
      <c r="F1806">
        <f t="shared" si="58"/>
        <v>0.4289865363</v>
      </c>
      <c r="G1806" t="str">
        <f t="shared" si="58"/>
        <v/>
      </c>
    </row>
    <row r="1807" spans="1:7" x14ac:dyDescent="0.2">
      <c r="A1807" t="s">
        <v>0</v>
      </c>
      <c r="B1807">
        <v>0.11168810210000001</v>
      </c>
      <c r="C1807">
        <v>0</v>
      </c>
      <c r="D1807" t="str">
        <f t="shared" si="57"/>
        <v/>
      </c>
      <c r="E1807">
        <f t="shared" si="57"/>
        <v>0</v>
      </c>
      <c r="F1807" t="str">
        <f t="shared" si="58"/>
        <v/>
      </c>
      <c r="G1807">
        <f t="shared" si="58"/>
        <v>0.11168810210000001</v>
      </c>
    </row>
    <row r="1808" spans="1:7" x14ac:dyDescent="0.2">
      <c r="A1808" t="s">
        <v>2</v>
      </c>
      <c r="B1808">
        <v>0.27532065880000001</v>
      </c>
      <c r="C1808">
        <v>0</v>
      </c>
      <c r="D1808">
        <f t="shared" si="57"/>
        <v>0</v>
      </c>
      <c r="E1808" t="str">
        <f t="shared" si="57"/>
        <v/>
      </c>
      <c r="F1808">
        <f t="shared" si="58"/>
        <v>0.27532065880000001</v>
      </c>
      <c r="G1808" t="str">
        <f t="shared" si="58"/>
        <v/>
      </c>
    </row>
    <row r="1809" spans="1:7" x14ac:dyDescent="0.2">
      <c r="A1809" t="s">
        <v>2</v>
      </c>
      <c r="B1809">
        <v>0.1280625604</v>
      </c>
      <c r="C1809">
        <v>1</v>
      </c>
      <c r="D1809">
        <f t="shared" si="57"/>
        <v>1</v>
      </c>
      <c r="E1809" t="str">
        <f t="shared" si="57"/>
        <v/>
      </c>
      <c r="F1809">
        <f t="shared" si="58"/>
        <v>0.1280625604</v>
      </c>
      <c r="G1809" t="str">
        <f t="shared" si="58"/>
        <v/>
      </c>
    </row>
    <row r="1810" spans="1:7" x14ac:dyDescent="0.2">
      <c r="A1810" t="s">
        <v>2</v>
      </c>
      <c r="B1810">
        <v>0.25174765980000002</v>
      </c>
      <c r="C1810">
        <v>1</v>
      </c>
      <c r="D1810">
        <f t="shared" si="57"/>
        <v>1</v>
      </c>
      <c r="E1810" t="str">
        <f t="shared" si="57"/>
        <v/>
      </c>
      <c r="F1810">
        <f t="shared" si="58"/>
        <v>0.25174765980000002</v>
      </c>
      <c r="G1810" t="str">
        <f t="shared" si="58"/>
        <v/>
      </c>
    </row>
    <row r="1811" spans="1:7" x14ac:dyDescent="0.2">
      <c r="A1811" t="s">
        <v>2</v>
      </c>
      <c r="B1811">
        <v>0.74971394599999996</v>
      </c>
      <c r="C1811">
        <v>1</v>
      </c>
      <c r="D1811">
        <f t="shared" si="57"/>
        <v>1</v>
      </c>
      <c r="E1811" t="str">
        <f t="shared" si="57"/>
        <v/>
      </c>
      <c r="F1811">
        <f t="shared" si="58"/>
        <v>0.74971394599999996</v>
      </c>
      <c r="G1811" t="str">
        <f t="shared" si="58"/>
        <v/>
      </c>
    </row>
    <row r="1812" spans="1:7" x14ac:dyDescent="0.2">
      <c r="A1812" t="s">
        <v>0</v>
      </c>
      <c r="B1812">
        <v>0.470146165</v>
      </c>
      <c r="C1812">
        <v>1</v>
      </c>
      <c r="D1812" t="str">
        <f t="shared" si="57"/>
        <v/>
      </c>
      <c r="E1812">
        <f t="shared" si="57"/>
        <v>1</v>
      </c>
      <c r="F1812" t="str">
        <f t="shared" si="58"/>
        <v/>
      </c>
      <c r="G1812">
        <f t="shared" si="58"/>
        <v>0.470146165</v>
      </c>
    </row>
    <row r="1813" spans="1:7" x14ac:dyDescent="0.2">
      <c r="A1813" t="s">
        <v>2</v>
      </c>
      <c r="B1813">
        <v>9.19602261E-2</v>
      </c>
      <c r="C1813">
        <v>0</v>
      </c>
      <c r="D1813">
        <f t="shared" si="57"/>
        <v>0</v>
      </c>
      <c r="E1813" t="str">
        <f t="shared" si="57"/>
        <v/>
      </c>
      <c r="F1813">
        <f t="shared" si="58"/>
        <v>9.19602261E-2</v>
      </c>
      <c r="G1813" t="str">
        <f t="shared" si="58"/>
        <v/>
      </c>
    </row>
    <row r="1814" spans="1:7" x14ac:dyDescent="0.2">
      <c r="A1814" t="s">
        <v>2</v>
      </c>
      <c r="B1814">
        <v>0.2566892113</v>
      </c>
      <c r="C1814">
        <v>1</v>
      </c>
      <c r="D1814">
        <f t="shared" si="57"/>
        <v>1</v>
      </c>
      <c r="E1814" t="str">
        <f t="shared" si="57"/>
        <v/>
      </c>
      <c r="F1814">
        <f t="shared" si="58"/>
        <v>0.2566892113</v>
      </c>
      <c r="G1814" t="str">
        <f t="shared" si="58"/>
        <v/>
      </c>
    </row>
    <row r="1815" spans="1:7" x14ac:dyDescent="0.2">
      <c r="A1815" t="s">
        <v>2</v>
      </c>
      <c r="B1815">
        <v>9.3614152500000006E-2</v>
      </c>
      <c r="C1815">
        <v>0</v>
      </c>
      <c r="D1815">
        <f t="shared" si="57"/>
        <v>0</v>
      </c>
      <c r="E1815" t="str">
        <f t="shared" si="57"/>
        <v/>
      </c>
      <c r="F1815">
        <f t="shared" si="58"/>
        <v>9.3614152500000006E-2</v>
      </c>
      <c r="G1815" t="str">
        <f t="shared" si="58"/>
        <v/>
      </c>
    </row>
    <row r="1816" spans="1:7" x14ac:dyDescent="0.2">
      <c r="A1816" t="s">
        <v>2</v>
      </c>
      <c r="B1816">
        <v>0.50023388209999997</v>
      </c>
      <c r="C1816">
        <v>0</v>
      </c>
      <c r="D1816">
        <f t="shared" si="57"/>
        <v>0</v>
      </c>
      <c r="E1816" t="str">
        <f t="shared" si="57"/>
        <v/>
      </c>
      <c r="F1816">
        <f t="shared" si="58"/>
        <v>0.50023388209999997</v>
      </c>
      <c r="G1816" t="str">
        <f t="shared" si="58"/>
        <v/>
      </c>
    </row>
    <row r="1817" spans="1:7" x14ac:dyDescent="0.2">
      <c r="A1817" t="s">
        <v>2</v>
      </c>
      <c r="B1817">
        <v>0.15030104420000001</v>
      </c>
      <c r="C1817">
        <v>1</v>
      </c>
      <c r="D1817">
        <f t="shared" si="57"/>
        <v>1</v>
      </c>
      <c r="E1817" t="str">
        <f t="shared" si="57"/>
        <v/>
      </c>
      <c r="F1817">
        <f t="shared" si="58"/>
        <v>0.15030104420000001</v>
      </c>
      <c r="G1817" t="str">
        <f t="shared" si="58"/>
        <v/>
      </c>
    </row>
    <row r="1818" spans="1:7" x14ac:dyDescent="0.2">
      <c r="A1818" t="s">
        <v>0</v>
      </c>
      <c r="B1818">
        <v>0.58802315770000002</v>
      </c>
      <c r="C1818">
        <v>0</v>
      </c>
      <c r="D1818" t="str">
        <f t="shared" si="57"/>
        <v/>
      </c>
      <c r="E1818">
        <f t="shared" si="57"/>
        <v>0</v>
      </c>
      <c r="F1818" t="str">
        <f t="shared" si="58"/>
        <v/>
      </c>
      <c r="G1818">
        <f t="shared" si="58"/>
        <v>0.58802315770000002</v>
      </c>
    </row>
    <row r="1819" spans="1:7" x14ac:dyDescent="0.2">
      <c r="A1819" t="s">
        <v>2</v>
      </c>
      <c r="B1819">
        <v>0.22148524010000001</v>
      </c>
      <c r="C1819">
        <v>0</v>
      </c>
      <c r="D1819">
        <f t="shared" si="57"/>
        <v>0</v>
      </c>
      <c r="E1819" t="str">
        <f t="shared" si="57"/>
        <v/>
      </c>
      <c r="F1819">
        <f t="shared" si="58"/>
        <v>0.22148524010000001</v>
      </c>
      <c r="G1819" t="str">
        <f t="shared" si="58"/>
        <v/>
      </c>
    </row>
    <row r="1820" spans="1:7" x14ac:dyDescent="0.2">
      <c r="A1820" t="s">
        <v>0</v>
      </c>
      <c r="B1820">
        <v>0.37266182370000001</v>
      </c>
      <c r="C1820">
        <v>0</v>
      </c>
      <c r="D1820" t="str">
        <f t="shared" si="57"/>
        <v/>
      </c>
      <c r="E1820">
        <f t="shared" si="57"/>
        <v>0</v>
      </c>
      <c r="F1820" t="str">
        <f t="shared" si="58"/>
        <v/>
      </c>
      <c r="G1820">
        <f t="shared" si="58"/>
        <v>0.37266182370000001</v>
      </c>
    </row>
    <row r="1821" spans="1:7" x14ac:dyDescent="0.2">
      <c r="A1821" t="s">
        <v>2</v>
      </c>
      <c r="B1821">
        <v>0.35479400379999998</v>
      </c>
      <c r="C1821">
        <v>0</v>
      </c>
      <c r="D1821">
        <f t="shared" si="57"/>
        <v>0</v>
      </c>
      <c r="E1821" t="str">
        <f t="shared" si="57"/>
        <v/>
      </c>
      <c r="F1821">
        <f t="shared" si="58"/>
        <v>0.35479400379999998</v>
      </c>
      <c r="G1821" t="str">
        <f t="shared" si="58"/>
        <v/>
      </c>
    </row>
    <row r="1822" spans="1:7" x14ac:dyDescent="0.2">
      <c r="A1822" t="s">
        <v>2</v>
      </c>
      <c r="B1822">
        <v>0.47829606149999998</v>
      </c>
      <c r="C1822">
        <v>0</v>
      </c>
      <c r="D1822">
        <f t="shared" si="57"/>
        <v>0</v>
      </c>
      <c r="E1822" t="str">
        <f t="shared" si="57"/>
        <v/>
      </c>
      <c r="F1822">
        <f t="shared" si="58"/>
        <v>0.47829606149999998</v>
      </c>
      <c r="G1822" t="str">
        <f t="shared" si="58"/>
        <v/>
      </c>
    </row>
    <row r="1823" spans="1:7" x14ac:dyDescent="0.2">
      <c r="A1823" t="s">
        <v>0</v>
      </c>
      <c r="B1823">
        <v>0.32263623730000002</v>
      </c>
      <c r="C1823">
        <v>0</v>
      </c>
      <c r="D1823" t="str">
        <f t="shared" si="57"/>
        <v/>
      </c>
      <c r="E1823">
        <f t="shared" si="57"/>
        <v>0</v>
      </c>
      <c r="F1823" t="str">
        <f t="shared" si="58"/>
        <v/>
      </c>
      <c r="G1823">
        <f t="shared" si="58"/>
        <v>0.32263623730000002</v>
      </c>
    </row>
    <row r="1824" spans="1:7" x14ac:dyDescent="0.2">
      <c r="A1824" t="s">
        <v>0</v>
      </c>
      <c r="B1824">
        <v>0.66259163919999997</v>
      </c>
      <c r="C1824">
        <v>1</v>
      </c>
      <c r="D1824" t="str">
        <f t="shared" si="57"/>
        <v/>
      </c>
      <c r="E1824">
        <f t="shared" si="57"/>
        <v>1</v>
      </c>
      <c r="F1824" t="str">
        <f t="shared" si="58"/>
        <v/>
      </c>
      <c r="G1824">
        <f t="shared" si="58"/>
        <v>0.66259163919999997</v>
      </c>
    </row>
    <row r="1825" spans="1:7" x14ac:dyDescent="0.2">
      <c r="A1825" t="s">
        <v>0</v>
      </c>
      <c r="B1825">
        <v>0.3646847211</v>
      </c>
      <c r="C1825">
        <v>0</v>
      </c>
      <c r="D1825" t="str">
        <f t="shared" si="57"/>
        <v/>
      </c>
      <c r="E1825">
        <f t="shared" si="57"/>
        <v>0</v>
      </c>
      <c r="F1825" t="str">
        <f t="shared" si="58"/>
        <v/>
      </c>
      <c r="G1825">
        <f t="shared" si="58"/>
        <v>0.3646847211</v>
      </c>
    </row>
    <row r="1826" spans="1:7" x14ac:dyDescent="0.2">
      <c r="A1826" t="s">
        <v>2</v>
      </c>
      <c r="B1826">
        <v>0.62136464550000003</v>
      </c>
      <c r="C1826">
        <v>0</v>
      </c>
      <c r="D1826">
        <f t="shared" si="57"/>
        <v>0</v>
      </c>
      <c r="E1826" t="str">
        <f t="shared" si="57"/>
        <v/>
      </c>
      <c r="F1826">
        <f t="shared" si="58"/>
        <v>0.62136464550000003</v>
      </c>
      <c r="G1826" t="str">
        <f t="shared" si="58"/>
        <v/>
      </c>
    </row>
    <row r="1827" spans="1:7" x14ac:dyDescent="0.2">
      <c r="A1827" t="s">
        <v>2</v>
      </c>
      <c r="B1827">
        <v>0.3290356794</v>
      </c>
      <c r="C1827">
        <v>0</v>
      </c>
      <c r="D1827">
        <f t="shared" si="57"/>
        <v>0</v>
      </c>
      <c r="E1827" t="str">
        <f t="shared" si="57"/>
        <v/>
      </c>
      <c r="F1827">
        <f t="shared" si="58"/>
        <v>0.3290356794</v>
      </c>
      <c r="G1827" t="str">
        <f t="shared" si="58"/>
        <v/>
      </c>
    </row>
    <row r="1828" spans="1:7" x14ac:dyDescent="0.2">
      <c r="A1828" t="s">
        <v>0</v>
      </c>
      <c r="B1828">
        <v>0.1467279608</v>
      </c>
      <c r="C1828">
        <v>0</v>
      </c>
      <c r="D1828" t="str">
        <f t="shared" si="57"/>
        <v/>
      </c>
      <c r="E1828">
        <f t="shared" si="57"/>
        <v>0</v>
      </c>
      <c r="F1828" t="str">
        <f t="shared" si="58"/>
        <v/>
      </c>
      <c r="G1828">
        <f t="shared" si="58"/>
        <v>0.1467279608</v>
      </c>
    </row>
    <row r="1829" spans="1:7" x14ac:dyDescent="0.2">
      <c r="A1829" t="s">
        <v>2</v>
      </c>
      <c r="B1829">
        <v>0.77755561169999998</v>
      </c>
      <c r="C1829">
        <v>1</v>
      </c>
      <c r="D1829">
        <f t="shared" si="57"/>
        <v>1</v>
      </c>
      <c r="E1829" t="str">
        <f t="shared" si="57"/>
        <v/>
      </c>
      <c r="F1829">
        <f t="shared" si="58"/>
        <v>0.77755561169999998</v>
      </c>
      <c r="G1829" t="str">
        <f t="shared" si="58"/>
        <v/>
      </c>
    </row>
    <row r="1830" spans="1:7" x14ac:dyDescent="0.2">
      <c r="A1830" t="s">
        <v>2</v>
      </c>
      <c r="B1830">
        <v>0.43710596410000002</v>
      </c>
      <c r="C1830">
        <v>1</v>
      </c>
      <c r="D1830">
        <f t="shared" si="57"/>
        <v>1</v>
      </c>
      <c r="E1830" t="str">
        <f t="shared" si="57"/>
        <v/>
      </c>
      <c r="F1830">
        <f t="shared" si="58"/>
        <v>0.43710596410000002</v>
      </c>
      <c r="G1830" t="str">
        <f t="shared" si="58"/>
        <v/>
      </c>
    </row>
    <row r="1831" spans="1:7" x14ac:dyDescent="0.2">
      <c r="A1831" t="s">
        <v>0</v>
      </c>
      <c r="B1831">
        <v>0.2548685034</v>
      </c>
      <c r="C1831">
        <v>1</v>
      </c>
      <c r="D1831" t="str">
        <f t="shared" si="57"/>
        <v/>
      </c>
      <c r="E1831">
        <f t="shared" si="57"/>
        <v>1</v>
      </c>
      <c r="F1831" t="str">
        <f t="shared" si="58"/>
        <v/>
      </c>
      <c r="G1831">
        <f t="shared" si="58"/>
        <v>0.2548685034</v>
      </c>
    </row>
    <row r="1832" spans="1:7" x14ac:dyDescent="0.2">
      <c r="A1832" t="s">
        <v>2</v>
      </c>
      <c r="B1832">
        <v>0.19959565300000001</v>
      </c>
      <c r="C1832">
        <v>1</v>
      </c>
      <c r="D1832">
        <f t="shared" si="57"/>
        <v>1</v>
      </c>
      <c r="E1832" t="str">
        <f t="shared" si="57"/>
        <v/>
      </c>
      <c r="F1832">
        <f t="shared" si="58"/>
        <v>0.19959565300000001</v>
      </c>
      <c r="G1832" t="str">
        <f t="shared" si="58"/>
        <v/>
      </c>
    </row>
    <row r="1833" spans="1:7" x14ac:dyDescent="0.2">
      <c r="A1833" t="s">
        <v>2</v>
      </c>
      <c r="B1833">
        <v>0.35986627869999999</v>
      </c>
      <c r="C1833">
        <v>1</v>
      </c>
      <c r="D1833">
        <f t="shared" si="57"/>
        <v>1</v>
      </c>
      <c r="E1833" t="str">
        <f t="shared" si="57"/>
        <v/>
      </c>
      <c r="F1833">
        <f t="shared" si="58"/>
        <v>0.35986627869999999</v>
      </c>
      <c r="G1833" t="str">
        <f t="shared" si="58"/>
        <v/>
      </c>
    </row>
    <row r="1834" spans="1:7" x14ac:dyDescent="0.2">
      <c r="A1834" t="s">
        <v>2</v>
      </c>
      <c r="B1834">
        <v>0.25234200880000002</v>
      </c>
      <c r="C1834">
        <v>1</v>
      </c>
      <c r="D1834">
        <f t="shared" si="57"/>
        <v>1</v>
      </c>
      <c r="E1834" t="str">
        <f t="shared" si="57"/>
        <v/>
      </c>
      <c r="F1834">
        <f t="shared" si="58"/>
        <v>0.25234200880000002</v>
      </c>
      <c r="G1834" t="str">
        <f t="shared" si="58"/>
        <v/>
      </c>
    </row>
    <row r="1835" spans="1:7" x14ac:dyDescent="0.2">
      <c r="A1835" t="s">
        <v>2</v>
      </c>
      <c r="B1835">
        <v>0.11278377439999999</v>
      </c>
      <c r="C1835">
        <v>0</v>
      </c>
      <c r="D1835">
        <f t="shared" ref="D1835:E1886" si="59">IF($A1835=D$1,$C1835,"")</f>
        <v>0</v>
      </c>
      <c r="E1835" t="str">
        <f t="shared" si="59"/>
        <v/>
      </c>
      <c r="F1835">
        <f t="shared" ref="F1835:G1886" si="60">IF($A1835=F$1,$B1835,"")</f>
        <v>0.11278377439999999</v>
      </c>
      <c r="G1835" t="str">
        <f t="shared" si="60"/>
        <v/>
      </c>
    </row>
    <row r="1836" spans="1:7" x14ac:dyDescent="0.2">
      <c r="A1836" t="s">
        <v>2</v>
      </c>
      <c r="B1836">
        <v>0.51624326909999996</v>
      </c>
      <c r="C1836">
        <v>1</v>
      </c>
      <c r="D1836">
        <f t="shared" si="59"/>
        <v>1</v>
      </c>
      <c r="E1836" t="str">
        <f t="shared" si="59"/>
        <v/>
      </c>
      <c r="F1836">
        <f t="shared" si="60"/>
        <v>0.51624326909999996</v>
      </c>
      <c r="G1836" t="str">
        <f t="shared" si="60"/>
        <v/>
      </c>
    </row>
    <row r="1837" spans="1:7" x14ac:dyDescent="0.2">
      <c r="A1837" t="s">
        <v>2</v>
      </c>
      <c r="B1837">
        <v>0.38178322190000002</v>
      </c>
      <c r="C1837">
        <v>0</v>
      </c>
      <c r="D1837">
        <f t="shared" si="59"/>
        <v>0</v>
      </c>
      <c r="E1837" t="str">
        <f t="shared" si="59"/>
        <v/>
      </c>
      <c r="F1837">
        <f t="shared" si="60"/>
        <v>0.38178322190000002</v>
      </c>
      <c r="G1837" t="str">
        <f t="shared" si="60"/>
        <v/>
      </c>
    </row>
    <row r="1838" spans="1:7" x14ac:dyDescent="0.2">
      <c r="A1838" t="s">
        <v>2</v>
      </c>
      <c r="B1838">
        <v>0.4250146306</v>
      </c>
      <c r="C1838">
        <v>0</v>
      </c>
      <c r="D1838">
        <f t="shared" si="59"/>
        <v>0</v>
      </c>
      <c r="E1838" t="str">
        <f t="shared" si="59"/>
        <v/>
      </c>
      <c r="F1838">
        <f t="shared" si="60"/>
        <v>0.4250146306</v>
      </c>
      <c r="G1838" t="str">
        <f t="shared" si="60"/>
        <v/>
      </c>
    </row>
    <row r="1839" spans="1:7" x14ac:dyDescent="0.2">
      <c r="A1839" t="s">
        <v>0</v>
      </c>
      <c r="B1839">
        <v>0.37857777819999999</v>
      </c>
      <c r="C1839">
        <v>0</v>
      </c>
      <c r="D1839" t="str">
        <f t="shared" si="59"/>
        <v/>
      </c>
      <c r="E1839">
        <f t="shared" si="59"/>
        <v>0</v>
      </c>
      <c r="F1839" t="str">
        <f t="shared" si="60"/>
        <v/>
      </c>
      <c r="G1839">
        <f t="shared" si="60"/>
        <v>0.37857777819999999</v>
      </c>
    </row>
    <row r="1840" spans="1:7" x14ac:dyDescent="0.2">
      <c r="A1840" t="s">
        <v>0</v>
      </c>
      <c r="B1840">
        <v>0.3756955797</v>
      </c>
      <c r="C1840">
        <v>1</v>
      </c>
      <c r="D1840" t="str">
        <f t="shared" si="59"/>
        <v/>
      </c>
      <c r="E1840">
        <f t="shared" si="59"/>
        <v>1</v>
      </c>
      <c r="F1840" t="str">
        <f t="shared" si="60"/>
        <v/>
      </c>
      <c r="G1840">
        <f t="shared" si="60"/>
        <v>0.3756955797</v>
      </c>
    </row>
    <row r="1841" spans="1:7" x14ac:dyDescent="0.2">
      <c r="A1841" t="s">
        <v>2</v>
      </c>
      <c r="B1841">
        <v>0.55888215620000004</v>
      </c>
      <c r="C1841">
        <v>1</v>
      </c>
      <c r="D1841">
        <f t="shared" si="59"/>
        <v>1</v>
      </c>
      <c r="E1841" t="str">
        <f t="shared" si="59"/>
        <v/>
      </c>
      <c r="F1841">
        <f t="shared" si="60"/>
        <v>0.55888215620000004</v>
      </c>
      <c r="G1841" t="str">
        <f t="shared" si="60"/>
        <v/>
      </c>
    </row>
    <row r="1842" spans="1:7" x14ac:dyDescent="0.2">
      <c r="A1842" t="s">
        <v>2</v>
      </c>
      <c r="B1842">
        <v>0.24838255179999999</v>
      </c>
      <c r="C1842">
        <v>0</v>
      </c>
      <c r="D1842">
        <f t="shared" si="59"/>
        <v>0</v>
      </c>
      <c r="E1842" t="str">
        <f t="shared" si="59"/>
        <v/>
      </c>
      <c r="F1842">
        <f t="shared" si="60"/>
        <v>0.24838255179999999</v>
      </c>
      <c r="G1842" t="str">
        <f t="shared" si="60"/>
        <v/>
      </c>
    </row>
    <row r="1843" spans="1:7" x14ac:dyDescent="0.2">
      <c r="A1843" t="s">
        <v>0</v>
      </c>
      <c r="B1843">
        <v>0.1788399175</v>
      </c>
      <c r="C1843">
        <v>1</v>
      </c>
      <c r="D1843" t="str">
        <f t="shared" si="59"/>
        <v/>
      </c>
      <c r="E1843">
        <f t="shared" si="59"/>
        <v>1</v>
      </c>
      <c r="F1843" t="str">
        <f t="shared" si="60"/>
        <v/>
      </c>
      <c r="G1843">
        <f t="shared" si="60"/>
        <v>0.1788399175</v>
      </c>
    </row>
    <row r="1844" spans="1:7" x14ac:dyDescent="0.2">
      <c r="A1844" t="s">
        <v>0</v>
      </c>
      <c r="B1844">
        <v>0.49808526479999998</v>
      </c>
      <c r="C1844">
        <v>1</v>
      </c>
      <c r="D1844" t="str">
        <f t="shared" si="59"/>
        <v/>
      </c>
      <c r="E1844">
        <f t="shared" si="59"/>
        <v>1</v>
      </c>
      <c r="F1844" t="str">
        <f t="shared" si="60"/>
        <v/>
      </c>
      <c r="G1844">
        <f t="shared" si="60"/>
        <v>0.49808526479999998</v>
      </c>
    </row>
    <row r="1845" spans="1:7" x14ac:dyDescent="0.2">
      <c r="A1845" t="s">
        <v>0</v>
      </c>
      <c r="B1845">
        <v>0.2119841552</v>
      </c>
      <c r="C1845">
        <v>0</v>
      </c>
      <c r="D1845" t="str">
        <f t="shared" si="59"/>
        <v/>
      </c>
      <c r="E1845">
        <f t="shared" si="59"/>
        <v>0</v>
      </c>
      <c r="F1845" t="str">
        <f t="shared" si="60"/>
        <v/>
      </c>
      <c r="G1845">
        <f t="shared" si="60"/>
        <v>0.2119841552</v>
      </c>
    </row>
    <row r="1846" spans="1:7" x14ac:dyDescent="0.2">
      <c r="A1846" t="s">
        <v>0</v>
      </c>
      <c r="B1846">
        <v>0.39934043470000002</v>
      </c>
      <c r="C1846">
        <v>0</v>
      </c>
      <c r="D1846" t="str">
        <f t="shared" si="59"/>
        <v/>
      </c>
      <c r="E1846">
        <f t="shared" si="59"/>
        <v>0</v>
      </c>
      <c r="F1846" t="str">
        <f t="shared" si="60"/>
        <v/>
      </c>
      <c r="G1846">
        <f t="shared" si="60"/>
        <v>0.39934043470000002</v>
      </c>
    </row>
    <row r="1847" spans="1:7" x14ac:dyDescent="0.2">
      <c r="A1847" t="s">
        <v>0</v>
      </c>
      <c r="B1847">
        <v>0.1095387515</v>
      </c>
      <c r="C1847">
        <v>0</v>
      </c>
      <c r="D1847" t="str">
        <f t="shared" si="59"/>
        <v/>
      </c>
      <c r="E1847">
        <f t="shared" si="59"/>
        <v>0</v>
      </c>
      <c r="F1847" t="str">
        <f t="shared" si="60"/>
        <v/>
      </c>
      <c r="G1847">
        <f t="shared" si="60"/>
        <v>0.1095387515</v>
      </c>
    </row>
    <row r="1848" spans="1:7" x14ac:dyDescent="0.2">
      <c r="A1848" t="s">
        <v>2</v>
      </c>
      <c r="B1848">
        <v>0.80211223639999996</v>
      </c>
      <c r="C1848">
        <v>1</v>
      </c>
      <c r="D1848">
        <f t="shared" si="59"/>
        <v>1</v>
      </c>
      <c r="E1848" t="str">
        <f t="shared" si="59"/>
        <v/>
      </c>
      <c r="F1848">
        <f t="shared" si="60"/>
        <v>0.80211223639999996</v>
      </c>
      <c r="G1848" t="str">
        <f t="shared" si="60"/>
        <v/>
      </c>
    </row>
    <row r="1849" spans="1:7" x14ac:dyDescent="0.2">
      <c r="A1849" t="s">
        <v>0</v>
      </c>
      <c r="B1849">
        <v>0.1992189473</v>
      </c>
      <c r="C1849">
        <v>0</v>
      </c>
      <c r="D1849" t="str">
        <f t="shared" si="59"/>
        <v/>
      </c>
      <c r="E1849">
        <f t="shared" si="59"/>
        <v>0</v>
      </c>
      <c r="F1849" t="str">
        <f t="shared" si="60"/>
        <v/>
      </c>
      <c r="G1849">
        <f t="shared" si="60"/>
        <v>0.1992189473</v>
      </c>
    </row>
    <row r="1850" spans="1:7" x14ac:dyDescent="0.2">
      <c r="A1850" t="s">
        <v>2</v>
      </c>
      <c r="B1850">
        <v>0.15022160009999999</v>
      </c>
      <c r="C1850">
        <v>0</v>
      </c>
      <c r="D1850">
        <f t="shared" si="59"/>
        <v>0</v>
      </c>
      <c r="E1850" t="str">
        <f t="shared" si="59"/>
        <v/>
      </c>
      <c r="F1850">
        <f t="shared" si="60"/>
        <v>0.15022160009999999</v>
      </c>
      <c r="G1850" t="str">
        <f t="shared" si="60"/>
        <v/>
      </c>
    </row>
    <row r="1851" spans="1:7" x14ac:dyDescent="0.2">
      <c r="A1851" t="s">
        <v>0</v>
      </c>
      <c r="B1851">
        <v>0.4153966127</v>
      </c>
      <c r="C1851">
        <v>0</v>
      </c>
      <c r="D1851" t="str">
        <f t="shared" si="59"/>
        <v/>
      </c>
      <c r="E1851">
        <f t="shared" si="59"/>
        <v>0</v>
      </c>
      <c r="F1851" t="str">
        <f t="shared" si="60"/>
        <v/>
      </c>
      <c r="G1851">
        <f t="shared" si="60"/>
        <v>0.4153966127</v>
      </c>
    </row>
    <row r="1852" spans="1:7" x14ac:dyDescent="0.2">
      <c r="A1852" t="s">
        <v>0</v>
      </c>
      <c r="B1852">
        <v>0.52390810659999998</v>
      </c>
      <c r="C1852">
        <v>0</v>
      </c>
      <c r="D1852" t="str">
        <f t="shared" si="59"/>
        <v/>
      </c>
      <c r="E1852">
        <f t="shared" si="59"/>
        <v>0</v>
      </c>
      <c r="F1852" t="str">
        <f t="shared" si="60"/>
        <v/>
      </c>
      <c r="G1852">
        <f t="shared" si="60"/>
        <v>0.52390810659999998</v>
      </c>
    </row>
    <row r="1853" spans="1:7" x14ac:dyDescent="0.2">
      <c r="A1853" t="s">
        <v>2</v>
      </c>
      <c r="B1853">
        <v>0.77987798519999996</v>
      </c>
      <c r="C1853">
        <v>1</v>
      </c>
      <c r="D1853">
        <f t="shared" si="59"/>
        <v>1</v>
      </c>
      <c r="E1853" t="str">
        <f t="shared" si="59"/>
        <v/>
      </c>
      <c r="F1853">
        <f t="shared" si="60"/>
        <v>0.77987798519999996</v>
      </c>
      <c r="G1853" t="str">
        <f t="shared" si="60"/>
        <v/>
      </c>
    </row>
    <row r="1854" spans="1:7" x14ac:dyDescent="0.2">
      <c r="A1854" t="s">
        <v>2</v>
      </c>
      <c r="B1854">
        <v>0.33449330519999998</v>
      </c>
      <c r="C1854">
        <v>0</v>
      </c>
      <c r="D1854">
        <f t="shared" si="59"/>
        <v>0</v>
      </c>
      <c r="E1854" t="str">
        <f t="shared" si="59"/>
        <v/>
      </c>
      <c r="F1854">
        <f t="shared" si="60"/>
        <v>0.33449330519999998</v>
      </c>
      <c r="G1854" t="str">
        <f t="shared" si="60"/>
        <v/>
      </c>
    </row>
    <row r="1855" spans="1:7" x14ac:dyDescent="0.2">
      <c r="A1855" t="s">
        <v>2</v>
      </c>
      <c r="B1855">
        <v>0.50100278659999997</v>
      </c>
      <c r="C1855">
        <v>1</v>
      </c>
      <c r="D1855">
        <f t="shared" si="59"/>
        <v>1</v>
      </c>
      <c r="E1855" t="str">
        <f t="shared" si="59"/>
        <v/>
      </c>
      <c r="F1855">
        <f t="shared" si="60"/>
        <v>0.50100278659999997</v>
      </c>
      <c r="G1855" t="str">
        <f t="shared" si="60"/>
        <v/>
      </c>
    </row>
    <row r="1856" spans="1:7" x14ac:dyDescent="0.2">
      <c r="A1856" t="s">
        <v>0</v>
      </c>
      <c r="B1856">
        <v>0.23471715539999999</v>
      </c>
      <c r="C1856">
        <v>0</v>
      </c>
      <c r="D1856" t="str">
        <f t="shared" si="59"/>
        <v/>
      </c>
      <c r="E1856">
        <f t="shared" si="59"/>
        <v>0</v>
      </c>
      <c r="F1856" t="str">
        <f t="shared" si="60"/>
        <v/>
      </c>
      <c r="G1856">
        <f t="shared" si="60"/>
        <v>0.23471715539999999</v>
      </c>
    </row>
    <row r="1857" spans="1:7" x14ac:dyDescent="0.2">
      <c r="A1857" t="s">
        <v>2</v>
      </c>
      <c r="B1857">
        <v>0.34666751559999998</v>
      </c>
      <c r="C1857">
        <v>0</v>
      </c>
      <c r="D1857">
        <f t="shared" si="59"/>
        <v>0</v>
      </c>
      <c r="E1857" t="str">
        <f t="shared" si="59"/>
        <v/>
      </c>
      <c r="F1857">
        <f t="shared" si="60"/>
        <v>0.34666751559999998</v>
      </c>
      <c r="G1857" t="str">
        <f t="shared" si="60"/>
        <v/>
      </c>
    </row>
    <row r="1858" spans="1:7" x14ac:dyDescent="0.2">
      <c r="A1858" t="s">
        <v>2</v>
      </c>
      <c r="B1858">
        <v>0.81931628690000002</v>
      </c>
      <c r="C1858">
        <v>1</v>
      </c>
      <c r="D1858">
        <f t="shared" si="59"/>
        <v>1</v>
      </c>
      <c r="E1858" t="str">
        <f t="shared" si="59"/>
        <v/>
      </c>
      <c r="F1858">
        <f t="shared" si="60"/>
        <v>0.81931628690000002</v>
      </c>
      <c r="G1858" t="str">
        <f t="shared" si="60"/>
        <v/>
      </c>
    </row>
    <row r="1859" spans="1:7" x14ac:dyDescent="0.2">
      <c r="A1859" t="s">
        <v>0</v>
      </c>
      <c r="B1859">
        <v>0.32138497129999999</v>
      </c>
      <c r="C1859">
        <v>0</v>
      </c>
      <c r="D1859" t="str">
        <f t="shared" si="59"/>
        <v/>
      </c>
      <c r="E1859">
        <f t="shared" si="59"/>
        <v>0</v>
      </c>
      <c r="F1859" t="str">
        <f t="shared" si="60"/>
        <v/>
      </c>
      <c r="G1859">
        <f t="shared" si="60"/>
        <v>0.32138497129999999</v>
      </c>
    </row>
    <row r="1860" spans="1:7" x14ac:dyDescent="0.2">
      <c r="A1860" t="s">
        <v>2</v>
      </c>
      <c r="B1860">
        <v>0.4670581888</v>
      </c>
      <c r="C1860">
        <v>0</v>
      </c>
      <c r="D1860">
        <f t="shared" si="59"/>
        <v>0</v>
      </c>
      <c r="E1860" t="str">
        <f t="shared" si="59"/>
        <v/>
      </c>
      <c r="F1860">
        <f t="shared" si="60"/>
        <v>0.4670581888</v>
      </c>
      <c r="G1860" t="str">
        <f t="shared" si="60"/>
        <v/>
      </c>
    </row>
    <row r="1861" spans="1:7" x14ac:dyDescent="0.2">
      <c r="A1861" t="s">
        <v>2</v>
      </c>
      <c r="B1861">
        <v>0.61159042279999998</v>
      </c>
      <c r="C1861">
        <v>1</v>
      </c>
      <c r="D1861">
        <f t="shared" si="59"/>
        <v>1</v>
      </c>
      <c r="E1861" t="str">
        <f t="shared" si="59"/>
        <v/>
      </c>
      <c r="F1861">
        <f t="shared" si="60"/>
        <v>0.61159042279999998</v>
      </c>
      <c r="G1861" t="str">
        <f t="shared" si="60"/>
        <v/>
      </c>
    </row>
    <row r="1862" spans="1:7" x14ac:dyDescent="0.2">
      <c r="A1862" t="s">
        <v>2</v>
      </c>
      <c r="B1862">
        <v>0.54381980819999998</v>
      </c>
      <c r="C1862">
        <v>1</v>
      </c>
      <c r="D1862">
        <f t="shared" si="59"/>
        <v>1</v>
      </c>
      <c r="E1862" t="str">
        <f t="shared" si="59"/>
        <v/>
      </c>
      <c r="F1862">
        <f t="shared" si="60"/>
        <v>0.54381980819999998</v>
      </c>
      <c r="G1862" t="str">
        <f t="shared" si="60"/>
        <v/>
      </c>
    </row>
    <row r="1863" spans="1:7" x14ac:dyDescent="0.2">
      <c r="A1863" t="s">
        <v>0</v>
      </c>
      <c r="B1863">
        <v>0.39973222159999999</v>
      </c>
      <c r="C1863">
        <v>0</v>
      </c>
      <c r="D1863" t="str">
        <f t="shared" si="59"/>
        <v/>
      </c>
      <c r="E1863">
        <f t="shared" si="59"/>
        <v>0</v>
      </c>
      <c r="F1863" t="str">
        <f t="shared" si="60"/>
        <v/>
      </c>
      <c r="G1863">
        <f t="shared" si="60"/>
        <v>0.39973222159999999</v>
      </c>
    </row>
    <row r="1864" spans="1:7" x14ac:dyDescent="0.2">
      <c r="A1864" t="s">
        <v>2</v>
      </c>
      <c r="B1864">
        <v>0.10842575829999999</v>
      </c>
      <c r="C1864">
        <v>0</v>
      </c>
      <c r="D1864">
        <f t="shared" si="59"/>
        <v>0</v>
      </c>
      <c r="E1864" t="str">
        <f t="shared" si="59"/>
        <v/>
      </c>
      <c r="F1864">
        <f t="shared" si="60"/>
        <v>0.10842575829999999</v>
      </c>
      <c r="G1864" t="str">
        <f t="shared" si="60"/>
        <v/>
      </c>
    </row>
    <row r="1865" spans="1:7" x14ac:dyDescent="0.2">
      <c r="A1865" t="s">
        <v>2</v>
      </c>
      <c r="B1865">
        <v>0.50250954790000002</v>
      </c>
      <c r="C1865">
        <v>0</v>
      </c>
      <c r="D1865">
        <f t="shared" si="59"/>
        <v>0</v>
      </c>
      <c r="E1865" t="str">
        <f t="shared" si="59"/>
        <v/>
      </c>
      <c r="F1865">
        <f t="shared" si="60"/>
        <v>0.50250954790000002</v>
      </c>
      <c r="G1865" t="str">
        <f t="shared" si="60"/>
        <v/>
      </c>
    </row>
    <row r="1866" spans="1:7" x14ac:dyDescent="0.2">
      <c r="A1866" t="s">
        <v>2</v>
      </c>
      <c r="B1866">
        <v>0.27253556639999998</v>
      </c>
      <c r="C1866">
        <v>1</v>
      </c>
      <c r="D1866">
        <f t="shared" si="59"/>
        <v>1</v>
      </c>
      <c r="E1866" t="str">
        <f t="shared" si="59"/>
        <v/>
      </c>
      <c r="F1866">
        <f t="shared" si="60"/>
        <v>0.27253556639999998</v>
      </c>
      <c r="G1866" t="str">
        <f t="shared" si="60"/>
        <v/>
      </c>
    </row>
    <row r="1867" spans="1:7" x14ac:dyDescent="0.2">
      <c r="A1867" t="s">
        <v>0</v>
      </c>
      <c r="B1867">
        <v>0.24077950419999999</v>
      </c>
      <c r="C1867">
        <v>0</v>
      </c>
      <c r="D1867" t="str">
        <f t="shared" si="59"/>
        <v/>
      </c>
      <c r="E1867">
        <f t="shared" si="59"/>
        <v>0</v>
      </c>
      <c r="F1867" t="str">
        <f t="shared" si="60"/>
        <v/>
      </c>
      <c r="G1867">
        <f t="shared" si="60"/>
        <v>0.24077950419999999</v>
      </c>
    </row>
    <row r="1868" spans="1:7" x14ac:dyDescent="0.2">
      <c r="A1868" t="s">
        <v>2</v>
      </c>
      <c r="B1868">
        <v>0.16515312700000001</v>
      </c>
      <c r="C1868">
        <v>1</v>
      </c>
      <c r="D1868">
        <f t="shared" si="59"/>
        <v>1</v>
      </c>
      <c r="E1868" t="str">
        <f t="shared" si="59"/>
        <v/>
      </c>
      <c r="F1868">
        <f t="shared" si="60"/>
        <v>0.16515312700000001</v>
      </c>
      <c r="G1868" t="str">
        <f t="shared" si="60"/>
        <v/>
      </c>
    </row>
    <row r="1869" spans="1:7" x14ac:dyDescent="0.2">
      <c r="A1869" t="s">
        <v>2</v>
      </c>
      <c r="B1869">
        <v>0.45135905110000002</v>
      </c>
      <c r="C1869">
        <v>0</v>
      </c>
      <c r="D1869">
        <f t="shared" si="59"/>
        <v>0</v>
      </c>
      <c r="E1869" t="str">
        <f t="shared" si="59"/>
        <v/>
      </c>
      <c r="F1869">
        <f t="shared" si="60"/>
        <v>0.45135905110000002</v>
      </c>
      <c r="G1869" t="str">
        <f t="shared" si="60"/>
        <v/>
      </c>
    </row>
    <row r="1870" spans="1:7" x14ac:dyDescent="0.2">
      <c r="A1870" t="s">
        <v>0</v>
      </c>
      <c r="B1870">
        <v>0.22585497639999999</v>
      </c>
      <c r="C1870">
        <v>0</v>
      </c>
      <c r="D1870" t="str">
        <f t="shared" si="59"/>
        <v/>
      </c>
      <c r="E1870">
        <f t="shared" si="59"/>
        <v>0</v>
      </c>
      <c r="F1870" t="str">
        <f t="shared" si="60"/>
        <v/>
      </c>
      <c r="G1870">
        <f t="shared" si="60"/>
        <v>0.22585497639999999</v>
      </c>
    </row>
    <row r="1871" spans="1:7" x14ac:dyDescent="0.2">
      <c r="A1871" t="s">
        <v>0</v>
      </c>
      <c r="B1871">
        <v>0.57958360590000002</v>
      </c>
      <c r="C1871">
        <v>1</v>
      </c>
      <c r="D1871" t="str">
        <f t="shared" si="59"/>
        <v/>
      </c>
      <c r="E1871">
        <f t="shared" si="59"/>
        <v>1</v>
      </c>
      <c r="F1871" t="str">
        <f t="shared" si="60"/>
        <v/>
      </c>
      <c r="G1871">
        <f t="shared" si="60"/>
        <v>0.57958360590000002</v>
      </c>
    </row>
    <row r="1872" spans="1:7" x14ac:dyDescent="0.2">
      <c r="A1872" t="s">
        <v>2</v>
      </c>
      <c r="B1872">
        <v>0.58612078320000005</v>
      </c>
      <c r="C1872">
        <v>0</v>
      </c>
      <c r="D1872">
        <f t="shared" si="59"/>
        <v>0</v>
      </c>
      <c r="E1872" t="str">
        <f t="shared" si="59"/>
        <v/>
      </c>
      <c r="F1872">
        <f t="shared" si="60"/>
        <v>0.58612078320000005</v>
      </c>
      <c r="G1872" t="str">
        <f t="shared" si="60"/>
        <v/>
      </c>
    </row>
    <row r="1873" spans="1:7" x14ac:dyDescent="0.2">
      <c r="A1873" t="s">
        <v>0</v>
      </c>
      <c r="B1873">
        <v>0.58931927709999998</v>
      </c>
      <c r="C1873">
        <v>1</v>
      </c>
      <c r="D1873" t="str">
        <f t="shared" si="59"/>
        <v/>
      </c>
      <c r="E1873">
        <f t="shared" si="59"/>
        <v>1</v>
      </c>
      <c r="F1873" t="str">
        <f t="shared" si="60"/>
        <v/>
      </c>
      <c r="G1873">
        <f t="shared" si="60"/>
        <v>0.58931927709999998</v>
      </c>
    </row>
    <row r="1874" spans="1:7" x14ac:dyDescent="0.2">
      <c r="A1874" t="s">
        <v>2</v>
      </c>
      <c r="B1874">
        <v>0.25871838120000001</v>
      </c>
      <c r="C1874">
        <v>0</v>
      </c>
      <c r="D1874">
        <f t="shared" si="59"/>
        <v>0</v>
      </c>
      <c r="E1874" t="str">
        <f t="shared" si="59"/>
        <v/>
      </c>
      <c r="F1874">
        <f t="shared" si="60"/>
        <v>0.25871838120000001</v>
      </c>
      <c r="G1874" t="str">
        <f t="shared" si="60"/>
        <v/>
      </c>
    </row>
    <row r="1875" spans="1:7" x14ac:dyDescent="0.2">
      <c r="A1875" t="s">
        <v>2</v>
      </c>
      <c r="B1875">
        <v>0.60712316830000002</v>
      </c>
      <c r="C1875">
        <v>1</v>
      </c>
      <c r="D1875">
        <f t="shared" si="59"/>
        <v>1</v>
      </c>
      <c r="E1875" t="str">
        <f t="shared" si="59"/>
        <v/>
      </c>
      <c r="F1875">
        <f t="shared" si="60"/>
        <v>0.60712316830000002</v>
      </c>
      <c r="G1875" t="str">
        <f t="shared" si="60"/>
        <v/>
      </c>
    </row>
    <row r="1876" spans="1:7" x14ac:dyDescent="0.2">
      <c r="A1876" t="s">
        <v>0</v>
      </c>
      <c r="B1876">
        <v>0.32817677070000001</v>
      </c>
      <c r="C1876">
        <v>0</v>
      </c>
      <c r="D1876" t="str">
        <f t="shared" si="59"/>
        <v/>
      </c>
      <c r="E1876">
        <f t="shared" si="59"/>
        <v>0</v>
      </c>
      <c r="F1876" t="str">
        <f t="shared" si="60"/>
        <v/>
      </c>
      <c r="G1876">
        <f t="shared" si="60"/>
        <v>0.32817677070000001</v>
      </c>
    </row>
    <row r="1877" spans="1:7" x14ac:dyDescent="0.2">
      <c r="A1877" t="s">
        <v>2</v>
      </c>
      <c r="B1877">
        <v>0.36062733190000001</v>
      </c>
      <c r="C1877">
        <v>1</v>
      </c>
      <c r="D1877">
        <f t="shared" si="59"/>
        <v>1</v>
      </c>
      <c r="E1877" t="str">
        <f t="shared" si="59"/>
        <v/>
      </c>
      <c r="F1877">
        <f t="shared" si="60"/>
        <v>0.36062733190000001</v>
      </c>
      <c r="G1877" t="str">
        <f t="shared" si="60"/>
        <v/>
      </c>
    </row>
    <row r="1878" spans="1:7" x14ac:dyDescent="0.2">
      <c r="A1878" t="s">
        <v>2</v>
      </c>
      <c r="B1878">
        <v>0.55889011460000004</v>
      </c>
      <c r="C1878">
        <v>1</v>
      </c>
      <c r="D1878">
        <f t="shared" si="59"/>
        <v>1</v>
      </c>
      <c r="E1878" t="str">
        <f t="shared" si="59"/>
        <v/>
      </c>
      <c r="F1878">
        <f t="shared" si="60"/>
        <v>0.55889011460000004</v>
      </c>
      <c r="G1878" t="str">
        <f t="shared" si="60"/>
        <v/>
      </c>
    </row>
    <row r="1879" spans="1:7" x14ac:dyDescent="0.2">
      <c r="A1879" t="s">
        <v>0</v>
      </c>
      <c r="B1879">
        <v>0.13457727289999999</v>
      </c>
      <c r="C1879">
        <v>1</v>
      </c>
      <c r="D1879" t="str">
        <f t="shared" si="59"/>
        <v/>
      </c>
      <c r="E1879">
        <f t="shared" si="59"/>
        <v>1</v>
      </c>
      <c r="F1879" t="str">
        <f t="shared" si="60"/>
        <v/>
      </c>
      <c r="G1879">
        <f t="shared" si="60"/>
        <v>0.13457727289999999</v>
      </c>
    </row>
    <row r="1880" spans="1:7" x14ac:dyDescent="0.2">
      <c r="A1880" t="s">
        <v>2</v>
      </c>
      <c r="B1880">
        <v>0.70639219499999995</v>
      </c>
      <c r="C1880">
        <v>0</v>
      </c>
      <c r="D1880">
        <f t="shared" si="59"/>
        <v>0</v>
      </c>
      <c r="E1880" t="str">
        <f t="shared" si="59"/>
        <v/>
      </c>
      <c r="F1880">
        <f t="shared" si="60"/>
        <v>0.70639219499999995</v>
      </c>
      <c r="G1880" t="str">
        <f t="shared" si="60"/>
        <v/>
      </c>
    </row>
    <row r="1881" spans="1:7" x14ac:dyDescent="0.2">
      <c r="A1881" t="s">
        <v>2</v>
      </c>
      <c r="B1881">
        <v>0.11809653220000001</v>
      </c>
      <c r="C1881">
        <v>0</v>
      </c>
      <c r="D1881">
        <f t="shared" si="59"/>
        <v>0</v>
      </c>
      <c r="E1881" t="str">
        <f t="shared" si="59"/>
        <v/>
      </c>
      <c r="F1881">
        <f t="shared" si="60"/>
        <v>0.11809653220000001</v>
      </c>
      <c r="G1881" t="str">
        <f t="shared" si="60"/>
        <v/>
      </c>
    </row>
    <row r="1882" spans="1:7" x14ac:dyDescent="0.2">
      <c r="A1882" t="s">
        <v>0</v>
      </c>
      <c r="B1882">
        <v>0.68107723210000004</v>
      </c>
      <c r="C1882">
        <v>0</v>
      </c>
      <c r="D1882" t="str">
        <f t="shared" si="59"/>
        <v/>
      </c>
      <c r="E1882">
        <f t="shared" si="59"/>
        <v>0</v>
      </c>
      <c r="F1882" t="str">
        <f t="shared" si="60"/>
        <v/>
      </c>
      <c r="G1882">
        <f t="shared" si="60"/>
        <v>0.68107723210000004</v>
      </c>
    </row>
    <row r="1883" spans="1:7" x14ac:dyDescent="0.2">
      <c r="A1883" t="s">
        <v>2</v>
      </c>
      <c r="B1883">
        <v>0.65868292589999999</v>
      </c>
      <c r="C1883">
        <v>1</v>
      </c>
      <c r="D1883">
        <f t="shared" si="59"/>
        <v>1</v>
      </c>
      <c r="E1883" t="str">
        <f t="shared" si="59"/>
        <v/>
      </c>
      <c r="F1883">
        <f t="shared" si="60"/>
        <v>0.65868292589999999</v>
      </c>
      <c r="G1883" t="str">
        <f t="shared" si="60"/>
        <v/>
      </c>
    </row>
    <row r="1884" spans="1:7" x14ac:dyDescent="0.2">
      <c r="A1884" t="s">
        <v>2</v>
      </c>
      <c r="B1884">
        <v>0.22044652270000001</v>
      </c>
      <c r="C1884">
        <v>0</v>
      </c>
      <c r="D1884">
        <f t="shared" si="59"/>
        <v>0</v>
      </c>
      <c r="E1884" t="str">
        <f t="shared" si="59"/>
        <v/>
      </c>
      <c r="F1884">
        <f t="shared" si="60"/>
        <v>0.22044652270000001</v>
      </c>
      <c r="G1884" t="str">
        <f t="shared" si="60"/>
        <v/>
      </c>
    </row>
    <row r="1885" spans="1:7" x14ac:dyDescent="0.2">
      <c r="A1885" t="s">
        <v>2</v>
      </c>
      <c r="B1885">
        <v>0.3674109807</v>
      </c>
      <c r="C1885">
        <v>1</v>
      </c>
      <c r="D1885">
        <f t="shared" si="59"/>
        <v>1</v>
      </c>
      <c r="E1885" t="str">
        <f t="shared" si="59"/>
        <v/>
      </c>
      <c r="F1885">
        <f t="shared" si="60"/>
        <v>0.3674109807</v>
      </c>
      <c r="G1885" t="str">
        <f t="shared" si="60"/>
        <v/>
      </c>
    </row>
    <row r="1886" spans="1:7" x14ac:dyDescent="0.2">
      <c r="A1886" t="s">
        <v>0</v>
      </c>
      <c r="B1886">
        <v>0.17178461370000001</v>
      </c>
      <c r="C1886">
        <v>0</v>
      </c>
      <c r="D1886" t="str">
        <f t="shared" si="59"/>
        <v/>
      </c>
      <c r="E1886">
        <f t="shared" si="59"/>
        <v>0</v>
      </c>
      <c r="F1886" t="str">
        <f t="shared" si="60"/>
        <v/>
      </c>
      <c r="G1886">
        <f t="shared" si="60"/>
        <v>0.17178461370000001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C993-0249-435A-8C0C-9E0EC8475C5D}">
  <dimension ref="A1:Q1259"/>
  <sheetViews>
    <sheetView topLeftCell="C1221" zoomScaleNormal="100" workbookViewId="0">
      <selection activeCell="V20" sqref="V20"/>
    </sheetView>
  </sheetViews>
  <sheetFormatPr baseColWidth="10" defaultColWidth="8.83203125" defaultRowHeight="15" x14ac:dyDescent="0.2"/>
  <cols>
    <col min="2" max="2" width="12" bestFit="1" customWidth="1"/>
  </cols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 t="s">
        <v>21</v>
      </c>
    </row>
    <row r="2" spans="1:17" x14ac:dyDescent="0.2">
      <c r="A2">
        <v>1</v>
      </c>
      <c r="B2">
        <f>LARGE(data!F:F,A2)</f>
        <v>0.90108967610000001</v>
      </c>
      <c r="C2">
        <f>COUNTIFS(data!D:D,data!$I$2,data!F:F,"&gt;="&amp;B2)</f>
        <v>1</v>
      </c>
      <c r="D2">
        <f>COUNTIFS(data!D:D,data!$J$2,data!F:F,"&gt;="&amp;B2)</f>
        <v>0</v>
      </c>
      <c r="E2">
        <f>COUNTIFS(data!D:D,data!$J$2,data!F:F,"&lt;"&amp;B2)</f>
        <v>723</v>
      </c>
      <c r="F2">
        <f>COUNTIFS(data!D:D,data!$I$2,data!F:F,"&lt;"&amp;B2)</f>
        <v>533</v>
      </c>
      <c r="G2">
        <f>D2/(E2+D2)</f>
        <v>0</v>
      </c>
      <c r="H2">
        <f>C2/(C2+F2)</f>
        <v>1.8726591760299626E-3</v>
      </c>
      <c r="I2">
        <v>0</v>
      </c>
      <c r="J2">
        <f>C2/(C2+D2)</f>
        <v>1</v>
      </c>
      <c r="K2">
        <f>2*J2*H2/(J2+H2)</f>
        <v>3.7383177570093464E-3</v>
      </c>
      <c r="L2">
        <f>A2*COUNTIF(data!D:D,data!$I$2)/data!$L$2</f>
        <v>0.42482100238663484</v>
      </c>
      <c r="M2" s="1">
        <f>A2/data!$L$2</f>
        <v>7.955449482895784E-4</v>
      </c>
      <c r="N2">
        <f t="shared" ref="N2:N65" si="0">C2/L2</f>
        <v>2.3539325842696628</v>
      </c>
      <c r="Q2">
        <f>SUM(I:I)</f>
        <v>0.74553333229728314</v>
      </c>
    </row>
    <row r="3" spans="1:17" x14ac:dyDescent="0.2">
      <c r="A3">
        <v>2</v>
      </c>
      <c r="B3">
        <f>LARGE(data!F:F,A3)</f>
        <v>0.90057000730000003</v>
      </c>
      <c r="C3">
        <f>COUNTIFS(data!D:D,data!$I$2,data!F:F,"&gt;="&amp;B3)</f>
        <v>2</v>
      </c>
      <c r="D3">
        <f>COUNTIFS(data!D:D,data!$J$2,data!F:F,"&gt;="&amp;B3)</f>
        <v>0</v>
      </c>
      <c r="E3">
        <f>COUNTIFS(data!D:D,data!$J$2,data!F:F,"&lt;"&amp;B3)</f>
        <v>723</v>
      </c>
      <c r="F3">
        <f>COUNTIFS(data!D:D,data!$I$2,data!F:F,"&lt;"&amp;B3)</f>
        <v>532</v>
      </c>
      <c r="G3">
        <f t="shared" ref="G3:G66" si="1">D3/(E3+D3)</f>
        <v>0</v>
      </c>
      <c r="H3">
        <f t="shared" ref="H3:H66" si="2">C3/(C3+F3)</f>
        <v>3.7453183520599251E-3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7.462686567164179E-3</v>
      </c>
      <c r="L3">
        <f>A3*COUNTIF(data!D:D,data!$I$2)/data!$L$2</f>
        <v>0.84964200477326968</v>
      </c>
      <c r="M3" s="1">
        <f>A3/data!$L$2</f>
        <v>1.5910898965791568E-3</v>
      </c>
      <c r="N3">
        <f t="shared" si="0"/>
        <v>2.3539325842696628</v>
      </c>
    </row>
    <row r="4" spans="1:17" x14ac:dyDescent="0.2">
      <c r="A4">
        <v>3</v>
      </c>
      <c r="B4">
        <f>LARGE(data!F:F,A4)</f>
        <v>0.88949238720000001</v>
      </c>
      <c r="C4">
        <f>COUNTIFS(data!D:D,data!$I$2,data!F:F,"&gt;="&amp;B4)</f>
        <v>4</v>
      </c>
      <c r="D4">
        <f>COUNTIFS(data!D:D,data!$J$2,data!F:F,"&gt;="&amp;B4)</f>
        <v>1</v>
      </c>
      <c r="E4">
        <f>COUNTIFS(data!D:D,data!$J$2,data!F:F,"&lt;"&amp;B4)</f>
        <v>722</v>
      </c>
      <c r="F4">
        <f>COUNTIFS(data!D:D,data!$I$2,data!F:F,"&lt;"&amp;B4)</f>
        <v>530</v>
      </c>
      <c r="G4">
        <f t="shared" si="1"/>
        <v>1.3831258644536654E-3</v>
      </c>
      <c r="H4">
        <f t="shared" si="2"/>
        <v>7.4906367041198503E-3</v>
      </c>
      <c r="I4">
        <f t="shared" si="3"/>
        <v>7.7703700250205916E-6</v>
      </c>
      <c r="J4">
        <f t="shared" si="4"/>
        <v>0.8</v>
      </c>
      <c r="K4">
        <f t="shared" si="5"/>
        <v>1.4842300556586271E-2</v>
      </c>
      <c r="L4">
        <f>A4*COUNTIF(data!D:D,data!$I$2)/data!$L$2</f>
        <v>1.2744630071599046</v>
      </c>
      <c r="M4" s="1">
        <f>A4/data!$L$2</f>
        <v>2.3866348448687352E-3</v>
      </c>
      <c r="N4">
        <f t="shared" si="0"/>
        <v>3.1385767790262173</v>
      </c>
    </row>
    <row r="5" spans="1:17" x14ac:dyDescent="0.2">
      <c r="A5">
        <v>4</v>
      </c>
      <c r="B5">
        <f>LARGE(data!F:F,A5)</f>
        <v>0.88949238720000001</v>
      </c>
      <c r="C5">
        <f>COUNTIFS(data!D:D,data!$I$2,data!F:F,"&gt;="&amp;B5)</f>
        <v>4</v>
      </c>
      <c r="D5">
        <f>COUNTIFS(data!D:D,data!$J$2,data!F:F,"&gt;="&amp;B5)</f>
        <v>1</v>
      </c>
      <c r="E5">
        <f>COUNTIFS(data!D:D,data!$J$2,data!F:F,"&lt;"&amp;B5)</f>
        <v>722</v>
      </c>
      <c r="F5">
        <f>COUNTIFS(data!D:D,data!$I$2,data!F:F,"&lt;"&amp;B5)</f>
        <v>530</v>
      </c>
      <c r="G5">
        <f t="shared" si="1"/>
        <v>1.3831258644536654E-3</v>
      </c>
      <c r="H5">
        <f t="shared" si="2"/>
        <v>7.4906367041198503E-3</v>
      </c>
      <c r="I5">
        <f t="shared" si="3"/>
        <v>0</v>
      </c>
      <c r="J5">
        <f t="shared" si="4"/>
        <v>0.8</v>
      </c>
      <c r="K5">
        <f t="shared" si="5"/>
        <v>1.4842300556586271E-2</v>
      </c>
      <c r="L5">
        <f>A5*COUNTIF(data!D:D,data!$I$2)/data!$L$2</f>
        <v>1.6992840095465394</v>
      </c>
      <c r="M5" s="1">
        <f>A5/data!$L$2</f>
        <v>3.1821797931583136E-3</v>
      </c>
      <c r="N5">
        <f t="shared" si="0"/>
        <v>2.3539325842696628</v>
      </c>
    </row>
    <row r="6" spans="1:17" x14ac:dyDescent="0.2">
      <c r="A6">
        <v>5</v>
      </c>
      <c r="B6">
        <f>LARGE(data!F:F,A6)</f>
        <v>0.88949238720000001</v>
      </c>
      <c r="C6">
        <f>COUNTIFS(data!D:D,data!$I$2,data!F:F,"&gt;="&amp;B6)</f>
        <v>4</v>
      </c>
      <c r="D6">
        <f>COUNTIFS(data!D:D,data!$J$2,data!F:F,"&gt;="&amp;B6)</f>
        <v>1</v>
      </c>
      <c r="E6">
        <f>COUNTIFS(data!D:D,data!$J$2,data!F:F,"&lt;"&amp;B6)</f>
        <v>722</v>
      </c>
      <c r="F6">
        <f>COUNTIFS(data!D:D,data!$I$2,data!F:F,"&lt;"&amp;B6)</f>
        <v>530</v>
      </c>
      <c r="G6">
        <f t="shared" si="1"/>
        <v>1.3831258644536654E-3</v>
      </c>
      <c r="H6">
        <f t="shared" si="2"/>
        <v>7.4906367041198503E-3</v>
      </c>
      <c r="I6">
        <f t="shared" si="3"/>
        <v>0</v>
      </c>
      <c r="J6">
        <f t="shared" si="4"/>
        <v>0.8</v>
      </c>
      <c r="K6">
        <f t="shared" si="5"/>
        <v>1.4842300556586271E-2</v>
      </c>
      <c r="L6">
        <f>A6*COUNTIF(data!D:D,data!$I$2)/data!$L$2</f>
        <v>2.1241050119331741</v>
      </c>
      <c r="M6" s="1">
        <f>A6/data!$L$2</f>
        <v>3.977724741447892E-3</v>
      </c>
      <c r="N6">
        <f t="shared" si="0"/>
        <v>1.8831460674157303</v>
      </c>
    </row>
    <row r="7" spans="1:17" x14ac:dyDescent="0.2">
      <c r="A7">
        <v>6</v>
      </c>
      <c r="B7">
        <f>LARGE(data!F:F,A7)</f>
        <v>0.87721272620000001</v>
      </c>
      <c r="C7">
        <f>COUNTIFS(data!D:D,data!$I$2,data!F:F,"&gt;="&amp;B7)</f>
        <v>5</v>
      </c>
      <c r="D7">
        <f>COUNTIFS(data!D:D,data!$J$2,data!F:F,"&gt;="&amp;B7)</f>
        <v>1</v>
      </c>
      <c r="E7">
        <f>COUNTIFS(data!D:D,data!$J$2,data!F:F,"&lt;"&amp;B7)</f>
        <v>722</v>
      </c>
      <c r="F7">
        <f>COUNTIFS(data!D:D,data!$I$2,data!F:F,"&lt;"&amp;B7)</f>
        <v>529</v>
      </c>
      <c r="G7">
        <f t="shared" si="1"/>
        <v>1.3831258644536654E-3</v>
      </c>
      <c r="H7">
        <f t="shared" si="2"/>
        <v>9.3632958801498131E-3</v>
      </c>
      <c r="I7">
        <f t="shared" si="3"/>
        <v>0</v>
      </c>
      <c r="J7">
        <f t="shared" si="4"/>
        <v>0.83333333333333337</v>
      </c>
      <c r="K7">
        <f t="shared" si="5"/>
        <v>1.8518518518518517E-2</v>
      </c>
      <c r="L7">
        <f>A7*COUNTIF(data!D:D,data!$I$2)/data!$L$2</f>
        <v>2.5489260143198091</v>
      </c>
      <c r="M7" s="1">
        <f>A7/data!$L$2</f>
        <v>4.7732696897374704E-3</v>
      </c>
      <c r="N7">
        <f t="shared" si="0"/>
        <v>1.9616104868913857</v>
      </c>
    </row>
    <row r="8" spans="1:17" x14ac:dyDescent="0.2">
      <c r="A8">
        <v>7</v>
      </c>
      <c r="B8">
        <f>LARGE(data!F:F,A8)</f>
        <v>0.87675975299999998</v>
      </c>
      <c r="C8">
        <f>COUNTIFS(data!D:D,data!$I$2,data!F:F,"&gt;="&amp;B8)</f>
        <v>6</v>
      </c>
      <c r="D8">
        <f>COUNTIFS(data!D:D,data!$J$2,data!F:F,"&gt;="&amp;B8)</f>
        <v>1</v>
      </c>
      <c r="E8">
        <f>COUNTIFS(data!D:D,data!$J$2,data!F:F,"&lt;"&amp;B8)</f>
        <v>722</v>
      </c>
      <c r="F8">
        <f>COUNTIFS(data!D:D,data!$I$2,data!F:F,"&lt;"&amp;B8)</f>
        <v>528</v>
      </c>
      <c r="G8">
        <f t="shared" si="1"/>
        <v>1.3831258644536654E-3</v>
      </c>
      <c r="H8">
        <f t="shared" si="2"/>
        <v>1.1235955056179775E-2</v>
      </c>
      <c r="I8">
        <f t="shared" si="3"/>
        <v>0</v>
      </c>
      <c r="J8">
        <f t="shared" si="4"/>
        <v>0.8571428571428571</v>
      </c>
      <c r="K8">
        <f t="shared" si="5"/>
        <v>2.2181146025878003E-2</v>
      </c>
      <c r="L8">
        <f>A8*COUNTIF(data!D:D,data!$I$2)/data!$L$2</f>
        <v>2.9737470167064437</v>
      </c>
      <c r="M8" s="1">
        <f>A8/data!$L$2</f>
        <v>5.5688146380270488E-3</v>
      </c>
      <c r="N8">
        <f t="shared" si="0"/>
        <v>2.0176565008025684</v>
      </c>
    </row>
    <row r="9" spans="1:17" x14ac:dyDescent="0.2">
      <c r="A9">
        <v>8</v>
      </c>
      <c r="B9">
        <f>LARGE(data!F:F,A9)</f>
        <v>0.87380380079999997</v>
      </c>
      <c r="C9">
        <f>COUNTIFS(data!D:D,data!$I$2,data!F:F,"&gt;="&amp;B9)</f>
        <v>8</v>
      </c>
      <c r="D9">
        <f>COUNTIFS(data!D:D,data!$J$2,data!F:F,"&gt;="&amp;B9)</f>
        <v>1</v>
      </c>
      <c r="E9">
        <f>COUNTIFS(data!D:D,data!$J$2,data!F:F,"&lt;"&amp;B9)</f>
        <v>722</v>
      </c>
      <c r="F9">
        <f>COUNTIFS(data!D:D,data!$I$2,data!F:F,"&lt;"&amp;B9)</f>
        <v>526</v>
      </c>
      <c r="G9">
        <f t="shared" si="1"/>
        <v>1.3831258644536654E-3</v>
      </c>
      <c r="H9">
        <f t="shared" si="2"/>
        <v>1.4981273408239701E-2</v>
      </c>
      <c r="I9">
        <f t="shared" si="3"/>
        <v>0</v>
      </c>
      <c r="J9">
        <f t="shared" si="4"/>
        <v>0.88888888888888884</v>
      </c>
      <c r="K9">
        <f t="shared" si="5"/>
        <v>2.9465930018416204E-2</v>
      </c>
      <c r="L9">
        <f>A9*COUNTIF(data!D:D,data!$I$2)/data!$L$2</f>
        <v>3.3985680190930787</v>
      </c>
      <c r="M9" s="1">
        <f>A9/data!$L$2</f>
        <v>6.3643595863166272E-3</v>
      </c>
      <c r="N9">
        <f t="shared" si="0"/>
        <v>2.3539325842696628</v>
      </c>
    </row>
    <row r="10" spans="1:17" x14ac:dyDescent="0.2">
      <c r="A10">
        <v>9</v>
      </c>
      <c r="B10">
        <f>LARGE(data!F:F,A10)</f>
        <v>0.87380380079999997</v>
      </c>
      <c r="C10">
        <f>COUNTIFS(data!D:D,data!$I$2,data!F:F,"&gt;="&amp;B10)</f>
        <v>8</v>
      </c>
      <c r="D10">
        <f>COUNTIFS(data!D:D,data!$J$2,data!F:F,"&gt;="&amp;B10)</f>
        <v>1</v>
      </c>
      <c r="E10">
        <f>COUNTIFS(data!D:D,data!$J$2,data!F:F,"&lt;"&amp;B10)</f>
        <v>722</v>
      </c>
      <c r="F10">
        <f>COUNTIFS(data!D:D,data!$I$2,data!F:F,"&lt;"&amp;B10)</f>
        <v>526</v>
      </c>
      <c r="G10">
        <f t="shared" si="1"/>
        <v>1.3831258644536654E-3</v>
      </c>
      <c r="H10">
        <f t="shared" si="2"/>
        <v>1.4981273408239701E-2</v>
      </c>
      <c r="I10">
        <f t="shared" si="3"/>
        <v>0</v>
      </c>
      <c r="J10">
        <f t="shared" si="4"/>
        <v>0.88888888888888884</v>
      </c>
      <c r="K10">
        <f t="shared" si="5"/>
        <v>2.9465930018416204E-2</v>
      </c>
      <c r="L10">
        <f>A10*COUNTIF(data!D:D,data!$I$2)/data!$L$2</f>
        <v>3.8233890214797137</v>
      </c>
      <c r="M10" s="1">
        <f>A10/data!$L$2</f>
        <v>7.1599045346062056E-3</v>
      </c>
      <c r="N10">
        <f t="shared" si="0"/>
        <v>2.0923845193508113</v>
      </c>
    </row>
    <row r="11" spans="1:17" x14ac:dyDescent="0.2">
      <c r="A11">
        <v>10</v>
      </c>
      <c r="B11">
        <f>LARGE(data!F:F,A11)</f>
        <v>0.87257346049999995</v>
      </c>
      <c r="C11">
        <f>COUNTIFS(data!D:D,data!$I$2,data!F:F,"&gt;="&amp;B11)</f>
        <v>9</v>
      </c>
      <c r="D11">
        <f>COUNTIFS(data!D:D,data!$J$2,data!F:F,"&gt;="&amp;B11)</f>
        <v>1</v>
      </c>
      <c r="E11">
        <f>COUNTIFS(data!D:D,data!$J$2,data!F:F,"&lt;"&amp;B11)</f>
        <v>722</v>
      </c>
      <c r="F11">
        <f>COUNTIFS(data!D:D,data!$I$2,data!F:F,"&lt;"&amp;B11)</f>
        <v>525</v>
      </c>
      <c r="G11">
        <f t="shared" si="1"/>
        <v>1.3831258644536654E-3</v>
      </c>
      <c r="H11">
        <f t="shared" si="2"/>
        <v>1.6853932584269662E-2</v>
      </c>
      <c r="I11">
        <f t="shared" si="3"/>
        <v>0</v>
      </c>
      <c r="J11">
        <f t="shared" si="4"/>
        <v>0.9</v>
      </c>
      <c r="K11">
        <f t="shared" si="5"/>
        <v>3.3088235294117647E-2</v>
      </c>
      <c r="L11">
        <f>A11*COUNTIF(data!D:D,data!$I$2)/data!$L$2</f>
        <v>4.2482100238663483</v>
      </c>
      <c r="M11" s="1">
        <f>A11/data!$L$2</f>
        <v>7.955449482895784E-3</v>
      </c>
      <c r="N11">
        <f t="shared" si="0"/>
        <v>2.1185393258426966</v>
      </c>
    </row>
    <row r="12" spans="1:17" x14ac:dyDescent="0.2">
      <c r="A12">
        <v>11</v>
      </c>
      <c r="B12">
        <f>LARGE(data!F:F,A12)</f>
        <v>0.86816532769999999</v>
      </c>
      <c r="C12">
        <f>COUNTIFS(data!D:D,data!$I$2,data!F:F,"&gt;="&amp;B12)</f>
        <v>11</v>
      </c>
      <c r="D12">
        <f>COUNTIFS(data!D:D,data!$J$2,data!F:F,"&gt;="&amp;B12)</f>
        <v>1</v>
      </c>
      <c r="E12">
        <f>COUNTIFS(data!D:D,data!$J$2,data!F:F,"&lt;"&amp;B12)</f>
        <v>722</v>
      </c>
      <c r="F12">
        <f>COUNTIFS(data!D:D,data!$I$2,data!F:F,"&lt;"&amp;B12)</f>
        <v>523</v>
      </c>
      <c r="G12">
        <f t="shared" si="1"/>
        <v>1.3831258644536654E-3</v>
      </c>
      <c r="H12">
        <f t="shared" si="2"/>
        <v>2.0599250936329586E-2</v>
      </c>
      <c r="I12">
        <f t="shared" si="3"/>
        <v>0</v>
      </c>
      <c r="J12">
        <f t="shared" si="4"/>
        <v>0.91666666666666663</v>
      </c>
      <c r="K12">
        <f t="shared" si="5"/>
        <v>4.0293040293040289E-2</v>
      </c>
      <c r="L12">
        <f>A12*COUNTIF(data!D:D,data!$I$2)/data!$L$2</f>
        <v>4.6730310262529837</v>
      </c>
      <c r="M12" s="1">
        <f>A12/data!$L$2</f>
        <v>8.7509944311853615E-3</v>
      </c>
      <c r="N12">
        <f t="shared" si="0"/>
        <v>2.3539325842696628</v>
      </c>
    </row>
    <row r="13" spans="1:17" x14ac:dyDescent="0.2">
      <c r="A13">
        <v>12</v>
      </c>
      <c r="B13">
        <f>LARGE(data!F:F,A13)</f>
        <v>0.86816532769999999</v>
      </c>
      <c r="C13">
        <f>COUNTIFS(data!D:D,data!$I$2,data!F:F,"&gt;="&amp;B13)</f>
        <v>11</v>
      </c>
      <c r="D13">
        <f>COUNTIFS(data!D:D,data!$J$2,data!F:F,"&gt;="&amp;B13)</f>
        <v>1</v>
      </c>
      <c r="E13">
        <f>COUNTIFS(data!D:D,data!$J$2,data!F:F,"&lt;"&amp;B13)</f>
        <v>722</v>
      </c>
      <c r="F13">
        <f>COUNTIFS(data!D:D,data!$I$2,data!F:F,"&lt;"&amp;B13)</f>
        <v>523</v>
      </c>
      <c r="G13">
        <f t="shared" si="1"/>
        <v>1.3831258644536654E-3</v>
      </c>
      <c r="H13">
        <f t="shared" si="2"/>
        <v>2.0599250936329586E-2</v>
      </c>
      <c r="I13">
        <f t="shared" si="3"/>
        <v>0</v>
      </c>
      <c r="J13">
        <f t="shared" si="4"/>
        <v>0.91666666666666663</v>
      </c>
      <c r="K13">
        <f t="shared" si="5"/>
        <v>4.0293040293040289E-2</v>
      </c>
      <c r="L13">
        <f>A13*COUNTIF(data!D:D,data!$I$2)/data!$L$2</f>
        <v>5.0978520286396183</v>
      </c>
      <c r="M13" s="1">
        <f>A13/data!$L$2</f>
        <v>9.5465393794749408E-3</v>
      </c>
      <c r="N13">
        <f t="shared" si="0"/>
        <v>2.1577715355805243</v>
      </c>
    </row>
    <row r="14" spans="1:17" x14ac:dyDescent="0.2">
      <c r="A14">
        <v>13</v>
      </c>
      <c r="B14">
        <f>LARGE(data!F:F,A14)</f>
        <v>0.8644179286</v>
      </c>
      <c r="C14">
        <f>COUNTIFS(data!D:D,data!$I$2,data!F:F,"&gt;="&amp;B14)</f>
        <v>12</v>
      </c>
      <c r="D14">
        <f>COUNTIFS(data!D:D,data!$J$2,data!F:F,"&gt;="&amp;B14)</f>
        <v>1</v>
      </c>
      <c r="E14">
        <f>COUNTIFS(data!D:D,data!$J$2,data!F:F,"&lt;"&amp;B14)</f>
        <v>722</v>
      </c>
      <c r="F14">
        <f>COUNTIFS(data!D:D,data!$I$2,data!F:F,"&lt;"&amp;B14)</f>
        <v>522</v>
      </c>
      <c r="G14">
        <f t="shared" si="1"/>
        <v>1.3831258644536654E-3</v>
      </c>
      <c r="H14">
        <f t="shared" si="2"/>
        <v>2.247191011235955E-2</v>
      </c>
      <c r="I14">
        <f t="shared" si="3"/>
        <v>0</v>
      </c>
      <c r="J14">
        <f t="shared" si="4"/>
        <v>0.92307692307692313</v>
      </c>
      <c r="K14">
        <f t="shared" si="5"/>
        <v>4.3875685557586828E-2</v>
      </c>
      <c r="L14">
        <f>A14*COUNTIF(data!D:D,data!$I$2)/data!$L$2</f>
        <v>5.5226730310262528</v>
      </c>
      <c r="M14" s="1">
        <f>A14/data!$L$2</f>
        <v>1.0342084327764518E-2</v>
      </c>
      <c r="N14">
        <f t="shared" si="0"/>
        <v>2.1728608470181503</v>
      </c>
    </row>
    <row r="15" spans="1:17" x14ac:dyDescent="0.2">
      <c r="A15">
        <v>14</v>
      </c>
      <c r="B15">
        <f>LARGE(data!F:F,A15)</f>
        <v>0.86077949399999998</v>
      </c>
      <c r="C15">
        <f>COUNTIFS(data!D:D,data!$I$2,data!F:F,"&gt;="&amp;B15)</f>
        <v>17</v>
      </c>
      <c r="D15">
        <f>COUNTIFS(data!D:D,data!$J$2,data!F:F,"&gt;="&amp;B15)</f>
        <v>1</v>
      </c>
      <c r="E15">
        <f>COUNTIFS(data!D:D,data!$J$2,data!F:F,"&lt;"&amp;B15)</f>
        <v>722</v>
      </c>
      <c r="F15">
        <f>COUNTIFS(data!D:D,data!$I$2,data!F:F,"&lt;"&amp;B15)</f>
        <v>517</v>
      </c>
      <c r="G15">
        <f t="shared" si="1"/>
        <v>1.3831258644536654E-3</v>
      </c>
      <c r="H15">
        <f t="shared" si="2"/>
        <v>3.1835205992509365E-2</v>
      </c>
      <c r="I15">
        <f t="shared" si="3"/>
        <v>0</v>
      </c>
      <c r="J15">
        <f t="shared" si="4"/>
        <v>0.94444444444444442</v>
      </c>
      <c r="K15">
        <f t="shared" si="5"/>
        <v>6.1594202898550728E-2</v>
      </c>
      <c r="L15">
        <f>A15*COUNTIF(data!D:D,data!$I$2)/data!$L$2</f>
        <v>5.9474940334128874</v>
      </c>
      <c r="M15" s="1">
        <f>A15/data!$L$2</f>
        <v>1.1137629276054098E-2</v>
      </c>
      <c r="N15">
        <f t="shared" si="0"/>
        <v>2.8583467094703052</v>
      </c>
    </row>
    <row r="16" spans="1:17" x14ac:dyDescent="0.2">
      <c r="A16">
        <v>15</v>
      </c>
      <c r="B16">
        <f>LARGE(data!F:F,A16)</f>
        <v>0.86077949399999998</v>
      </c>
      <c r="C16">
        <f>COUNTIFS(data!D:D,data!$I$2,data!F:F,"&gt;="&amp;B16)</f>
        <v>17</v>
      </c>
      <c r="D16">
        <f>COUNTIFS(data!D:D,data!$J$2,data!F:F,"&gt;="&amp;B16)</f>
        <v>1</v>
      </c>
      <c r="E16">
        <f>COUNTIFS(data!D:D,data!$J$2,data!F:F,"&lt;"&amp;B16)</f>
        <v>722</v>
      </c>
      <c r="F16">
        <f>COUNTIFS(data!D:D,data!$I$2,data!F:F,"&lt;"&amp;B16)</f>
        <v>517</v>
      </c>
      <c r="G16">
        <f t="shared" si="1"/>
        <v>1.3831258644536654E-3</v>
      </c>
      <c r="H16">
        <f t="shared" si="2"/>
        <v>3.1835205992509365E-2</v>
      </c>
      <c r="I16">
        <f t="shared" si="3"/>
        <v>0</v>
      </c>
      <c r="J16">
        <f t="shared" si="4"/>
        <v>0.94444444444444442</v>
      </c>
      <c r="K16">
        <f t="shared" si="5"/>
        <v>6.1594202898550728E-2</v>
      </c>
      <c r="L16">
        <f>A16*COUNTIF(data!D:D,data!$I$2)/data!$L$2</f>
        <v>6.3723150357995229</v>
      </c>
      <c r="M16" s="1">
        <f>A16/data!$L$2</f>
        <v>1.1933174224343675E-2</v>
      </c>
      <c r="N16">
        <f t="shared" si="0"/>
        <v>2.6677902621722844</v>
      </c>
    </row>
    <row r="17" spans="1:14" x14ac:dyDescent="0.2">
      <c r="A17">
        <v>16</v>
      </c>
      <c r="B17">
        <f>LARGE(data!F:F,A17)</f>
        <v>0.86077949399999998</v>
      </c>
      <c r="C17">
        <f>COUNTIFS(data!D:D,data!$I$2,data!F:F,"&gt;="&amp;B17)</f>
        <v>17</v>
      </c>
      <c r="D17">
        <f>COUNTIFS(data!D:D,data!$J$2,data!F:F,"&gt;="&amp;B17)</f>
        <v>1</v>
      </c>
      <c r="E17">
        <f>COUNTIFS(data!D:D,data!$J$2,data!F:F,"&lt;"&amp;B17)</f>
        <v>722</v>
      </c>
      <c r="F17">
        <f>COUNTIFS(data!D:D,data!$I$2,data!F:F,"&lt;"&amp;B17)</f>
        <v>517</v>
      </c>
      <c r="G17">
        <f t="shared" si="1"/>
        <v>1.3831258644536654E-3</v>
      </c>
      <c r="H17">
        <f t="shared" si="2"/>
        <v>3.1835205992509365E-2</v>
      </c>
      <c r="I17">
        <f t="shared" si="3"/>
        <v>0</v>
      </c>
      <c r="J17">
        <f t="shared" si="4"/>
        <v>0.94444444444444442</v>
      </c>
      <c r="K17">
        <f t="shared" si="5"/>
        <v>6.1594202898550728E-2</v>
      </c>
      <c r="L17">
        <f>A17*COUNTIF(data!D:D,data!$I$2)/data!$L$2</f>
        <v>6.7971360381861574</v>
      </c>
      <c r="M17" s="1">
        <f>A17/data!$L$2</f>
        <v>1.2728719172633254E-2</v>
      </c>
      <c r="N17">
        <f t="shared" si="0"/>
        <v>2.5010533707865168</v>
      </c>
    </row>
    <row r="18" spans="1:14" x14ac:dyDescent="0.2">
      <c r="A18">
        <v>17</v>
      </c>
      <c r="B18">
        <f>LARGE(data!F:F,A18)</f>
        <v>0.86077949399999998</v>
      </c>
      <c r="C18">
        <f>COUNTIFS(data!D:D,data!$I$2,data!F:F,"&gt;="&amp;B18)</f>
        <v>17</v>
      </c>
      <c r="D18">
        <f>COUNTIFS(data!D:D,data!$J$2,data!F:F,"&gt;="&amp;B18)</f>
        <v>1</v>
      </c>
      <c r="E18">
        <f>COUNTIFS(data!D:D,data!$J$2,data!F:F,"&lt;"&amp;B18)</f>
        <v>722</v>
      </c>
      <c r="F18">
        <f>COUNTIFS(data!D:D,data!$I$2,data!F:F,"&lt;"&amp;B18)</f>
        <v>517</v>
      </c>
      <c r="G18">
        <f t="shared" si="1"/>
        <v>1.3831258644536654E-3</v>
      </c>
      <c r="H18">
        <f t="shared" si="2"/>
        <v>3.1835205992509365E-2</v>
      </c>
      <c r="I18">
        <f t="shared" si="3"/>
        <v>0</v>
      </c>
      <c r="J18">
        <f t="shared" si="4"/>
        <v>0.94444444444444442</v>
      </c>
      <c r="K18">
        <f t="shared" si="5"/>
        <v>6.1594202898550728E-2</v>
      </c>
      <c r="L18">
        <f>A18*COUNTIF(data!D:D,data!$I$2)/data!$L$2</f>
        <v>7.221957040572792</v>
      </c>
      <c r="M18" s="1">
        <f>A18/data!$L$2</f>
        <v>1.3524264120922832E-2</v>
      </c>
      <c r="N18">
        <f t="shared" si="0"/>
        <v>2.3539325842696632</v>
      </c>
    </row>
    <row r="19" spans="1:14" x14ac:dyDescent="0.2">
      <c r="A19">
        <v>18</v>
      </c>
      <c r="B19">
        <f>LARGE(data!F:F,A19)</f>
        <v>0.86077949399999998</v>
      </c>
      <c r="C19">
        <f>COUNTIFS(data!D:D,data!$I$2,data!F:F,"&gt;="&amp;B19)</f>
        <v>17</v>
      </c>
      <c r="D19">
        <f>COUNTIFS(data!D:D,data!$J$2,data!F:F,"&gt;="&amp;B19)</f>
        <v>1</v>
      </c>
      <c r="E19">
        <f>COUNTIFS(data!D:D,data!$J$2,data!F:F,"&lt;"&amp;B19)</f>
        <v>722</v>
      </c>
      <c r="F19">
        <f>COUNTIFS(data!D:D,data!$I$2,data!F:F,"&lt;"&amp;B19)</f>
        <v>517</v>
      </c>
      <c r="G19">
        <f t="shared" si="1"/>
        <v>1.3831258644536654E-3</v>
      </c>
      <c r="H19">
        <f t="shared" si="2"/>
        <v>3.1835205992509365E-2</v>
      </c>
      <c r="I19">
        <f t="shared" si="3"/>
        <v>0</v>
      </c>
      <c r="J19">
        <f t="shared" si="4"/>
        <v>0.94444444444444442</v>
      </c>
      <c r="K19">
        <f t="shared" si="5"/>
        <v>6.1594202898550728E-2</v>
      </c>
      <c r="L19">
        <f>A19*COUNTIF(data!D:D,data!$I$2)/data!$L$2</f>
        <v>7.6467780429594274</v>
      </c>
      <c r="M19" s="1">
        <f>A19/data!$L$2</f>
        <v>1.4319809069212411E-2</v>
      </c>
      <c r="N19">
        <f t="shared" si="0"/>
        <v>2.2231585518102372</v>
      </c>
    </row>
    <row r="20" spans="1:14" x14ac:dyDescent="0.2">
      <c r="A20">
        <v>19</v>
      </c>
      <c r="B20">
        <f>LARGE(data!F:F,A20)</f>
        <v>0.86005766319999999</v>
      </c>
      <c r="C20">
        <f>COUNTIFS(data!D:D,data!$I$2,data!F:F,"&gt;="&amp;B20)</f>
        <v>18</v>
      </c>
      <c r="D20">
        <f>COUNTIFS(data!D:D,data!$J$2,data!F:F,"&gt;="&amp;B20)</f>
        <v>1</v>
      </c>
      <c r="E20">
        <f>COUNTIFS(data!D:D,data!$J$2,data!F:F,"&lt;"&amp;B20)</f>
        <v>722</v>
      </c>
      <c r="F20">
        <f>COUNTIFS(data!D:D,data!$I$2,data!F:F,"&lt;"&amp;B20)</f>
        <v>516</v>
      </c>
      <c r="G20">
        <f t="shared" si="1"/>
        <v>1.3831258644536654E-3</v>
      </c>
      <c r="H20">
        <f t="shared" si="2"/>
        <v>3.3707865168539325E-2</v>
      </c>
      <c r="I20">
        <f t="shared" si="3"/>
        <v>0</v>
      </c>
      <c r="J20">
        <f t="shared" si="4"/>
        <v>0.94736842105263153</v>
      </c>
      <c r="K20">
        <f t="shared" si="5"/>
        <v>6.50994575045208E-2</v>
      </c>
      <c r="L20">
        <f>A20*COUNTIF(data!D:D,data!$I$2)/data!$L$2</f>
        <v>8.071599045346062</v>
      </c>
      <c r="M20" s="1">
        <f>A20/data!$L$2</f>
        <v>1.5115354017501989E-2</v>
      </c>
      <c r="N20">
        <f t="shared" si="0"/>
        <v>2.2300413956238914</v>
      </c>
    </row>
    <row r="21" spans="1:14" x14ac:dyDescent="0.2">
      <c r="A21">
        <v>20</v>
      </c>
      <c r="B21">
        <f>LARGE(data!F:F,A21)</f>
        <v>0.85965835970000004</v>
      </c>
      <c r="C21">
        <f>COUNTIFS(data!D:D,data!$I$2,data!F:F,"&gt;="&amp;B21)</f>
        <v>20</v>
      </c>
      <c r="D21">
        <f>COUNTIFS(data!D:D,data!$J$2,data!F:F,"&gt;="&amp;B21)</f>
        <v>1</v>
      </c>
      <c r="E21">
        <f>COUNTIFS(data!D:D,data!$J$2,data!F:F,"&lt;"&amp;B21)</f>
        <v>722</v>
      </c>
      <c r="F21">
        <f>COUNTIFS(data!D:D,data!$I$2,data!F:F,"&lt;"&amp;B21)</f>
        <v>514</v>
      </c>
      <c r="G21">
        <f t="shared" si="1"/>
        <v>1.3831258644536654E-3</v>
      </c>
      <c r="H21">
        <f t="shared" si="2"/>
        <v>3.7453183520599252E-2</v>
      </c>
      <c r="I21">
        <f t="shared" si="3"/>
        <v>0</v>
      </c>
      <c r="J21">
        <f t="shared" si="4"/>
        <v>0.95238095238095233</v>
      </c>
      <c r="K21">
        <f t="shared" si="5"/>
        <v>7.2072072072072071E-2</v>
      </c>
      <c r="L21">
        <f>A21*COUNTIF(data!D:D,data!$I$2)/data!$L$2</f>
        <v>8.4964200477326965</v>
      </c>
      <c r="M21" s="1">
        <f>A21/data!$L$2</f>
        <v>1.5910898965791568E-2</v>
      </c>
      <c r="N21">
        <f t="shared" si="0"/>
        <v>2.3539325842696632</v>
      </c>
    </row>
    <row r="22" spans="1:14" x14ac:dyDescent="0.2">
      <c r="A22">
        <v>21</v>
      </c>
      <c r="B22">
        <f>LARGE(data!F:F,A22)</f>
        <v>0.85965835970000004</v>
      </c>
      <c r="C22">
        <f>COUNTIFS(data!D:D,data!$I$2,data!F:F,"&gt;="&amp;B22)</f>
        <v>20</v>
      </c>
      <c r="D22">
        <f>COUNTIFS(data!D:D,data!$J$2,data!F:F,"&gt;="&amp;B22)</f>
        <v>1</v>
      </c>
      <c r="E22">
        <f>COUNTIFS(data!D:D,data!$J$2,data!F:F,"&lt;"&amp;B22)</f>
        <v>722</v>
      </c>
      <c r="F22">
        <f>COUNTIFS(data!D:D,data!$I$2,data!F:F,"&lt;"&amp;B22)</f>
        <v>514</v>
      </c>
      <c r="G22">
        <f t="shared" si="1"/>
        <v>1.3831258644536654E-3</v>
      </c>
      <c r="H22">
        <f t="shared" si="2"/>
        <v>3.7453183520599252E-2</v>
      </c>
      <c r="I22">
        <f t="shared" si="3"/>
        <v>0</v>
      </c>
      <c r="J22">
        <f t="shared" si="4"/>
        <v>0.95238095238095233</v>
      </c>
      <c r="K22">
        <f t="shared" si="5"/>
        <v>7.2072072072072071E-2</v>
      </c>
      <c r="L22">
        <f>A22*COUNTIF(data!D:D,data!$I$2)/data!$L$2</f>
        <v>8.9212410501193311</v>
      </c>
      <c r="M22" s="1">
        <f>A22/data!$L$2</f>
        <v>1.6706443914081145E-2</v>
      </c>
      <c r="N22">
        <f t="shared" si="0"/>
        <v>2.2418405564472983</v>
      </c>
    </row>
    <row r="23" spans="1:14" x14ac:dyDescent="0.2">
      <c r="A23">
        <v>22</v>
      </c>
      <c r="B23">
        <f>LARGE(data!F:F,A23)</f>
        <v>0.85901316770000002</v>
      </c>
      <c r="C23">
        <f>COUNTIFS(data!D:D,data!$I$2,data!F:F,"&gt;="&amp;B23)</f>
        <v>20</v>
      </c>
      <c r="D23">
        <f>COUNTIFS(data!D:D,data!$J$2,data!F:F,"&gt;="&amp;B23)</f>
        <v>2</v>
      </c>
      <c r="E23">
        <f>COUNTIFS(data!D:D,data!$J$2,data!F:F,"&lt;"&amp;B23)</f>
        <v>721</v>
      </c>
      <c r="F23">
        <f>COUNTIFS(data!D:D,data!$I$2,data!F:F,"&lt;"&amp;B23)</f>
        <v>514</v>
      </c>
      <c r="G23">
        <f t="shared" si="1"/>
        <v>2.7662517289073307E-3</v>
      </c>
      <c r="H23">
        <f t="shared" si="2"/>
        <v>3.7453183520599252E-2</v>
      </c>
      <c r="I23">
        <f t="shared" si="3"/>
        <v>5.1802466833470613E-5</v>
      </c>
      <c r="J23">
        <f t="shared" si="4"/>
        <v>0.90909090909090906</v>
      </c>
      <c r="K23">
        <f t="shared" si="5"/>
        <v>7.1942446043165478E-2</v>
      </c>
      <c r="L23">
        <f>A23*COUNTIF(data!D:D,data!$I$2)/data!$L$2</f>
        <v>9.3460620525059674</v>
      </c>
      <c r="M23" s="1">
        <f>A23/data!$L$2</f>
        <v>1.7501988862370723E-2</v>
      </c>
      <c r="N23">
        <f t="shared" si="0"/>
        <v>2.1399387129724206</v>
      </c>
    </row>
    <row r="24" spans="1:14" x14ac:dyDescent="0.2">
      <c r="A24">
        <v>23</v>
      </c>
      <c r="B24">
        <f>LARGE(data!F:F,A24)</f>
        <v>0.85727229439999997</v>
      </c>
      <c r="C24">
        <f>COUNTIFS(data!D:D,data!$I$2,data!F:F,"&gt;="&amp;B24)</f>
        <v>24</v>
      </c>
      <c r="D24">
        <f>COUNTIFS(data!D:D,data!$J$2,data!F:F,"&gt;="&amp;B24)</f>
        <v>2</v>
      </c>
      <c r="E24">
        <f>COUNTIFS(data!D:D,data!$J$2,data!F:F,"&lt;"&amp;B24)</f>
        <v>721</v>
      </c>
      <c r="F24">
        <f>COUNTIFS(data!D:D,data!$I$2,data!F:F,"&lt;"&amp;B24)</f>
        <v>510</v>
      </c>
      <c r="G24">
        <f t="shared" si="1"/>
        <v>2.7662517289073307E-3</v>
      </c>
      <c r="H24">
        <f t="shared" si="2"/>
        <v>4.49438202247191E-2</v>
      </c>
      <c r="I24">
        <f t="shared" si="3"/>
        <v>0</v>
      </c>
      <c r="J24">
        <f t="shared" si="4"/>
        <v>0.92307692307692313</v>
      </c>
      <c r="K24">
        <f t="shared" si="5"/>
        <v>8.5714285714285701E-2</v>
      </c>
      <c r="L24">
        <f>A24*COUNTIF(data!D:D,data!$I$2)/data!$L$2</f>
        <v>9.770883054892602</v>
      </c>
      <c r="M24" s="1">
        <f>A24/data!$L$2</f>
        <v>1.8297533810660304E-2</v>
      </c>
      <c r="N24">
        <f t="shared" si="0"/>
        <v>2.456277479237909</v>
      </c>
    </row>
    <row r="25" spans="1:14" x14ac:dyDescent="0.2">
      <c r="A25">
        <v>24</v>
      </c>
      <c r="B25">
        <f>LARGE(data!F:F,A25)</f>
        <v>0.85727229439999997</v>
      </c>
      <c r="C25">
        <f>COUNTIFS(data!D:D,data!$I$2,data!F:F,"&gt;="&amp;B25)</f>
        <v>24</v>
      </c>
      <c r="D25">
        <f>COUNTIFS(data!D:D,data!$J$2,data!F:F,"&gt;="&amp;B25)</f>
        <v>2</v>
      </c>
      <c r="E25">
        <f>COUNTIFS(data!D:D,data!$J$2,data!F:F,"&lt;"&amp;B25)</f>
        <v>721</v>
      </c>
      <c r="F25">
        <f>COUNTIFS(data!D:D,data!$I$2,data!F:F,"&lt;"&amp;B25)</f>
        <v>510</v>
      </c>
      <c r="G25">
        <f t="shared" si="1"/>
        <v>2.7662517289073307E-3</v>
      </c>
      <c r="H25">
        <f t="shared" si="2"/>
        <v>4.49438202247191E-2</v>
      </c>
      <c r="I25">
        <f t="shared" si="3"/>
        <v>0</v>
      </c>
      <c r="J25">
        <f t="shared" si="4"/>
        <v>0.92307692307692313</v>
      </c>
      <c r="K25">
        <f t="shared" si="5"/>
        <v>8.5714285714285701E-2</v>
      </c>
      <c r="L25">
        <f>A25*COUNTIF(data!D:D,data!$I$2)/data!$L$2</f>
        <v>10.195704057279237</v>
      </c>
      <c r="M25" s="1">
        <f>A25/data!$L$2</f>
        <v>1.9093078758949882E-2</v>
      </c>
      <c r="N25">
        <f t="shared" si="0"/>
        <v>2.3539325842696628</v>
      </c>
    </row>
    <row r="26" spans="1:14" x14ac:dyDescent="0.2">
      <c r="A26">
        <v>25</v>
      </c>
      <c r="B26">
        <f>LARGE(data!F:F,A26)</f>
        <v>0.85727229439999997</v>
      </c>
      <c r="C26">
        <f>COUNTIFS(data!D:D,data!$I$2,data!F:F,"&gt;="&amp;B26)</f>
        <v>24</v>
      </c>
      <c r="D26">
        <f>COUNTIFS(data!D:D,data!$J$2,data!F:F,"&gt;="&amp;B26)</f>
        <v>2</v>
      </c>
      <c r="E26">
        <f>COUNTIFS(data!D:D,data!$J$2,data!F:F,"&lt;"&amp;B26)</f>
        <v>721</v>
      </c>
      <c r="F26">
        <f>COUNTIFS(data!D:D,data!$I$2,data!F:F,"&lt;"&amp;B26)</f>
        <v>510</v>
      </c>
      <c r="G26">
        <f t="shared" si="1"/>
        <v>2.7662517289073307E-3</v>
      </c>
      <c r="H26">
        <f t="shared" si="2"/>
        <v>4.49438202247191E-2</v>
      </c>
      <c r="I26">
        <f t="shared" si="3"/>
        <v>0</v>
      </c>
      <c r="J26">
        <f t="shared" si="4"/>
        <v>0.92307692307692313</v>
      </c>
      <c r="K26">
        <f t="shared" si="5"/>
        <v>8.5714285714285701E-2</v>
      </c>
      <c r="L26">
        <f>A26*COUNTIF(data!D:D,data!$I$2)/data!$L$2</f>
        <v>10.620525059665871</v>
      </c>
      <c r="M26" s="1">
        <f>A26/data!$L$2</f>
        <v>1.9888623707239459E-2</v>
      </c>
      <c r="N26">
        <f t="shared" si="0"/>
        <v>2.2597752808988765</v>
      </c>
    </row>
    <row r="27" spans="1:14" x14ac:dyDescent="0.2">
      <c r="A27">
        <v>26</v>
      </c>
      <c r="B27">
        <f>LARGE(data!F:F,A27)</f>
        <v>0.85727229439999997</v>
      </c>
      <c r="C27">
        <f>COUNTIFS(data!D:D,data!$I$2,data!F:F,"&gt;="&amp;B27)</f>
        <v>24</v>
      </c>
      <c r="D27">
        <f>COUNTIFS(data!D:D,data!$J$2,data!F:F,"&gt;="&amp;B27)</f>
        <v>2</v>
      </c>
      <c r="E27">
        <f>COUNTIFS(data!D:D,data!$J$2,data!F:F,"&lt;"&amp;B27)</f>
        <v>721</v>
      </c>
      <c r="F27">
        <f>COUNTIFS(data!D:D,data!$I$2,data!F:F,"&lt;"&amp;B27)</f>
        <v>510</v>
      </c>
      <c r="G27">
        <f t="shared" si="1"/>
        <v>2.7662517289073307E-3</v>
      </c>
      <c r="H27">
        <f t="shared" si="2"/>
        <v>4.49438202247191E-2</v>
      </c>
      <c r="I27">
        <f t="shared" si="3"/>
        <v>0</v>
      </c>
      <c r="J27">
        <f t="shared" si="4"/>
        <v>0.92307692307692313</v>
      </c>
      <c r="K27">
        <f t="shared" si="5"/>
        <v>8.5714285714285701E-2</v>
      </c>
      <c r="L27">
        <f>A27*COUNTIF(data!D:D,data!$I$2)/data!$L$2</f>
        <v>11.045346062052506</v>
      </c>
      <c r="M27" s="1">
        <f>A27/data!$L$2</f>
        <v>2.0684168655529037E-2</v>
      </c>
      <c r="N27">
        <f t="shared" si="0"/>
        <v>2.1728608470181503</v>
      </c>
    </row>
    <row r="28" spans="1:14" x14ac:dyDescent="0.2">
      <c r="A28">
        <v>27</v>
      </c>
      <c r="B28">
        <f>LARGE(data!F:F,A28)</f>
        <v>0.84940896359999996</v>
      </c>
      <c r="C28">
        <f>COUNTIFS(data!D:D,data!$I$2,data!F:F,"&gt;="&amp;B28)</f>
        <v>25</v>
      </c>
      <c r="D28">
        <f>COUNTIFS(data!D:D,data!$J$2,data!F:F,"&gt;="&amp;B28)</f>
        <v>2</v>
      </c>
      <c r="E28">
        <f>COUNTIFS(data!D:D,data!$J$2,data!F:F,"&lt;"&amp;B28)</f>
        <v>721</v>
      </c>
      <c r="F28">
        <f>COUNTIFS(data!D:D,data!$I$2,data!F:F,"&lt;"&amp;B28)</f>
        <v>509</v>
      </c>
      <c r="G28">
        <f t="shared" si="1"/>
        <v>2.7662517289073307E-3</v>
      </c>
      <c r="H28">
        <f t="shared" si="2"/>
        <v>4.6816479400749067E-2</v>
      </c>
      <c r="I28">
        <f t="shared" si="3"/>
        <v>0</v>
      </c>
      <c r="J28">
        <f t="shared" si="4"/>
        <v>0.92592592592592593</v>
      </c>
      <c r="K28">
        <f t="shared" si="5"/>
        <v>8.9126559714795009E-2</v>
      </c>
      <c r="L28">
        <f>A28*COUNTIF(data!D:D,data!$I$2)/data!$L$2</f>
        <v>11.47016706443914</v>
      </c>
      <c r="M28" s="1">
        <f>A28/data!$L$2</f>
        <v>2.1479713603818614E-2</v>
      </c>
      <c r="N28">
        <f t="shared" si="0"/>
        <v>2.1795672076570956</v>
      </c>
    </row>
    <row r="29" spans="1:14" x14ac:dyDescent="0.2">
      <c r="A29">
        <v>28</v>
      </c>
      <c r="B29">
        <f>LARGE(data!F:F,A29)</f>
        <v>0.84791580639999997</v>
      </c>
      <c r="C29">
        <f>COUNTIFS(data!D:D,data!$I$2,data!F:F,"&gt;="&amp;B29)</f>
        <v>27</v>
      </c>
      <c r="D29">
        <f>COUNTIFS(data!D:D,data!$J$2,data!F:F,"&gt;="&amp;B29)</f>
        <v>2</v>
      </c>
      <c r="E29">
        <f>COUNTIFS(data!D:D,data!$J$2,data!F:F,"&lt;"&amp;B29)</f>
        <v>721</v>
      </c>
      <c r="F29">
        <f>COUNTIFS(data!D:D,data!$I$2,data!F:F,"&lt;"&amp;B29)</f>
        <v>507</v>
      </c>
      <c r="G29">
        <f t="shared" si="1"/>
        <v>2.7662517289073307E-3</v>
      </c>
      <c r="H29">
        <f t="shared" si="2"/>
        <v>5.0561797752808987E-2</v>
      </c>
      <c r="I29">
        <f t="shared" si="3"/>
        <v>0</v>
      </c>
      <c r="J29">
        <f t="shared" si="4"/>
        <v>0.93103448275862066</v>
      </c>
      <c r="K29">
        <f t="shared" si="5"/>
        <v>9.5914742451154528E-2</v>
      </c>
      <c r="L29">
        <f>A29*COUNTIF(data!D:D,data!$I$2)/data!$L$2</f>
        <v>11.894988066825775</v>
      </c>
      <c r="M29" s="1">
        <f>A29/data!$L$2</f>
        <v>2.2275258552108195E-2</v>
      </c>
      <c r="N29">
        <f t="shared" si="0"/>
        <v>2.2698635634028892</v>
      </c>
    </row>
    <row r="30" spans="1:14" x14ac:dyDescent="0.2">
      <c r="A30">
        <v>29</v>
      </c>
      <c r="B30">
        <f>LARGE(data!F:F,A30)</f>
        <v>0.84791580639999997</v>
      </c>
      <c r="C30">
        <f>COUNTIFS(data!D:D,data!$I$2,data!F:F,"&gt;="&amp;B30)</f>
        <v>27</v>
      </c>
      <c r="D30">
        <f>COUNTIFS(data!D:D,data!$J$2,data!F:F,"&gt;="&amp;B30)</f>
        <v>2</v>
      </c>
      <c r="E30">
        <f>COUNTIFS(data!D:D,data!$J$2,data!F:F,"&lt;"&amp;B30)</f>
        <v>721</v>
      </c>
      <c r="F30">
        <f>COUNTIFS(data!D:D,data!$I$2,data!F:F,"&lt;"&amp;B30)</f>
        <v>507</v>
      </c>
      <c r="G30">
        <f t="shared" si="1"/>
        <v>2.7662517289073307E-3</v>
      </c>
      <c r="H30">
        <f t="shared" si="2"/>
        <v>5.0561797752808987E-2</v>
      </c>
      <c r="I30">
        <f t="shared" si="3"/>
        <v>0</v>
      </c>
      <c r="J30">
        <f t="shared" si="4"/>
        <v>0.93103448275862066</v>
      </c>
      <c r="K30">
        <f t="shared" si="5"/>
        <v>9.5914742451154528E-2</v>
      </c>
      <c r="L30">
        <f>A30*COUNTIF(data!D:D,data!$I$2)/data!$L$2</f>
        <v>12.319809069212411</v>
      </c>
      <c r="M30" s="1">
        <f>A30/data!$L$2</f>
        <v>2.3070803500397773E-2</v>
      </c>
      <c r="N30">
        <f t="shared" si="0"/>
        <v>2.1915924060441689</v>
      </c>
    </row>
    <row r="31" spans="1:14" x14ac:dyDescent="0.2">
      <c r="A31">
        <v>30</v>
      </c>
      <c r="B31">
        <f>LARGE(data!F:F,A31)</f>
        <v>0.84474184559999999</v>
      </c>
      <c r="C31">
        <f>COUNTIFS(data!D:D,data!$I$2,data!F:F,"&gt;="&amp;B31)</f>
        <v>28</v>
      </c>
      <c r="D31">
        <f>COUNTIFS(data!D:D,data!$J$2,data!F:F,"&gt;="&amp;B31)</f>
        <v>2</v>
      </c>
      <c r="E31">
        <f>COUNTIFS(data!D:D,data!$J$2,data!F:F,"&lt;"&amp;B31)</f>
        <v>721</v>
      </c>
      <c r="F31">
        <f>COUNTIFS(data!D:D,data!$I$2,data!F:F,"&lt;"&amp;B31)</f>
        <v>506</v>
      </c>
      <c r="G31">
        <f t="shared" si="1"/>
        <v>2.7662517289073307E-3</v>
      </c>
      <c r="H31">
        <f t="shared" si="2"/>
        <v>5.2434456928838954E-2</v>
      </c>
      <c r="I31">
        <f t="shared" si="3"/>
        <v>0</v>
      </c>
      <c r="J31">
        <f t="shared" si="4"/>
        <v>0.93333333333333335</v>
      </c>
      <c r="K31">
        <f t="shared" si="5"/>
        <v>9.9290780141843976E-2</v>
      </c>
      <c r="L31">
        <f>A31*COUNTIF(data!D:D,data!$I$2)/data!$L$2</f>
        <v>12.744630071599046</v>
      </c>
      <c r="M31" s="1">
        <f>A31/data!$L$2</f>
        <v>2.386634844868735E-2</v>
      </c>
      <c r="N31">
        <f t="shared" si="0"/>
        <v>2.197003745318352</v>
      </c>
    </row>
    <row r="32" spans="1:14" x14ac:dyDescent="0.2">
      <c r="A32">
        <v>31</v>
      </c>
      <c r="B32">
        <f>LARGE(data!F:F,A32)</f>
        <v>0.84437830970000005</v>
      </c>
      <c r="C32">
        <f>COUNTIFS(data!D:D,data!$I$2,data!F:F,"&gt;="&amp;B32)</f>
        <v>28</v>
      </c>
      <c r="D32">
        <f>COUNTIFS(data!D:D,data!$J$2,data!F:F,"&gt;="&amp;B32)</f>
        <v>3</v>
      </c>
      <c r="E32">
        <f>COUNTIFS(data!D:D,data!$J$2,data!F:F,"&lt;"&amp;B32)</f>
        <v>720</v>
      </c>
      <c r="F32">
        <f>COUNTIFS(data!D:D,data!$I$2,data!F:F,"&lt;"&amp;B32)</f>
        <v>506</v>
      </c>
      <c r="G32">
        <f t="shared" si="1"/>
        <v>4.1493775933609959E-3</v>
      </c>
      <c r="H32">
        <f t="shared" si="2"/>
        <v>5.2434456928838954E-2</v>
      </c>
      <c r="I32">
        <f t="shared" si="3"/>
        <v>7.2523453566858845E-5</v>
      </c>
      <c r="J32">
        <f t="shared" si="4"/>
        <v>0.90322580645161288</v>
      </c>
      <c r="K32">
        <f t="shared" si="5"/>
        <v>9.9115044247787623E-2</v>
      </c>
      <c r="L32">
        <f>A32*COUNTIF(data!D:D,data!$I$2)/data!$L$2</f>
        <v>13.16945107398568</v>
      </c>
      <c r="M32" s="1">
        <f>A32/data!$L$2</f>
        <v>2.4661893396976928E-2</v>
      </c>
      <c r="N32">
        <f t="shared" si="0"/>
        <v>2.1261326567596956</v>
      </c>
    </row>
    <row r="33" spans="1:14" x14ac:dyDescent="0.2">
      <c r="A33">
        <v>32</v>
      </c>
      <c r="B33">
        <f>LARGE(data!F:F,A33)</f>
        <v>0.83873738630000005</v>
      </c>
      <c r="C33">
        <f>COUNTIFS(data!D:D,data!$I$2,data!F:F,"&gt;="&amp;B33)</f>
        <v>29</v>
      </c>
      <c r="D33">
        <f>COUNTIFS(data!D:D,data!$J$2,data!F:F,"&gt;="&amp;B33)</f>
        <v>3</v>
      </c>
      <c r="E33">
        <f>COUNTIFS(data!D:D,data!$J$2,data!F:F,"&lt;"&amp;B33)</f>
        <v>720</v>
      </c>
      <c r="F33">
        <f>COUNTIFS(data!D:D,data!$I$2,data!F:F,"&lt;"&amp;B33)</f>
        <v>505</v>
      </c>
      <c r="G33">
        <f t="shared" si="1"/>
        <v>4.1493775933609959E-3</v>
      </c>
      <c r="H33">
        <f t="shared" si="2"/>
        <v>5.4307116104868915E-2</v>
      </c>
      <c r="I33">
        <f t="shared" si="3"/>
        <v>0</v>
      </c>
      <c r="J33">
        <f t="shared" si="4"/>
        <v>0.90625</v>
      </c>
      <c r="K33">
        <f t="shared" si="5"/>
        <v>0.10247349823321554</v>
      </c>
      <c r="L33">
        <f>A33*COUNTIF(data!D:D,data!$I$2)/data!$L$2</f>
        <v>13.594272076372315</v>
      </c>
      <c r="M33" s="1">
        <f>A33/data!$L$2</f>
        <v>2.5457438345266509E-2</v>
      </c>
      <c r="N33">
        <f t="shared" si="0"/>
        <v>2.133251404494382</v>
      </c>
    </row>
    <row r="34" spans="1:14" x14ac:dyDescent="0.2">
      <c r="A34">
        <v>33</v>
      </c>
      <c r="B34">
        <f>LARGE(data!F:F,A34)</f>
        <v>0.83355822609999997</v>
      </c>
      <c r="C34">
        <f>COUNTIFS(data!D:D,data!$I$2,data!F:F,"&gt;="&amp;B34)</f>
        <v>29</v>
      </c>
      <c r="D34">
        <f>COUNTIFS(data!D:D,data!$J$2,data!F:F,"&gt;="&amp;B34)</f>
        <v>4</v>
      </c>
      <c r="E34">
        <f>COUNTIFS(data!D:D,data!$J$2,data!F:F,"&lt;"&amp;B34)</f>
        <v>719</v>
      </c>
      <c r="F34">
        <f>COUNTIFS(data!D:D,data!$I$2,data!F:F,"&lt;"&amp;B34)</f>
        <v>505</v>
      </c>
      <c r="G34">
        <f t="shared" si="1"/>
        <v>5.5325034578146614E-3</v>
      </c>
      <c r="H34">
        <f t="shared" si="2"/>
        <v>5.4307116104868915E-2</v>
      </c>
      <c r="I34">
        <f t="shared" si="3"/>
        <v>7.5113576908532404E-5</v>
      </c>
      <c r="J34">
        <f t="shared" si="4"/>
        <v>0.87878787878787878</v>
      </c>
      <c r="K34">
        <f t="shared" si="5"/>
        <v>0.10229276895943563</v>
      </c>
      <c r="L34">
        <f>A34*COUNTIF(data!D:D,data!$I$2)/data!$L$2</f>
        <v>14.019093078758949</v>
      </c>
      <c r="M34" s="1">
        <f>A34/data!$L$2</f>
        <v>2.6252983293556086E-2</v>
      </c>
      <c r="N34">
        <f t="shared" si="0"/>
        <v>2.0686074225400071</v>
      </c>
    </row>
    <row r="35" spans="1:14" x14ac:dyDescent="0.2">
      <c r="A35">
        <v>34</v>
      </c>
      <c r="B35">
        <f>LARGE(data!F:F,A35)</f>
        <v>0.83222744589999997</v>
      </c>
      <c r="C35">
        <f>COUNTIFS(data!D:D,data!$I$2,data!F:F,"&gt;="&amp;B35)</f>
        <v>30</v>
      </c>
      <c r="D35">
        <f>COUNTIFS(data!D:D,data!$J$2,data!F:F,"&gt;="&amp;B35)</f>
        <v>4</v>
      </c>
      <c r="E35">
        <f>COUNTIFS(data!D:D,data!$J$2,data!F:F,"&lt;"&amp;B35)</f>
        <v>719</v>
      </c>
      <c r="F35">
        <f>COUNTIFS(data!D:D,data!$I$2,data!F:F,"&lt;"&amp;B35)</f>
        <v>504</v>
      </c>
      <c r="G35">
        <f t="shared" si="1"/>
        <v>5.5325034578146614E-3</v>
      </c>
      <c r="H35">
        <f t="shared" si="2"/>
        <v>5.6179775280898875E-2</v>
      </c>
      <c r="I35">
        <f t="shared" si="3"/>
        <v>0</v>
      </c>
      <c r="J35">
        <f t="shared" si="4"/>
        <v>0.88235294117647056</v>
      </c>
      <c r="K35">
        <f t="shared" si="5"/>
        <v>0.10563380281690141</v>
      </c>
      <c r="L35">
        <f>A35*COUNTIF(data!D:D,data!$I$2)/data!$L$2</f>
        <v>14.443914081145584</v>
      </c>
      <c r="M35" s="1">
        <f>A35/data!$L$2</f>
        <v>2.7048528241845664E-2</v>
      </c>
      <c r="N35">
        <f t="shared" si="0"/>
        <v>2.0769993390614676</v>
      </c>
    </row>
    <row r="36" spans="1:14" x14ac:dyDescent="0.2">
      <c r="A36">
        <v>35</v>
      </c>
      <c r="B36">
        <f>LARGE(data!F:F,A36)</f>
        <v>0.83209582989999997</v>
      </c>
      <c r="C36">
        <f>COUNTIFS(data!D:D,data!$I$2,data!F:F,"&gt;="&amp;B36)</f>
        <v>31</v>
      </c>
      <c r="D36">
        <f>COUNTIFS(data!D:D,data!$J$2,data!F:F,"&gt;="&amp;B36)</f>
        <v>4</v>
      </c>
      <c r="E36">
        <f>COUNTIFS(data!D:D,data!$J$2,data!F:F,"&lt;"&amp;B36)</f>
        <v>719</v>
      </c>
      <c r="F36">
        <f>COUNTIFS(data!D:D,data!$I$2,data!F:F,"&lt;"&amp;B36)</f>
        <v>503</v>
      </c>
      <c r="G36">
        <f t="shared" si="1"/>
        <v>5.5325034578146614E-3</v>
      </c>
      <c r="H36">
        <f t="shared" si="2"/>
        <v>5.8052434456928842E-2</v>
      </c>
      <c r="I36">
        <f t="shared" si="3"/>
        <v>0</v>
      </c>
      <c r="J36">
        <f t="shared" si="4"/>
        <v>0.88571428571428568</v>
      </c>
      <c r="K36">
        <f t="shared" si="5"/>
        <v>0.10896309314586995</v>
      </c>
      <c r="L36">
        <f>A36*COUNTIF(data!D:D,data!$I$2)/data!$L$2</f>
        <v>14.86873508353222</v>
      </c>
      <c r="M36" s="1">
        <f>A36/data!$L$2</f>
        <v>2.7844073190135241E-2</v>
      </c>
      <c r="N36">
        <f t="shared" si="0"/>
        <v>2.084911717495987</v>
      </c>
    </row>
    <row r="37" spans="1:14" x14ac:dyDescent="0.2">
      <c r="A37">
        <v>36</v>
      </c>
      <c r="B37">
        <f>LARGE(data!F:F,A37)</f>
        <v>0.83020506390000004</v>
      </c>
      <c r="C37">
        <f>COUNTIFS(data!D:D,data!$I$2,data!F:F,"&gt;="&amp;B37)</f>
        <v>33</v>
      </c>
      <c r="D37">
        <f>COUNTIFS(data!D:D,data!$J$2,data!F:F,"&gt;="&amp;B37)</f>
        <v>4</v>
      </c>
      <c r="E37">
        <f>COUNTIFS(data!D:D,data!$J$2,data!F:F,"&lt;"&amp;B37)</f>
        <v>719</v>
      </c>
      <c r="F37">
        <f>COUNTIFS(data!D:D,data!$I$2,data!F:F,"&lt;"&amp;B37)</f>
        <v>501</v>
      </c>
      <c r="G37">
        <f t="shared" si="1"/>
        <v>5.5325034578146614E-3</v>
      </c>
      <c r="H37">
        <f t="shared" si="2"/>
        <v>6.1797752808988762E-2</v>
      </c>
      <c r="I37">
        <f t="shared" si="3"/>
        <v>0</v>
      </c>
      <c r="J37">
        <f t="shared" si="4"/>
        <v>0.89189189189189189</v>
      </c>
      <c r="K37">
        <f t="shared" si="5"/>
        <v>0.11558669001751314</v>
      </c>
      <c r="L37">
        <f>A37*COUNTIF(data!D:D,data!$I$2)/data!$L$2</f>
        <v>15.293556085918855</v>
      </c>
      <c r="M37" s="1">
        <f>A37/data!$L$2</f>
        <v>2.8639618138424822E-2</v>
      </c>
      <c r="N37">
        <f t="shared" si="0"/>
        <v>2.1577715355805243</v>
      </c>
    </row>
    <row r="38" spans="1:14" x14ac:dyDescent="0.2">
      <c r="A38">
        <v>37</v>
      </c>
      <c r="B38">
        <f>LARGE(data!F:F,A38)</f>
        <v>0.83020506390000004</v>
      </c>
      <c r="C38">
        <f>COUNTIFS(data!D:D,data!$I$2,data!F:F,"&gt;="&amp;B38)</f>
        <v>33</v>
      </c>
      <c r="D38">
        <f>COUNTIFS(data!D:D,data!$J$2,data!F:F,"&gt;="&amp;B38)</f>
        <v>4</v>
      </c>
      <c r="E38">
        <f>COUNTIFS(data!D:D,data!$J$2,data!F:F,"&lt;"&amp;B38)</f>
        <v>719</v>
      </c>
      <c r="F38">
        <f>COUNTIFS(data!D:D,data!$I$2,data!F:F,"&lt;"&amp;B38)</f>
        <v>501</v>
      </c>
      <c r="G38">
        <f t="shared" si="1"/>
        <v>5.5325034578146614E-3</v>
      </c>
      <c r="H38">
        <f t="shared" si="2"/>
        <v>6.1797752808988762E-2</v>
      </c>
      <c r="I38">
        <f t="shared" si="3"/>
        <v>0</v>
      </c>
      <c r="J38">
        <f t="shared" si="4"/>
        <v>0.89189189189189189</v>
      </c>
      <c r="K38">
        <f t="shared" si="5"/>
        <v>0.11558669001751314</v>
      </c>
      <c r="L38">
        <f>A38*COUNTIF(data!D:D,data!$I$2)/data!$L$2</f>
        <v>15.718377088305489</v>
      </c>
      <c r="M38" s="1">
        <f>A38/data!$L$2</f>
        <v>2.94351630867144E-2</v>
      </c>
      <c r="N38">
        <f t="shared" si="0"/>
        <v>2.0994533859702398</v>
      </c>
    </row>
    <row r="39" spans="1:14" x14ac:dyDescent="0.2">
      <c r="A39">
        <v>38</v>
      </c>
      <c r="B39">
        <f>LARGE(data!F:F,A39)</f>
        <v>0.82996226350000002</v>
      </c>
      <c r="C39">
        <f>COUNTIFS(data!D:D,data!$I$2,data!F:F,"&gt;="&amp;B39)</f>
        <v>34</v>
      </c>
      <c r="D39">
        <f>COUNTIFS(data!D:D,data!$J$2,data!F:F,"&gt;="&amp;B39)</f>
        <v>4</v>
      </c>
      <c r="E39">
        <f>COUNTIFS(data!D:D,data!$J$2,data!F:F,"&lt;"&amp;B39)</f>
        <v>719</v>
      </c>
      <c r="F39">
        <f>COUNTIFS(data!D:D,data!$I$2,data!F:F,"&lt;"&amp;B39)</f>
        <v>500</v>
      </c>
      <c r="G39">
        <f t="shared" si="1"/>
        <v>5.5325034578146614E-3</v>
      </c>
      <c r="H39">
        <f t="shared" si="2"/>
        <v>6.3670411985018729E-2</v>
      </c>
      <c r="I39">
        <f t="shared" si="3"/>
        <v>0</v>
      </c>
      <c r="J39">
        <f t="shared" si="4"/>
        <v>0.89473684210526316</v>
      </c>
      <c r="K39">
        <f t="shared" si="5"/>
        <v>0.11888111888111888</v>
      </c>
      <c r="L39">
        <f>A39*COUNTIF(data!D:D,data!$I$2)/data!$L$2</f>
        <v>16.143198090692124</v>
      </c>
      <c r="M39" s="1">
        <f>A39/data!$L$2</f>
        <v>3.0230708035003977E-2</v>
      </c>
      <c r="N39">
        <f t="shared" si="0"/>
        <v>2.1061502069781195</v>
      </c>
    </row>
    <row r="40" spans="1:14" x14ac:dyDescent="0.2">
      <c r="A40">
        <v>39</v>
      </c>
      <c r="B40">
        <f>LARGE(data!F:F,A40)</f>
        <v>0.82975684750000001</v>
      </c>
      <c r="C40">
        <f>COUNTIFS(data!D:D,data!$I$2,data!F:F,"&gt;="&amp;B40)</f>
        <v>34</v>
      </c>
      <c r="D40">
        <f>COUNTIFS(data!D:D,data!$J$2,data!F:F,"&gt;="&amp;B40)</f>
        <v>5</v>
      </c>
      <c r="E40">
        <f>COUNTIFS(data!D:D,data!$J$2,data!F:F,"&lt;"&amp;B40)</f>
        <v>718</v>
      </c>
      <c r="F40">
        <f>COUNTIFS(data!D:D,data!$I$2,data!F:F,"&lt;"&amp;B40)</f>
        <v>500</v>
      </c>
      <c r="G40">
        <f t="shared" si="1"/>
        <v>6.9156293222683261E-3</v>
      </c>
      <c r="H40">
        <f t="shared" si="2"/>
        <v>6.3670411985018729E-2</v>
      </c>
      <c r="I40">
        <f t="shared" si="3"/>
        <v>8.8064193616900008E-5</v>
      </c>
      <c r="J40">
        <f t="shared" si="4"/>
        <v>0.87179487179487181</v>
      </c>
      <c r="K40">
        <f t="shared" si="5"/>
        <v>0.11867364746945899</v>
      </c>
      <c r="L40">
        <f>A40*COUNTIF(data!D:D,data!$I$2)/data!$L$2</f>
        <v>16.56801909307876</v>
      </c>
      <c r="M40" s="1">
        <f>A40/data!$L$2</f>
        <v>3.1026252983293555E-2</v>
      </c>
      <c r="N40">
        <f t="shared" si="0"/>
        <v>2.052146355517142</v>
      </c>
    </row>
    <row r="41" spans="1:14" x14ac:dyDescent="0.2">
      <c r="A41">
        <v>40</v>
      </c>
      <c r="B41">
        <f>LARGE(data!F:F,A41)</f>
        <v>0.82931486050000003</v>
      </c>
      <c r="C41">
        <f>COUNTIFS(data!D:D,data!$I$2,data!F:F,"&gt;="&amp;B41)</f>
        <v>36</v>
      </c>
      <c r="D41">
        <f>COUNTIFS(data!D:D,data!$J$2,data!F:F,"&gt;="&amp;B41)</f>
        <v>5</v>
      </c>
      <c r="E41">
        <f>COUNTIFS(data!D:D,data!$J$2,data!F:F,"&lt;"&amp;B41)</f>
        <v>718</v>
      </c>
      <c r="F41">
        <f>COUNTIFS(data!D:D,data!$I$2,data!F:F,"&lt;"&amp;B41)</f>
        <v>498</v>
      </c>
      <c r="G41">
        <f t="shared" si="1"/>
        <v>6.9156293222683261E-3</v>
      </c>
      <c r="H41">
        <f t="shared" si="2"/>
        <v>6.741573033707865E-2</v>
      </c>
      <c r="I41">
        <f t="shared" si="3"/>
        <v>0</v>
      </c>
      <c r="J41">
        <f t="shared" si="4"/>
        <v>0.87804878048780488</v>
      </c>
      <c r="K41">
        <f t="shared" si="5"/>
        <v>0.12521739130434784</v>
      </c>
      <c r="L41">
        <f>A41*COUNTIF(data!D:D,data!$I$2)/data!$L$2</f>
        <v>16.992840095465393</v>
      </c>
      <c r="M41" s="1">
        <f>A41/data!$L$2</f>
        <v>3.1821797931583136E-2</v>
      </c>
      <c r="N41">
        <f t="shared" si="0"/>
        <v>2.1185393258426966</v>
      </c>
    </row>
    <row r="42" spans="1:14" x14ac:dyDescent="0.2">
      <c r="A42">
        <v>41</v>
      </c>
      <c r="B42">
        <f>LARGE(data!F:F,A42)</f>
        <v>0.82931486050000003</v>
      </c>
      <c r="C42">
        <f>COUNTIFS(data!D:D,data!$I$2,data!F:F,"&gt;="&amp;B42)</f>
        <v>36</v>
      </c>
      <c r="D42">
        <f>COUNTIFS(data!D:D,data!$J$2,data!F:F,"&gt;="&amp;B42)</f>
        <v>5</v>
      </c>
      <c r="E42">
        <f>COUNTIFS(data!D:D,data!$J$2,data!F:F,"&lt;"&amp;B42)</f>
        <v>718</v>
      </c>
      <c r="F42">
        <f>COUNTIFS(data!D:D,data!$I$2,data!F:F,"&lt;"&amp;B42)</f>
        <v>498</v>
      </c>
      <c r="G42">
        <f t="shared" si="1"/>
        <v>6.9156293222683261E-3</v>
      </c>
      <c r="H42">
        <f t="shared" si="2"/>
        <v>6.741573033707865E-2</v>
      </c>
      <c r="I42">
        <f t="shared" si="3"/>
        <v>0</v>
      </c>
      <c r="J42">
        <f t="shared" si="4"/>
        <v>0.87804878048780488</v>
      </c>
      <c r="K42">
        <f t="shared" si="5"/>
        <v>0.12521739130434784</v>
      </c>
      <c r="L42">
        <f>A42*COUNTIF(data!D:D,data!$I$2)/data!$L$2</f>
        <v>17.417661097852029</v>
      </c>
      <c r="M42" s="1">
        <f>A42/data!$L$2</f>
        <v>3.261734287987271E-2</v>
      </c>
      <c r="N42">
        <f t="shared" si="0"/>
        <v>2.0668676349684842</v>
      </c>
    </row>
    <row r="43" spans="1:14" x14ac:dyDescent="0.2">
      <c r="A43">
        <v>42</v>
      </c>
      <c r="B43">
        <f>LARGE(data!F:F,A43)</f>
        <v>0.82864516519999998</v>
      </c>
      <c r="C43">
        <f>COUNTIFS(data!D:D,data!$I$2,data!F:F,"&gt;="&amp;B43)</f>
        <v>37</v>
      </c>
      <c r="D43">
        <f>COUNTIFS(data!D:D,data!$J$2,data!F:F,"&gt;="&amp;B43)</f>
        <v>5</v>
      </c>
      <c r="E43">
        <f>COUNTIFS(data!D:D,data!$J$2,data!F:F,"&lt;"&amp;B43)</f>
        <v>718</v>
      </c>
      <c r="F43">
        <f>COUNTIFS(data!D:D,data!$I$2,data!F:F,"&lt;"&amp;B43)</f>
        <v>497</v>
      </c>
      <c r="G43">
        <f t="shared" si="1"/>
        <v>6.9156293222683261E-3</v>
      </c>
      <c r="H43">
        <f t="shared" si="2"/>
        <v>6.9288389513108617E-2</v>
      </c>
      <c r="I43">
        <f t="shared" si="3"/>
        <v>0</v>
      </c>
      <c r="J43">
        <f t="shared" si="4"/>
        <v>0.88095238095238093</v>
      </c>
      <c r="K43">
        <f t="shared" si="5"/>
        <v>0.12847222222222221</v>
      </c>
      <c r="L43">
        <f>A43*COUNTIF(data!D:D,data!$I$2)/data!$L$2</f>
        <v>17.842482100238662</v>
      </c>
      <c r="M43" s="1">
        <f>A43/data!$L$2</f>
        <v>3.3412887828162291E-2</v>
      </c>
      <c r="N43">
        <f t="shared" si="0"/>
        <v>2.0737025147137507</v>
      </c>
    </row>
    <row r="44" spans="1:14" x14ac:dyDescent="0.2">
      <c r="A44">
        <v>43</v>
      </c>
      <c r="B44">
        <f>LARGE(data!F:F,A44)</f>
        <v>0.82826879220000005</v>
      </c>
      <c r="C44">
        <f>COUNTIFS(data!D:D,data!$I$2,data!F:F,"&gt;="&amp;B44)</f>
        <v>40</v>
      </c>
      <c r="D44">
        <f>COUNTIFS(data!D:D,data!$J$2,data!F:F,"&gt;="&amp;B44)</f>
        <v>5</v>
      </c>
      <c r="E44">
        <f>COUNTIFS(data!D:D,data!$J$2,data!F:F,"&lt;"&amp;B44)</f>
        <v>718</v>
      </c>
      <c r="F44">
        <f>COUNTIFS(data!D:D,data!$I$2,data!F:F,"&lt;"&amp;B44)</f>
        <v>494</v>
      </c>
      <c r="G44">
        <f t="shared" si="1"/>
        <v>6.9156293222683261E-3</v>
      </c>
      <c r="H44">
        <f t="shared" si="2"/>
        <v>7.4906367041198504E-2</v>
      </c>
      <c r="I44">
        <f t="shared" si="3"/>
        <v>0</v>
      </c>
      <c r="J44">
        <f t="shared" si="4"/>
        <v>0.88888888888888884</v>
      </c>
      <c r="K44">
        <f t="shared" si="5"/>
        <v>0.13816925734024182</v>
      </c>
      <c r="L44">
        <f>A44*COUNTIF(data!D:D,data!$I$2)/data!$L$2</f>
        <v>18.267303102625299</v>
      </c>
      <c r="M44" s="1">
        <f>A44/data!$L$2</f>
        <v>3.4208432776451872E-2</v>
      </c>
      <c r="N44">
        <f t="shared" si="0"/>
        <v>2.1897047295531746</v>
      </c>
    </row>
    <row r="45" spans="1:14" x14ac:dyDescent="0.2">
      <c r="A45">
        <v>44</v>
      </c>
      <c r="B45">
        <f>LARGE(data!F:F,A45)</f>
        <v>0.82826879220000005</v>
      </c>
      <c r="C45">
        <f>COUNTIFS(data!D:D,data!$I$2,data!F:F,"&gt;="&amp;B45)</f>
        <v>40</v>
      </c>
      <c r="D45">
        <f>COUNTIFS(data!D:D,data!$J$2,data!F:F,"&gt;="&amp;B45)</f>
        <v>5</v>
      </c>
      <c r="E45">
        <f>COUNTIFS(data!D:D,data!$J$2,data!F:F,"&lt;"&amp;B45)</f>
        <v>718</v>
      </c>
      <c r="F45">
        <f>COUNTIFS(data!D:D,data!$I$2,data!F:F,"&lt;"&amp;B45)</f>
        <v>494</v>
      </c>
      <c r="G45">
        <f t="shared" si="1"/>
        <v>6.9156293222683261E-3</v>
      </c>
      <c r="H45">
        <f t="shared" si="2"/>
        <v>7.4906367041198504E-2</v>
      </c>
      <c r="I45">
        <f t="shared" si="3"/>
        <v>0</v>
      </c>
      <c r="J45">
        <f t="shared" si="4"/>
        <v>0.88888888888888884</v>
      </c>
      <c r="K45">
        <f t="shared" si="5"/>
        <v>0.13816925734024182</v>
      </c>
      <c r="L45">
        <f>A45*COUNTIF(data!D:D,data!$I$2)/data!$L$2</f>
        <v>18.692124105011935</v>
      </c>
      <c r="M45" s="1">
        <f>A45/data!$L$2</f>
        <v>3.5003977724741446E-2</v>
      </c>
      <c r="N45">
        <f t="shared" si="0"/>
        <v>2.1399387129724206</v>
      </c>
    </row>
    <row r="46" spans="1:14" x14ac:dyDescent="0.2">
      <c r="A46">
        <v>45</v>
      </c>
      <c r="B46">
        <f>LARGE(data!F:F,A46)</f>
        <v>0.82826879220000005</v>
      </c>
      <c r="C46">
        <f>COUNTIFS(data!D:D,data!$I$2,data!F:F,"&gt;="&amp;B46)</f>
        <v>40</v>
      </c>
      <c r="D46">
        <f>COUNTIFS(data!D:D,data!$J$2,data!F:F,"&gt;="&amp;B46)</f>
        <v>5</v>
      </c>
      <c r="E46">
        <f>COUNTIFS(data!D:D,data!$J$2,data!F:F,"&lt;"&amp;B46)</f>
        <v>718</v>
      </c>
      <c r="F46">
        <f>COUNTIFS(data!D:D,data!$I$2,data!F:F,"&lt;"&amp;B46)</f>
        <v>494</v>
      </c>
      <c r="G46">
        <f t="shared" si="1"/>
        <v>6.9156293222683261E-3</v>
      </c>
      <c r="H46">
        <f t="shared" si="2"/>
        <v>7.4906367041198504E-2</v>
      </c>
      <c r="I46">
        <f t="shared" si="3"/>
        <v>0</v>
      </c>
      <c r="J46">
        <f t="shared" si="4"/>
        <v>0.88888888888888884</v>
      </c>
      <c r="K46">
        <f t="shared" si="5"/>
        <v>0.13816925734024182</v>
      </c>
      <c r="L46">
        <f>A46*COUNTIF(data!D:D,data!$I$2)/data!$L$2</f>
        <v>19.116945107398568</v>
      </c>
      <c r="M46" s="1">
        <f>A46/data!$L$2</f>
        <v>3.5799522673031027E-2</v>
      </c>
      <c r="N46">
        <f t="shared" si="0"/>
        <v>2.0923845193508117</v>
      </c>
    </row>
    <row r="47" spans="1:14" x14ac:dyDescent="0.2">
      <c r="A47">
        <v>46</v>
      </c>
      <c r="B47">
        <f>LARGE(data!F:F,A47)</f>
        <v>0.82593346069999996</v>
      </c>
      <c r="C47">
        <f>COUNTIFS(data!D:D,data!$I$2,data!F:F,"&gt;="&amp;B47)</f>
        <v>42</v>
      </c>
      <c r="D47">
        <f>COUNTIFS(data!D:D,data!$J$2,data!F:F,"&gt;="&amp;B47)</f>
        <v>6</v>
      </c>
      <c r="E47">
        <f>COUNTIFS(data!D:D,data!$J$2,data!F:F,"&lt;"&amp;B47)</f>
        <v>717</v>
      </c>
      <c r="F47">
        <f>COUNTIFS(data!D:D,data!$I$2,data!F:F,"&lt;"&amp;B47)</f>
        <v>492</v>
      </c>
      <c r="G47">
        <f t="shared" si="1"/>
        <v>8.2987551867219917E-3</v>
      </c>
      <c r="H47">
        <f t="shared" si="2"/>
        <v>7.8651685393258425E-2</v>
      </c>
      <c r="I47">
        <f t="shared" si="3"/>
        <v>1.0619505700861476E-4</v>
      </c>
      <c r="J47">
        <f t="shared" si="4"/>
        <v>0.875</v>
      </c>
      <c r="K47">
        <f t="shared" si="5"/>
        <v>0.14432989690721651</v>
      </c>
      <c r="L47">
        <f>A47*COUNTIF(data!D:D,data!$I$2)/data!$L$2</f>
        <v>19.541766109785204</v>
      </c>
      <c r="M47" s="1">
        <f>A47/data!$L$2</f>
        <v>3.6595067621320608E-2</v>
      </c>
      <c r="N47">
        <f t="shared" si="0"/>
        <v>2.1492427943331704</v>
      </c>
    </row>
    <row r="48" spans="1:14" x14ac:dyDescent="0.2">
      <c r="A48">
        <v>47</v>
      </c>
      <c r="B48">
        <f>LARGE(data!F:F,A48)</f>
        <v>0.82593346069999996</v>
      </c>
      <c r="C48">
        <f>COUNTIFS(data!D:D,data!$I$2,data!F:F,"&gt;="&amp;B48)</f>
        <v>42</v>
      </c>
      <c r="D48">
        <f>COUNTIFS(data!D:D,data!$J$2,data!F:F,"&gt;="&amp;B48)</f>
        <v>6</v>
      </c>
      <c r="E48">
        <f>COUNTIFS(data!D:D,data!$J$2,data!F:F,"&lt;"&amp;B48)</f>
        <v>717</v>
      </c>
      <c r="F48">
        <f>COUNTIFS(data!D:D,data!$I$2,data!F:F,"&lt;"&amp;B48)</f>
        <v>492</v>
      </c>
      <c r="G48">
        <f t="shared" si="1"/>
        <v>8.2987551867219917E-3</v>
      </c>
      <c r="H48">
        <f t="shared" si="2"/>
        <v>7.8651685393258425E-2</v>
      </c>
      <c r="I48">
        <f t="shared" si="3"/>
        <v>0</v>
      </c>
      <c r="J48">
        <f t="shared" si="4"/>
        <v>0.875</v>
      </c>
      <c r="K48">
        <f t="shared" si="5"/>
        <v>0.14432989690721651</v>
      </c>
      <c r="L48">
        <f>A48*COUNTIF(data!D:D,data!$I$2)/data!$L$2</f>
        <v>19.966587112171837</v>
      </c>
      <c r="M48" s="1">
        <f>A48/data!$L$2</f>
        <v>3.7390612569610182E-2</v>
      </c>
      <c r="N48">
        <f t="shared" si="0"/>
        <v>2.1035142242409757</v>
      </c>
    </row>
    <row r="49" spans="1:14" x14ac:dyDescent="0.2">
      <c r="A49">
        <v>48</v>
      </c>
      <c r="B49">
        <f>LARGE(data!F:F,A49)</f>
        <v>0.82593346069999996</v>
      </c>
      <c r="C49">
        <f>COUNTIFS(data!D:D,data!$I$2,data!F:F,"&gt;="&amp;B49)</f>
        <v>42</v>
      </c>
      <c r="D49">
        <f>COUNTIFS(data!D:D,data!$J$2,data!F:F,"&gt;="&amp;B49)</f>
        <v>6</v>
      </c>
      <c r="E49">
        <f>COUNTIFS(data!D:D,data!$J$2,data!F:F,"&lt;"&amp;B49)</f>
        <v>717</v>
      </c>
      <c r="F49">
        <f>COUNTIFS(data!D:D,data!$I$2,data!F:F,"&lt;"&amp;B49)</f>
        <v>492</v>
      </c>
      <c r="G49">
        <f t="shared" si="1"/>
        <v>8.2987551867219917E-3</v>
      </c>
      <c r="H49">
        <f t="shared" si="2"/>
        <v>7.8651685393258425E-2</v>
      </c>
      <c r="I49">
        <f t="shared" si="3"/>
        <v>0</v>
      </c>
      <c r="J49">
        <f t="shared" si="4"/>
        <v>0.875</v>
      </c>
      <c r="K49">
        <f t="shared" si="5"/>
        <v>0.14432989690721651</v>
      </c>
      <c r="L49">
        <f>A49*COUNTIF(data!D:D,data!$I$2)/data!$L$2</f>
        <v>20.391408114558473</v>
      </c>
      <c r="M49" s="1">
        <f>A49/data!$L$2</f>
        <v>3.8186157517899763E-2</v>
      </c>
      <c r="N49">
        <f t="shared" si="0"/>
        <v>2.0596910112359552</v>
      </c>
    </row>
    <row r="50" spans="1:14" x14ac:dyDescent="0.2">
      <c r="A50">
        <v>49</v>
      </c>
      <c r="B50">
        <f>LARGE(data!F:F,A50)</f>
        <v>0.82566281770000005</v>
      </c>
      <c r="C50">
        <f>COUNTIFS(data!D:D,data!$I$2,data!F:F,"&gt;="&amp;B50)</f>
        <v>42</v>
      </c>
      <c r="D50">
        <f>COUNTIFS(data!D:D,data!$J$2,data!F:F,"&gt;="&amp;B50)</f>
        <v>7</v>
      </c>
      <c r="E50">
        <f>COUNTIFS(data!D:D,data!$J$2,data!F:F,"&lt;"&amp;B50)</f>
        <v>716</v>
      </c>
      <c r="F50">
        <f>COUNTIFS(data!D:D,data!$I$2,data!F:F,"&lt;"&amp;B50)</f>
        <v>492</v>
      </c>
      <c r="G50">
        <f t="shared" si="1"/>
        <v>9.6818810511756573E-3</v>
      </c>
      <c r="H50">
        <f t="shared" si="2"/>
        <v>7.8651685393258425E-2</v>
      </c>
      <c r="I50">
        <f t="shared" si="3"/>
        <v>1.087851803502883E-4</v>
      </c>
      <c r="J50">
        <f t="shared" si="4"/>
        <v>0.8571428571428571</v>
      </c>
      <c r="K50">
        <f t="shared" si="5"/>
        <v>0.14408233276157806</v>
      </c>
      <c r="L50">
        <f>A50*COUNTIF(data!D:D,data!$I$2)/data!$L$2</f>
        <v>20.816229116945106</v>
      </c>
      <c r="M50" s="1">
        <f>A50/data!$L$2</f>
        <v>3.8981702466189337E-2</v>
      </c>
      <c r="N50">
        <f t="shared" si="0"/>
        <v>2.0176565008025684</v>
      </c>
    </row>
    <row r="51" spans="1:14" x14ac:dyDescent="0.2">
      <c r="A51">
        <v>50</v>
      </c>
      <c r="B51">
        <f>LARGE(data!F:F,A51)</f>
        <v>0.82424966639999997</v>
      </c>
      <c r="C51">
        <f>COUNTIFS(data!D:D,data!$I$2,data!F:F,"&gt;="&amp;B51)</f>
        <v>45</v>
      </c>
      <c r="D51">
        <f>COUNTIFS(data!D:D,data!$J$2,data!F:F,"&gt;="&amp;B51)</f>
        <v>7</v>
      </c>
      <c r="E51">
        <f>COUNTIFS(data!D:D,data!$J$2,data!F:F,"&lt;"&amp;B51)</f>
        <v>716</v>
      </c>
      <c r="F51">
        <f>COUNTIFS(data!D:D,data!$I$2,data!F:F,"&lt;"&amp;B51)</f>
        <v>489</v>
      </c>
      <c r="G51">
        <f t="shared" si="1"/>
        <v>9.6818810511756573E-3</v>
      </c>
      <c r="H51">
        <f t="shared" si="2"/>
        <v>8.4269662921348312E-2</v>
      </c>
      <c r="I51">
        <f t="shared" si="3"/>
        <v>0</v>
      </c>
      <c r="J51">
        <f t="shared" si="4"/>
        <v>0.86538461538461542</v>
      </c>
      <c r="K51">
        <f t="shared" si="5"/>
        <v>0.15358361774744025</v>
      </c>
      <c r="L51">
        <f>A51*COUNTIF(data!D:D,data!$I$2)/data!$L$2</f>
        <v>21.241050119331742</v>
      </c>
      <c r="M51" s="1">
        <f>A51/data!$L$2</f>
        <v>3.9777247414478918E-2</v>
      </c>
      <c r="N51">
        <f t="shared" si="0"/>
        <v>2.1185393258426966</v>
      </c>
    </row>
    <row r="52" spans="1:14" x14ac:dyDescent="0.2">
      <c r="A52">
        <v>51</v>
      </c>
      <c r="B52">
        <f>LARGE(data!F:F,A52)</f>
        <v>0.82424966639999997</v>
      </c>
      <c r="C52">
        <f>COUNTIFS(data!D:D,data!$I$2,data!F:F,"&gt;="&amp;B52)</f>
        <v>45</v>
      </c>
      <c r="D52">
        <f>COUNTIFS(data!D:D,data!$J$2,data!F:F,"&gt;="&amp;B52)</f>
        <v>7</v>
      </c>
      <c r="E52">
        <f>COUNTIFS(data!D:D,data!$J$2,data!F:F,"&lt;"&amp;B52)</f>
        <v>716</v>
      </c>
      <c r="F52">
        <f>COUNTIFS(data!D:D,data!$I$2,data!F:F,"&lt;"&amp;B52)</f>
        <v>489</v>
      </c>
      <c r="G52">
        <f t="shared" si="1"/>
        <v>9.6818810511756573E-3</v>
      </c>
      <c r="H52">
        <f t="shared" si="2"/>
        <v>8.4269662921348312E-2</v>
      </c>
      <c r="I52">
        <f t="shared" si="3"/>
        <v>0</v>
      </c>
      <c r="J52">
        <f t="shared" si="4"/>
        <v>0.86538461538461542</v>
      </c>
      <c r="K52">
        <f t="shared" si="5"/>
        <v>0.15358361774744025</v>
      </c>
      <c r="L52">
        <f>A52*COUNTIF(data!D:D,data!$I$2)/data!$L$2</f>
        <v>21.665871121718379</v>
      </c>
      <c r="M52" s="1">
        <f>A52/data!$L$2</f>
        <v>4.0572792362768499E-2</v>
      </c>
      <c r="N52">
        <f t="shared" si="0"/>
        <v>2.0769993390614672</v>
      </c>
    </row>
    <row r="53" spans="1:14" x14ac:dyDescent="0.2">
      <c r="A53">
        <v>52</v>
      </c>
      <c r="B53">
        <f>LARGE(data!F:F,A53)</f>
        <v>0.82424966639999997</v>
      </c>
      <c r="C53">
        <f>COUNTIFS(data!D:D,data!$I$2,data!F:F,"&gt;="&amp;B53)</f>
        <v>45</v>
      </c>
      <c r="D53">
        <f>COUNTIFS(data!D:D,data!$J$2,data!F:F,"&gt;="&amp;B53)</f>
        <v>7</v>
      </c>
      <c r="E53">
        <f>COUNTIFS(data!D:D,data!$J$2,data!F:F,"&lt;"&amp;B53)</f>
        <v>716</v>
      </c>
      <c r="F53">
        <f>COUNTIFS(data!D:D,data!$I$2,data!F:F,"&lt;"&amp;B53)</f>
        <v>489</v>
      </c>
      <c r="G53">
        <f t="shared" si="1"/>
        <v>9.6818810511756573E-3</v>
      </c>
      <c r="H53">
        <f t="shared" si="2"/>
        <v>8.4269662921348312E-2</v>
      </c>
      <c r="I53">
        <f t="shared" si="3"/>
        <v>0</v>
      </c>
      <c r="J53">
        <f t="shared" si="4"/>
        <v>0.86538461538461542</v>
      </c>
      <c r="K53">
        <f t="shared" si="5"/>
        <v>0.15358361774744025</v>
      </c>
      <c r="L53">
        <f>A53*COUNTIF(data!D:D,data!$I$2)/data!$L$2</f>
        <v>22.090692124105011</v>
      </c>
      <c r="M53" s="1">
        <f>A53/data!$L$2</f>
        <v>4.1368337311058073E-2</v>
      </c>
      <c r="N53">
        <f t="shared" si="0"/>
        <v>2.0370570440795159</v>
      </c>
    </row>
    <row r="54" spans="1:14" x14ac:dyDescent="0.2">
      <c r="A54">
        <v>53</v>
      </c>
      <c r="B54">
        <f>LARGE(data!F:F,A54)</f>
        <v>0.82132552189999997</v>
      </c>
      <c r="C54">
        <f>COUNTIFS(data!D:D,data!$I$2,data!F:F,"&gt;="&amp;B54)</f>
        <v>46</v>
      </c>
      <c r="D54">
        <f>COUNTIFS(data!D:D,data!$J$2,data!F:F,"&gt;="&amp;B54)</f>
        <v>7</v>
      </c>
      <c r="E54">
        <f>COUNTIFS(data!D:D,data!$J$2,data!F:F,"&lt;"&amp;B54)</f>
        <v>716</v>
      </c>
      <c r="F54">
        <f>COUNTIFS(data!D:D,data!$I$2,data!F:F,"&lt;"&amp;B54)</f>
        <v>488</v>
      </c>
      <c r="G54">
        <f t="shared" si="1"/>
        <v>9.6818810511756573E-3</v>
      </c>
      <c r="H54">
        <f t="shared" si="2"/>
        <v>8.6142322097378279E-2</v>
      </c>
      <c r="I54">
        <f t="shared" si="3"/>
        <v>0</v>
      </c>
      <c r="J54">
        <f t="shared" si="4"/>
        <v>0.86792452830188682</v>
      </c>
      <c r="K54">
        <f t="shared" si="5"/>
        <v>0.15672913117546849</v>
      </c>
      <c r="L54">
        <f>A54*COUNTIF(data!D:D,data!$I$2)/data!$L$2</f>
        <v>22.515513126491648</v>
      </c>
      <c r="M54" s="1">
        <f>A54/data!$L$2</f>
        <v>4.2163882259347654E-2</v>
      </c>
      <c r="N54">
        <f t="shared" si="0"/>
        <v>2.0430358278566887</v>
      </c>
    </row>
    <row r="55" spans="1:14" x14ac:dyDescent="0.2">
      <c r="A55">
        <v>54</v>
      </c>
      <c r="B55">
        <f>LARGE(data!F:F,A55)</f>
        <v>0.82031423749999999</v>
      </c>
      <c r="C55">
        <f>COUNTIFS(data!D:D,data!$I$2,data!F:F,"&gt;="&amp;B55)</f>
        <v>46</v>
      </c>
      <c r="D55">
        <f>COUNTIFS(data!D:D,data!$J$2,data!F:F,"&gt;="&amp;B55)</f>
        <v>8</v>
      </c>
      <c r="E55">
        <f>COUNTIFS(data!D:D,data!$J$2,data!F:F,"&lt;"&amp;B55)</f>
        <v>715</v>
      </c>
      <c r="F55">
        <f>COUNTIFS(data!D:D,data!$I$2,data!F:F,"&lt;"&amp;B55)</f>
        <v>488</v>
      </c>
      <c r="G55">
        <f t="shared" si="1"/>
        <v>1.1065006915629323E-2</v>
      </c>
      <c r="H55">
        <f t="shared" si="2"/>
        <v>8.6142322097378279E-2</v>
      </c>
      <c r="I55">
        <f t="shared" si="3"/>
        <v>1.1914567371698243E-4</v>
      </c>
      <c r="J55">
        <f t="shared" si="4"/>
        <v>0.85185185185185186</v>
      </c>
      <c r="K55">
        <f t="shared" si="5"/>
        <v>0.15646258503401361</v>
      </c>
      <c r="L55">
        <f>A55*COUNTIF(data!D:D,data!$I$2)/data!$L$2</f>
        <v>22.94033412887828</v>
      </c>
      <c r="M55" s="1">
        <f>A55/data!$L$2</f>
        <v>4.2959427207637228E-2</v>
      </c>
      <c r="N55">
        <f t="shared" si="0"/>
        <v>2.0052018310445279</v>
      </c>
    </row>
    <row r="56" spans="1:14" x14ac:dyDescent="0.2">
      <c r="A56">
        <v>55</v>
      </c>
      <c r="B56">
        <f>LARGE(data!F:F,A56)</f>
        <v>0.81931628690000002</v>
      </c>
      <c r="C56">
        <f>COUNTIFS(data!D:D,data!$I$2,data!F:F,"&gt;="&amp;B56)</f>
        <v>47</v>
      </c>
      <c r="D56">
        <f>COUNTIFS(data!D:D,data!$J$2,data!F:F,"&gt;="&amp;B56)</f>
        <v>8</v>
      </c>
      <c r="E56">
        <f>COUNTIFS(data!D:D,data!$J$2,data!F:F,"&lt;"&amp;B56)</f>
        <v>715</v>
      </c>
      <c r="F56">
        <f>COUNTIFS(data!D:D,data!$I$2,data!F:F,"&lt;"&amp;B56)</f>
        <v>487</v>
      </c>
      <c r="G56">
        <f t="shared" si="1"/>
        <v>1.1065006915629323E-2</v>
      </c>
      <c r="H56">
        <f t="shared" si="2"/>
        <v>8.8014981273408247E-2</v>
      </c>
      <c r="I56">
        <f t="shared" si="3"/>
        <v>0</v>
      </c>
      <c r="J56">
        <f t="shared" si="4"/>
        <v>0.8545454545454545</v>
      </c>
      <c r="K56">
        <f t="shared" si="5"/>
        <v>0.15959252971137522</v>
      </c>
      <c r="L56">
        <f>A56*COUNTIF(data!D:D,data!$I$2)/data!$L$2</f>
        <v>23.365155131264917</v>
      </c>
      <c r="M56" s="1">
        <f>A56/data!$L$2</f>
        <v>4.3754972155926809E-2</v>
      </c>
      <c r="N56">
        <f t="shared" si="0"/>
        <v>2.0115423901940757</v>
      </c>
    </row>
    <row r="57" spans="1:14" x14ac:dyDescent="0.2">
      <c r="A57">
        <v>56</v>
      </c>
      <c r="B57">
        <f>LARGE(data!F:F,A57)</f>
        <v>0.81869709400000001</v>
      </c>
      <c r="C57">
        <f>COUNTIFS(data!D:D,data!$I$2,data!F:F,"&gt;="&amp;B57)</f>
        <v>47</v>
      </c>
      <c r="D57">
        <f>COUNTIFS(data!D:D,data!$J$2,data!F:F,"&gt;="&amp;B57)</f>
        <v>9</v>
      </c>
      <c r="E57">
        <f>COUNTIFS(data!D:D,data!$J$2,data!F:F,"&lt;"&amp;B57)</f>
        <v>714</v>
      </c>
      <c r="F57">
        <f>COUNTIFS(data!D:D,data!$I$2,data!F:F,"&lt;"&amp;B57)</f>
        <v>487</v>
      </c>
      <c r="G57">
        <f t="shared" si="1"/>
        <v>1.2448132780082987E-2</v>
      </c>
      <c r="H57">
        <f t="shared" si="2"/>
        <v>8.8014981273408247E-2</v>
      </c>
      <c r="I57">
        <f t="shared" si="3"/>
        <v>1.2173579705865581E-4</v>
      </c>
      <c r="J57">
        <f t="shared" si="4"/>
        <v>0.8392857142857143</v>
      </c>
      <c r="K57">
        <f t="shared" si="5"/>
        <v>0.1593220338983051</v>
      </c>
      <c r="L57">
        <f>A57*COUNTIF(data!D:D,data!$I$2)/data!$L$2</f>
        <v>23.78997613365155</v>
      </c>
      <c r="M57" s="1">
        <f>A57/data!$L$2</f>
        <v>4.455051710421639E-2</v>
      </c>
      <c r="N57">
        <f t="shared" si="0"/>
        <v>1.9756219903691816</v>
      </c>
    </row>
    <row r="58" spans="1:14" x14ac:dyDescent="0.2">
      <c r="A58">
        <v>57</v>
      </c>
      <c r="B58">
        <f>LARGE(data!F:F,A58)</f>
        <v>0.81815909799999997</v>
      </c>
      <c r="C58">
        <f>COUNTIFS(data!D:D,data!$I$2,data!F:F,"&gt;="&amp;B58)</f>
        <v>49</v>
      </c>
      <c r="D58">
        <f>COUNTIFS(data!D:D,data!$J$2,data!F:F,"&gt;="&amp;B58)</f>
        <v>9</v>
      </c>
      <c r="E58">
        <f>COUNTIFS(data!D:D,data!$J$2,data!F:F,"&lt;"&amp;B58)</f>
        <v>714</v>
      </c>
      <c r="F58">
        <f>COUNTIFS(data!D:D,data!$I$2,data!F:F,"&lt;"&amp;B58)</f>
        <v>485</v>
      </c>
      <c r="G58">
        <f t="shared" si="1"/>
        <v>1.2448132780082987E-2</v>
      </c>
      <c r="H58">
        <f t="shared" si="2"/>
        <v>9.1760299625468167E-2</v>
      </c>
      <c r="I58">
        <f t="shared" si="3"/>
        <v>0</v>
      </c>
      <c r="J58">
        <f t="shared" si="4"/>
        <v>0.84482758620689657</v>
      </c>
      <c r="K58">
        <f t="shared" si="5"/>
        <v>0.16554054054054054</v>
      </c>
      <c r="L58">
        <f>A58*COUNTIF(data!D:D,data!$I$2)/data!$L$2</f>
        <v>24.214797136038186</v>
      </c>
      <c r="M58" s="1">
        <f>A58/data!$L$2</f>
        <v>4.5346062052505964E-2</v>
      </c>
      <c r="N58">
        <f t="shared" si="0"/>
        <v>2.0235560812142714</v>
      </c>
    </row>
    <row r="59" spans="1:14" x14ac:dyDescent="0.2">
      <c r="A59">
        <v>58</v>
      </c>
      <c r="B59">
        <f>LARGE(data!F:F,A59)</f>
        <v>0.81815909799999997</v>
      </c>
      <c r="C59">
        <f>COUNTIFS(data!D:D,data!$I$2,data!F:F,"&gt;="&amp;B59)</f>
        <v>49</v>
      </c>
      <c r="D59">
        <f>COUNTIFS(data!D:D,data!$J$2,data!F:F,"&gt;="&amp;B59)</f>
        <v>9</v>
      </c>
      <c r="E59">
        <f>COUNTIFS(data!D:D,data!$J$2,data!F:F,"&lt;"&amp;B59)</f>
        <v>714</v>
      </c>
      <c r="F59">
        <f>COUNTIFS(data!D:D,data!$I$2,data!F:F,"&lt;"&amp;B59)</f>
        <v>485</v>
      </c>
      <c r="G59">
        <f t="shared" si="1"/>
        <v>1.2448132780082987E-2</v>
      </c>
      <c r="H59">
        <f t="shared" si="2"/>
        <v>9.1760299625468167E-2</v>
      </c>
      <c r="I59">
        <f t="shared" si="3"/>
        <v>0</v>
      </c>
      <c r="J59">
        <f t="shared" si="4"/>
        <v>0.84482758620689657</v>
      </c>
      <c r="K59">
        <f t="shared" si="5"/>
        <v>0.16554054054054054</v>
      </c>
      <c r="L59">
        <f>A59*COUNTIF(data!D:D,data!$I$2)/data!$L$2</f>
        <v>24.639618138424822</v>
      </c>
      <c r="M59" s="1">
        <f>A59/data!$L$2</f>
        <v>4.6141607000795545E-2</v>
      </c>
      <c r="N59">
        <f t="shared" si="0"/>
        <v>1.9886671832623013</v>
      </c>
    </row>
    <row r="60" spans="1:14" x14ac:dyDescent="0.2">
      <c r="A60">
        <v>59</v>
      </c>
      <c r="B60">
        <f>LARGE(data!F:F,A60)</f>
        <v>0.81512936849999995</v>
      </c>
      <c r="C60">
        <f>COUNTIFS(data!D:D,data!$I$2,data!F:F,"&gt;="&amp;B60)</f>
        <v>51</v>
      </c>
      <c r="D60">
        <f>COUNTIFS(data!D:D,data!$J$2,data!F:F,"&gt;="&amp;B60)</f>
        <v>9</v>
      </c>
      <c r="E60">
        <f>COUNTIFS(data!D:D,data!$J$2,data!F:F,"&lt;"&amp;B60)</f>
        <v>714</v>
      </c>
      <c r="F60">
        <f>COUNTIFS(data!D:D,data!$I$2,data!F:F,"&lt;"&amp;B60)</f>
        <v>483</v>
      </c>
      <c r="G60">
        <f t="shared" si="1"/>
        <v>1.2448132780082987E-2</v>
      </c>
      <c r="H60">
        <f t="shared" si="2"/>
        <v>9.5505617977528087E-2</v>
      </c>
      <c r="I60">
        <f t="shared" si="3"/>
        <v>0</v>
      </c>
      <c r="J60">
        <f t="shared" si="4"/>
        <v>0.85</v>
      </c>
      <c r="K60">
        <f t="shared" si="5"/>
        <v>0.17171717171717171</v>
      </c>
      <c r="L60">
        <f>A60*COUNTIF(data!D:D,data!$I$2)/data!$L$2</f>
        <v>25.064439140811455</v>
      </c>
      <c r="M60" s="1">
        <f>A60/data!$L$2</f>
        <v>4.6937151949085126E-2</v>
      </c>
      <c r="N60">
        <f t="shared" si="0"/>
        <v>2.0347552847076749</v>
      </c>
    </row>
    <row r="61" spans="1:14" x14ac:dyDescent="0.2">
      <c r="A61">
        <v>60</v>
      </c>
      <c r="B61">
        <f>LARGE(data!F:F,A61)</f>
        <v>0.81512936849999995</v>
      </c>
      <c r="C61">
        <f>COUNTIFS(data!D:D,data!$I$2,data!F:F,"&gt;="&amp;B61)</f>
        <v>51</v>
      </c>
      <c r="D61">
        <f>COUNTIFS(data!D:D,data!$J$2,data!F:F,"&gt;="&amp;B61)</f>
        <v>9</v>
      </c>
      <c r="E61">
        <f>COUNTIFS(data!D:D,data!$J$2,data!F:F,"&lt;"&amp;B61)</f>
        <v>714</v>
      </c>
      <c r="F61">
        <f>COUNTIFS(data!D:D,data!$I$2,data!F:F,"&lt;"&amp;B61)</f>
        <v>483</v>
      </c>
      <c r="G61">
        <f t="shared" si="1"/>
        <v>1.2448132780082987E-2</v>
      </c>
      <c r="H61">
        <f t="shared" si="2"/>
        <v>9.5505617977528087E-2</v>
      </c>
      <c r="I61">
        <f t="shared" si="3"/>
        <v>0</v>
      </c>
      <c r="J61">
        <f t="shared" si="4"/>
        <v>0.85</v>
      </c>
      <c r="K61">
        <f t="shared" si="5"/>
        <v>0.17171717171717171</v>
      </c>
      <c r="L61">
        <f>A61*COUNTIF(data!D:D,data!$I$2)/data!$L$2</f>
        <v>25.489260143198091</v>
      </c>
      <c r="M61" s="1">
        <f>A61/data!$L$2</f>
        <v>4.77326968973747E-2</v>
      </c>
      <c r="N61">
        <f t="shared" si="0"/>
        <v>2.0008426966292134</v>
      </c>
    </row>
    <row r="62" spans="1:14" x14ac:dyDescent="0.2">
      <c r="A62">
        <v>61</v>
      </c>
      <c r="B62">
        <f>LARGE(data!F:F,A62)</f>
        <v>0.81508357629999995</v>
      </c>
      <c r="C62">
        <f>COUNTIFS(data!D:D,data!$I$2,data!F:F,"&gt;="&amp;B62)</f>
        <v>51</v>
      </c>
      <c r="D62">
        <f>COUNTIFS(data!D:D,data!$J$2,data!F:F,"&gt;="&amp;B62)</f>
        <v>10</v>
      </c>
      <c r="E62">
        <f>COUNTIFS(data!D:D,data!$J$2,data!F:F,"&lt;"&amp;B62)</f>
        <v>713</v>
      </c>
      <c r="F62">
        <f>COUNTIFS(data!D:D,data!$I$2,data!F:F,"&lt;"&amp;B62)</f>
        <v>483</v>
      </c>
      <c r="G62">
        <f t="shared" si="1"/>
        <v>1.3831258644536652E-2</v>
      </c>
      <c r="H62">
        <f t="shared" si="2"/>
        <v>9.5505617977528087E-2</v>
      </c>
      <c r="I62">
        <f t="shared" si="3"/>
        <v>1.3209629042535009E-4</v>
      </c>
      <c r="J62">
        <f t="shared" si="4"/>
        <v>0.83606557377049184</v>
      </c>
      <c r="K62">
        <f t="shared" si="5"/>
        <v>0.17142857142857143</v>
      </c>
      <c r="L62">
        <f>A62*COUNTIF(data!D:D,data!$I$2)/data!$L$2</f>
        <v>25.914081145584724</v>
      </c>
      <c r="M62" s="1">
        <f>A62/data!$L$2</f>
        <v>4.8528241845664281E-2</v>
      </c>
      <c r="N62">
        <f t="shared" si="0"/>
        <v>1.9680419966844724</v>
      </c>
    </row>
    <row r="63" spans="1:14" x14ac:dyDescent="0.2">
      <c r="A63">
        <v>62</v>
      </c>
      <c r="B63">
        <f>LARGE(data!F:F,A63)</f>
        <v>0.81197238589999998</v>
      </c>
      <c r="C63">
        <f>COUNTIFS(data!D:D,data!$I$2,data!F:F,"&gt;="&amp;B63)</f>
        <v>54</v>
      </c>
      <c r="D63">
        <f>COUNTIFS(data!D:D,data!$J$2,data!F:F,"&gt;="&amp;B63)</f>
        <v>10</v>
      </c>
      <c r="E63">
        <f>COUNTIFS(data!D:D,data!$J$2,data!F:F,"&lt;"&amp;B63)</f>
        <v>713</v>
      </c>
      <c r="F63">
        <f>COUNTIFS(data!D:D,data!$I$2,data!F:F,"&lt;"&amp;B63)</f>
        <v>480</v>
      </c>
      <c r="G63">
        <f t="shared" si="1"/>
        <v>1.3831258644536652E-2</v>
      </c>
      <c r="H63">
        <f t="shared" si="2"/>
        <v>0.10112359550561797</v>
      </c>
      <c r="I63">
        <f t="shared" si="3"/>
        <v>0</v>
      </c>
      <c r="J63">
        <f t="shared" si="4"/>
        <v>0.84375</v>
      </c>
      <c r="K63">
        <f t="shared" si="5"/>
        <v>0.1806020066889632</v>
      </c>
      <c r="L63">
        <f>A63*COUNTIF(data!D:D,data!$I$2)/data!$L$2</f>
        <v>26.338902147971361</v>
      </c>
      <c r="M63" s="1">
        <f>A63/data!$L$2</f>
        <v>4.9323786793953855E-2</v>
      </c>
      <c r="N63">
        <f t="shared" si="0"/>
        <v>2.0501993475897065</v>
      </c>
    </row>
    <row r="64" spans="1:14" x14ac:dyDescent="0.2">
      <c r="A64">
        <v>63</v>
      </c>
      <c r="B64">
        <f>LARGE(data!F:F,A64)</f>
        <v>0.81197238589999998</v>
      </c>
      <c r="C64">
        <f>COUNTIFS(data!D:D,data!$I$2,data!F:F,"&gt;="&amp;B64)</f>
        <v>54</v>
      </c>
      <c r="D64">
        <f>COUNTIFS(data!D:D,data!$J$2,data!F:F,"&gt;="&amp;B64)</f>
        <v>10</v>
      </c>
      <c r="E64">
        <f>COUNTIFS(data!D:D,data!$J$2,data!F:F,"&lt;"&amp;B64)</f>
        <v>713</v>
      </c>
      <c r="F64">
        <f>COUNTIFS(data!D:D,data!$I$2,data!F:F,"&lt;"&amp;B64)</f>
        <v>480</v>
      </c>
      <c r="G64">
        <f t="shared" si="1"/>
        <v>1.3831258644536652E-2</v>
      </c>
      <c r="H64">
        <f t="shared" si="2"/>
        <v>0.10112359550561797</v>
      </c>
      <c r="I64">
        <f t="shared" si="3"/>
        <v>0</v>
      </c>
      <c r="J64">
        <f t="shared" si="4"/>
        <v>0.84375</v>
      </c>
      <c r="K64">
        <f t="shared" si="5"/>
        <v>0.1806020066889632</v>
      </c>
      <c r="L64">
        <f>A64*COUNTIF(data!D:D,data!$I$2)/data!$L$2</f>
        <v>26.763723150357997</v>
      </c>
      <c r="M64" s="1">
        <f>A64/data!$L$2</f>
        <v>5.0119331742243436E-2</v>
      </c>
      <c r="N64">
        <f t="shared" si="0"/>
        <v>2.017656500802568</v>
      </c>
    </row>
    <row r="65" spans="1:14" x14ac:dyDescent="0.2">
      <c r="A65">
        <v>64</v>
      </c>
      <c r="B65">
        <f>LARGE(data!F:F,A65)</f>
        <v>0.81197238589999998</v>
      </c>
      <c r="C65">
        <f>COUNTIFS(data!D:D,data!$I$2,data!F:F,"&gt;="&amp;B65)</f>
        <v>54</v>
      </c>
      <c r="D65">
        <f>COUNTIFS(data!D:D,data!$J$2,data!F:F,"&gt;="&amp;B65)</f>
        <v>10</v>
      </c>
      <c r="E65">
        <f>COUNTIFS(data!D:D,data!$J$2,data!F:F,"&lt;"&amp;B65)</f>
        <v>713</v>
      </c>
      <c r="F65">
        <f>COUNTIFS(data!D:D,data!$I$2,data!F:F,"&lt;"&amp;B65)</f>
        <v>480</v>
      </c>
      <c r="G65">
        <f t="shared" si="1"/>
        <v>1.3831258644536652E-2</v>
      </c>
      <c r="H65">
        <f t="shared" si="2"/>
        <v>0.10112359550561797</v>
      </c>
      <c r="I65">
        <f t="shared" si="3"/>
        <v>0</v>
      </c>
      <c r="J65">
        <f t="shared" si="4"/>
        <v>0.84375</v>
      </c>
      <c r="K65">
        <f t="shared" si="5"/>
        <v>0.1806020066889632</v>
      </c>
      <c r="L65">
        <f>A65*COUNTIF(data!D:D,data!$I$2)/data!$L$2</f>
        <v>27.18854415274463</v>
      </c>
      <c r="M65" s="1">
        <f>A65/data!$L$2</f>
        <v>5.0914876690533017E-2</v>
      </c>
      <c r="N65">
        <f t="shared" si="0"/>
        <v>1.9861306179775282</v>
      </c>
    </row>
    <row r="66" spans="1:14" x14ac:dyDescent="0.2">
      <c r="A66">
        <v>65</v>
      </c>
      <c r="B66">
        <f>LARGE(data!F:F,A66)</f>
        <v>0.80301066060000004</v>
      </c>
      <c r="C66">
        <f>COUNTIFS(data!D:D,data!$I$2,data!F:F,"&gt;="&amp;B66)</f>
        <v>56</v>
      </c>
      <c r="D66">
        <f>COUNTIFS(data!D:D,data!$J$2,data!F:F,"&gt;="&amp;B66)</f>
        <v>10</v>
      </c>
      <c r="E66">
        <f>COUNTIFS(data!D:D,data!$J$2,data!F:F,"&lt;"&amp;B66)</f>
        <v>713</v>
      </c>
      <c r="F66">
        <f>COUNTIFS(data!D:D,data!$I$2,data!F:F,"&lt;"&amp;B66)</f>
        <v>478</v>
      </c>
      <c r="G66">
        <f t="shared" si="1"/>
        <v>1.3831258644536652E-2</v>
      </c>
      <c r="H66">
        <f t="shared" si="2"/>
        <v>0.10486891385767791</v>
      </c>
      <c r="I66">
        <f t="shared" si="3"/>
        <v>0</v>
      </c>
      <c r="J66">
        <f t="shared" si="4"/>
        <v>0.84848484848484851</v>
      </c>
      <c r="K66">
        <f t="shared" si="5"/>
        <v>0.18666666666666668</v>
      </c>
      <c r="L66">
        <f>A66*COUNTIF(data!D:D,data!$I$2)/data!$L$2</f>
        <v>27.613365155131266</v>
      </c>
      <c r="M66" s="1">
        <f>A66/data!$L$2</f>
        <v>5.1710421638822592E-2</v>
      </c>
      <c r="N66">
        <f t="shared" ref="N66:N129" si="6">C66/L66</f>
        <v>2.0280034572169403</v>
      </c>
    </row>
    <row r="67" spans="1:14" x14ac:dyDescent="0.2">
      <c r="A67">
        <v>66</v>
      </c>
      <c r="B67">
        <f>LARGE(data!F:F,A67)</f>
        <v>0.80301066060000004</v>
      </c>
      <c r="C67">
        <f>COUNTIFS(data!D:D,data!$I$2,data!F:F,"&gt;="&amp;B67)</f>
        <v>56</v>
      </c>
      <c r="D67">
        <f>COUNTIFS(data!D:D,data!$J$2,data!F:F,"&gt;="&amp;B67)</f>
        <v>10</v>
      </c>
      <c r="E67">
        <f>COUNTIFS(data!D:D,data!$J$2,data!F:F,"&lt;"&amp;B67)</f>
        <v>713</v>
      </c>
      <c r="F67">
        <f>COUNTIFS(data!D:D,data!$I$2,data!F:F,"&lt;"&amp;B67)</f>
        <v>478</v>
      </c>
      <c r="G67">
        <f t="shared" ref="G67:G130" si="7">D67/(E67+D67)</f>
        <v>1.3831258644536652E-2</v>
      </c>
      <c r="H67">
        <f t="shared" ref="H67:H130" si="8">C67/(C67+F67)</f>
        <v>0.10486891385767791</v>
      </c>
      <c r="I67">
        <f t="shared" ref="I67:I130" si="9">(G67-G66)*(H67+H66)*0.5</f>
        <v>0</v>
      </c>
      <c r="J67">
        <f t="shared" ref="J67:J130" si="10">C67/(C67+D67)</f>
        <v>0.84848484848484851</v>
      </c>
      <c r="K67">
        <f t="shared" ref="K67:K130" si="11">2*J67*H67/(J67+H67)</f>
        <v>0.18666666666666668</v>
      </c>
      <c r="L67">
        <f>A67*COUNTIF(data!D:D,data!$I$2)/data!$L$2</f>
        <v>28.038186157517899</v>
      </c>
      <c r="M67" s="1">
        <f>A67/data!$L$2</f>
        <v>5.2505966587112173E-2</v>
      </c>
      <c r="N67">
        <f t="shared" si="6"/>
        <v>1.9972761321075929</v>
      </c>
    </row>
    <row r="68" spans="1:14" x14ac:dyDescent="0.2">
      <c r="A68">
        <v>67</v>
      </c>
      <c r="B68">
        <f>LARGE(data!F:F,A68)</f>
        <v>0.80211223639999996</v>
      </c>
      <c r="C68">
        <f>COUNTIFS(data!D:D,data!$I$2,data!F:F,"&gt;="&amp;B68)</f>
        <v>57</v>
      </c>
      <c r="D68">
        <f>COUNTIFS(data!D:D,data!$J$2,data!F:F,"&gt;="&amp;B68)</f>
        <v>10</v>
      </c>
      <c r="E68">
        <f>COUNTIFS(data!D:D,data!$J$2,data!F:F,"&lt;"&amp;B68)</f>
        <v>713</v>
      </c>
      <c r="F68">
        <f>COUNTIFS(data!D:D,data!$I$2,data!F:F,"&lt;"&amp;B68)</f>
        <v>477</v>
      </c>
      <c r="G68">
        <f t="shared" si="7"/>
        <v>1.3831258644536652E-2</v>
      </c>
      <c r="H68">
        <f t="shared" si="8"/>
        <v>0.10674157303370786</v>
      </c>
      <c r="I68">
        <f t="shared" si="9"/>
        <v>0</v>
      </c>
      <c r="J68">
        <f t="shared" si="10"/>
        <v>0.85074626865671643</v>
      </c>
      <c r="K68">
        <f t="shared" si="11"/>
        <v>0.18968386023294509</v>
      </c>
      <c r="L68">
        <f>A68*COUNTIF(data!D:D,data!$I$2)/data!$L$2</f>
        <v>28.463007159904535</v>
      </c>
      <c r="M68" s="1">
        <f>A68/data!$L$2</f>
        <v>5.3301511535401754E-2</v>
      </c>
      <c r="N68">
        <f t="shared" si="6"/>
        <v>2.0025993627368774</v>
      </c>
    </row>
    <row r="69" spans="1:14" x14ac:dyDescent="0.2">
      <c r="A69">
        <v>68</v>
      </c>
      <c r="B69">
        <f>LARGE(data!F:F,A69)</f>
        <v>0.80120858179999999</v>
      </c>
      <c r="C69">
        <f>COUNTIFS(data!D:D,data!$I$2,data!F:F,"&gt;="&amp;B69)</f>
        <v>57</v>
      </c>
      <c r="D69">
        <f>COUNTIFS(data!D:D,data!$J$2,data!F:F,"&gt;="&amp;B69)</f>
        <v>11</v>
      </c>
      <c r="E69">
        <f>COUNTIFS(data!D:D,data!$J$2,data!F:F,"&lt;"&amp;B69)</f>
        <v>712</v>
      </c>
      <c r="F69">
        <f>COUNTIFS(data!D:D,data!$I$2,data!F:F,"&lt;"&amp;B69)</f>
        <v>477</v>
      </c>
      <c r="G69">
        <f t="shared" si="7"/>
        <v>1.5214384508990318E-2</v>
      </c>
      <c r="H69">
        <f t="shared" si="8"/>
        <v>0.10674157303370786</v>
      </c>
      <c r="I69">
        <f t="shared" si="9"/>
        <v>1.4763703047539128E-4</v>
      </c>
      <c r="J69">
        <f t="shared" si="10"/>
        <v>0.83823529411764708</v>
      </c>
      <c r="K69">
        <f t="shared" si="11"/>
        <v>0.18936877076411959</v>
      </c>
      <c r="L69">
        <f>A69*COUNTIF(data!D:D,data!$I$2)/data!$L$2</f>
        <v>28.887828162291168</v>
      </c>
      <c r="M69" s="1">
        <f>A69/data!$L$2</f>
        <v>5.4097056483691328E-2</v>
      </c>
      <c r="N69">
        <f t="shared" si="6"/>
        <v>1.9731493721083939</v>
      </c>
    </row>
    <row r="70" spans="1:14" x14ac:dyDescent="0.2">
      <c r="A70">
        <v>69</v>
      </c>
      <c r="B70">
        <f>LARGE(data!F:F,A70)</f>
        <v>0.79101759049999998</v>
      </c>
      <c r="C70">
        <f>COUNTIFS(data!D:D,data!$I$2,data!F:F,"&gt;="&amp;B70)</f>
        <v>58</v>
      </c>
      <c r="D70">
        <f>COUNTIFS(data!D:D,data!$J$2,data!F:F,"&gt;="&amp;B70)</f>
        <v>11</v>
      </c>
      <c r="E70">
        <f>COUNTIFS(data!D:D,data!$J$2,data!F:F,"&lt;"&amp;B70)</f>
        <v>712</v>
      </c>
      <c r="F70">
        <f>COUNTIFS(data!D:D,data!$I$2,data!F:F,"&lt;"&amp;B70)</f>
        <v>476</v>
      </c>
      <c r="G70">
        <f t="shared" si="7"/>
        <v>1.5214384508990318E-2</v>
      </c>
      <c r="H70">
        <f t="shared" si="8"/>
        <v>0.10861423220973783</v>
      </c>
      <c r="I70">
        <f t="shared" si="9"/>
        <v>0</v>
      </c>
      <c r="J70">
        <f t="shared" si="10"/>
        <v>0.84057971014492749</v>
      </c>
      <c r="K70">
        <f t="shared" si="11"/>
        <v>0.19237147595356549</v>
      </c>
      <c r="L70">
        <f>A70*COUNTIF(data!D:D,data!$I$2)/data!$L$2</f>
        <v>29.312649164677804</v>
      </c>
      <c r="M70" s="1">
        <f>A70/data!$L$2</f>
        <v>5.4892601431980909E-2</v>
      </c>
      <c r="N70">
        <f t="shared" si="6"/>
        <v>1.9786679693860936</v>
      </c>
    </row>
    <row r="71" spans="1:14" x14ac:dyDescent="0.2">
      <c r="A71">
        <v>70</v>
      </c>
      <c r="B71">
        <f>LARGE(data!F:F,A71)</f>
        <v>0.78964496880000001</v>
      </c>
      <c r="C71">
        <f>COUNTIFS(data!D:D,data!$I$2,data!F:F,"&gt;="&amp;B71)</f>
        <v>59</v>
      </c>
      <c r="D71">
        <f>COUNTIFS(data!D:D,data!$J$2,data!F:F,"&gt;="&amp;B71)</f>
        <v>11</v>
      </c>
      <c r="E71">
        <f>COUNTIFS(data!D:D,data!$J$2,data!F:F,"&lt;"&amp;B71)</f>
        <v>712</v>
      </c>
      <c r="F71">
        <f>COUNTIFS(data!D:D,data!$I$2,data!F:F,"&lt;"&amp;B71)</f>
        <v>475</v>
      </c>
      <c r="G71">
        <f t="shared" si="7"/>
        <v>1.5214384508990318E-2</v>
      </c>
      <c r="H71">
        <f t="shared" si="8"/>
        <v>0.1104868913857678</v>
      </c>
      <c r="I71">
        <f t="shared" si="9"/>
        <v>0</v>
      </c>
      <c r="J71">
        <f t="shared" si="10"/>
        <v>0.84285714285714286</v>
      </c>
      <c r="K71">
        <f t="shared" si="11"/>
        <v>0.19536423841059603</v>
      </c>
      <c r="L71">
        <f>A71*COUNTIF(data!D:D,data!$I$2)/data!$L$2</f>
        <v>29.737470167064441</v>
      </c>
      <c r="M71" s="1">
        <f>A71/data!$L$2</f>
        <v>5.5688146380270483E-2</v>
      </c>
      <c r="N71">
        <f t="shared" si="6"/>
        <v>1.9840288924558587</v>
      </c>
    </row>
    <row r="72" spans="1:14" x14ac:dyDescent="0.2">
      <c r="A72">
        <v>71</v>
      </c>
      <c r="B72">
        <f>LARGE(data!F:F,A72)</f>
        <v>0.78942750520000005</v>
      </c>
      <c r="C72">
        <f>COUNTIFS(data!D:D,data!$I$2,data!F:F,"&gt;="&amp;B72)</f>
        <v>59</v>
      </c>
      <c r="D72">
        <f>COUNTIFS(data!D:D,data!$J$2,data!F:F,"&gt;="&amp;B72)</f>
        <v>12</v>
      </c>
      <c r="E72">
        <f>COUNTIFS(data!D:D,data!$J$2,data!F:F,"&lt;"&amp;B72)</f>
        <v>711</v>
      </c>
      <c r="F72">
        <f>COUNTIFS(data!D:D,data!$I$2,data!F:F,"&lt;"&amp;B72)</f>
        <v>475</v>
      </c>
      <c r="G72">
        <f t="shared" si="7"/>
        <v>1.6597510373443983E-2</v>
      </c>
      <c r="H72">
        <f t="shared" si="8"/>
        <v>0.1104868913857678</v>
      </c>
      <c r="I72">
        <f t="shared" si="9"/>
        <v>1.5281727715873834E-4</v>
      </c>
      <c r="J72">
        <f t="shared" si="10"/>
        <v>0.83098591549295775</v>
      </c>
      <c r="K72">
        <f t="shared" si="11"/>
        <v>0.19504132231404958</v>
      </c>
      <c r="L72">
        <f>A72*COUNTIF(data!D:D,data!$I$2)/data!$L$2</f>
        <v>30.162291169451073</v>
      </c>
      <c r="M72" s="1">
        <f>A72/data!$L$2</f>
        <v>5.6483691328560064E-2</v>
      </c>
      <c r="N72">
        <f t="shared" si="6"/>
        <v>1.9560848235480297</v>
      </c>
    </row>
    <row r="73" spans="1:14" x14ac:dyDescent="0.2">
      <c r="A73">
        <v>72</v>
      </c>
      <c r="B73">
        <f>LARGE(data!F:F,A73)</f>
        <v>0.78940759199999999</v>
      </c>
      <c r="C73">
        <f>COUNTIFS(data!D:D,data!$I$2,data!F:F,"&gt;="&amp;B73)</f>
        <v>60</v>
      </c>
      <c r="D73">
        <f>COUNTIFS(data!D:D,data!$J$2,data!F:F,"&gt;="&amp;B73)</f>
        <v>12</v>
      </c>
      <c r="E73">
        <f>COUNTIFS(data!D:D,data!$J$2,data!F:F,"&lt;"&amp;B73)</f>
        <v>711</v>
      </c>
      <c r="F73">
        <f>COUNTIFS(data!D:D,data!$I$2,data!F:F,"&lt;"&amp;B73)</f>
        <v>474</v>
      </c>
      <c r="G73">
        <f t="shared" si="7"/>
        <v>1.6597510373443983E-2</v>
      </c>
      <c r="H73">
        <f t="shared" si="8"/>
        <v>0.11235955056179775</v>
      </c>
      <c r="I73">
        <f t="shared" si="9"/>
        <v>0</v>
      </c>
      <c r="J73">
        <f t="shared" si="10"/>
        <v>0.83333333333333337</v>
      </c>
      <c r="K73">
        <f t="shared" si="11"/>
        <v>0.19801980198019803</v>
      </c>
      <c r="L73">
        <f>A73*COUNTIF(data!D:D,data!$I$2)/data!$L$2</f>
        <v>30.58711217183771</v>
      </c>
      <c r="M73" s="1">
        <f>A73/data!$L$2</f>
        <v>5.7279236276849645E-2</v>
      </c>
      <c r="N73">
        <f t="shared" si="6"/>
        <v>1.9616104868913857</v>
      </c>
    </row>
    <row r="74" spans="1:14" x14ac:dyDescent="0.2">
      <c r="A74">
        <v>73</v>
      </c>
      <c r="B74">
        <f>LARGE(data!F:F,A74)</f>
        <v>0.78842807739999998</v>
      </c>
      <c r="C74">
        <f>COUNTIFS(data!D:D,data!$I$2,data!F:F,"&gt;="&amp;B74)</f>
        <v>61</v>
      </c>
      <c r="D74">
        <f>COUNTIFS(data!D:D,data!$J$2,data!F:F,"&gt;="&amp;B74)</f>
        <v>12</v>
      </c>
      <c r="E74">
        <f>COUNTIFS(data!D:D,data!$J$2,data!F:F,"&lt;"&amp;B74)</f>
        <v>711</v>
      </c>
      <c r="F74">
        <f>COUNTIFS(data!D:D,data!$I$2,data!F:F,"&lt;"&amp;B74)</f>
        <v>473</v>
      </c>
      <c r="G74">
        <f t="shared" si="7"/>
        <v>1.6597510373443983E-2</v>
      </c>
      <c r="H74">
        <f t="shared" si="8"/>
        <v>0.11423220973782772</v>
      </c>
      <c r="I74">
        <f t="shared" si="9"/>
        <v>0</v>
      </c>
      <c r="J74">
        <f t="shared" si="10"/>
        <v>0.83561643835616439</v>
      </c>
      <c r="K74">
        <f t="shared" si="11"/>
        <v>0.20098846787479407</v>
      </c>
      <c r="L74">
        <f>A74*COUNTIF(data!D:D,data!$I$2)/data!$L$2</f>
        <v>31.011933174224342</v>
      </c>
      <c r="M74" s="1">
        <f>A74/data!$L$2</f>
        <v>5.8074781225139219E-2</v>
      </c>
      <c r="N74">
        <f t="shared" si="6"/>
        <v>1.9669847621979375</v>
      </c>
    </row>
    <row r="75" spans="1:14" x14ac:dyDescent="0.2">
      <c r="A75">
        <v>74</v>
      </c>
      <c r="B75">
        <f>LARGE(data!F:F,A75)</f>
        <v>0.78776513979999996</v>
      </c>
      <c r="C75">
        <f>COUNTIFS(data!D:D,data!$I$2,data!F:F,"&gt;="&amp;B75)</f>
        <v>61</v>
      </c>
      <c r="D75">
        <f>COUNTIFS(data!D:D,data!$J$2,data!F:F,"&gt;="&amp;B75)</f>
        <v>13</v>
      </c>
      <c r="E75">
        <f>COUNTIFS(data!D:D,data!$J$2,data!F:F,"&lt;"&amp;B75)</f>
        <v>710</v>
      </c>
      <c r="F75">
        <f>COUNTIFS(data!D:D,data!$I$2,data!F:F,"&lt;"&amp;B75)</f>
        <v>473</v>
      </c>
      <c r="G75">
        <f t="shared" si="7"/>
        <v>1.7980636237897647E-2</v>
      </c>
      <c r="H75">
        <f t="shared" si="8"/>
        <v>0.11423220973782772</v>
      </c>
      <c r="I75">
        <f t="shared" si="9"/>
        <v>1.5799752384208519E-4</v>
      </c>
      <c r="J75">
        <f t="shared" si="10"/>
        <v>0.82432432432432434</v>
      </c>
      <c r="K75">
        <f t="shared" si="11"/>
        <v>0.20065789473684212</v>
      </c>
      <c r="L75">
        <f>A75*COUNTIF(data!D:D,data!$I$2)/data!$L$2</f>
        <v>31.436754176610979</v>
      </c>
      <c r="M75" s="1">
        <f>A75/data!$L$2</f>
        <v>5.88703261734288E-2</v>
      </c>
      <c r="N75">
        <f t="shared" si="6"/>
        <v>1.9404038870331004</v>
      </c>
    </row>
    <row r="76" spans="1:14" x14ac:dyDescent="0.2">
      <c r="A76">
        <v>75</v>
      </c>
      <c r="B76">
        <f>LARGE(data!F:F,A76)</f>
        <v>0.78769446310000002</v>
      </c>
      <c r="C76">
        <f>COUNTIFS(data!D:D,data!$I$2,data!F:F,"&gt;="&amp;B76)</f>
        <v>61</v>
      </c>
      <c r="D76">
        <f>COUNTIFS(data!D:D,data!$J$2,data!F:F,"&gt;="&amp;B76)</f>
        <v>14</v>
      </c>
      <c r="E76">
        <f>COUNTIFS(data!D:D,data!$J$2,data!F:F,"&lt;"&amp;B76)</f>
        <v>709</v>
      </c>
      <c r="F76">
        <f>COUNTIFS(data!D:D,data!$I$2,data!F:F,"&lt;"&amp;B76)</f>
        <v>473</v>
      </c>
      <c r="G76">
        <f t="shared" si="7"/>
        <v>1.9363762102351315E-2</v>
      </c>
      <c r="H76">
        <f t="shared" si="8"/>
        <v>0.11423220973782772</v>
      </c>
      <c r="I76">
        <f t="shared" si="9"/>
        <v>1.5799752384208559E-4</v>
      </c>
      <c r="J76">
        <f t="shared" si="10"/>
        <v>0.81333333333333335</v>
      </c>
      <c r="K76">
        <f t="shared" si="11"/>
        <v>0.20032840722495895</v>
      </c>
      <c r="L76">
        <f>A76*COUNTIF(data!D:D,data!$I$2)/data!$L$2</f>
        <v>31.861575178997612</v>
      </c>
      <c r="M76" s="1">
        <f>A76/data!$L$2</f>
        <v>5.9665871121718374E-2</v>
      </c>
      <c r="N76">
        <f t="shared" si="6"/>
        <v>1.9145318352059926</v>
      </c>
    </row>
    <row r="77" spans="1:14" x14ac:dyDescent="0.2">
      <c r="A77">
        <v>76</v>
      </c>
      <c r="B77">
        <f>LARGE(data!F:F,A77)</f>
        <v>0.78715349820000002</v>
      </c>
      <c r="C77">
        <f>COUNTIFS(data!D:D,data!$I$2,data!F:F,"&gt;="&amp;B77)</f>
        <v>63</v>
      </c>
      <c r="D77">
        <f>COUNTIFS(data!D:D,data!$J$2,data!F:F,"&gt;="&amp;B77)</f>
        <v>14</v>
      </c>
      <c r="E77">
        <f>COUNTIFS(data!D:D,data!$J$2,data!F:F,"&lt;"&amp;B77)</f>
        <v>709</v>
      </c>
      <c r="F77">
        <f>COUNTIFS(data!D:D,data!$I$2,data!F:F,"&lt;"&amp;B77)</f>
        <v>471</v>
      </c>
      <c r="G77">
        <f t="shared" si="7"/>
        <v>1.9363762102351315E-2</v>
      </c>
      <c r="H77">
        <f t="shared" si="8"/>
        <v>0.11797752808988764</v>
      </c>
      <c r="I77">
        <f t="shared" si="9"/>
        <v>0</v>
      </c>
      <c r="J77">
        <f t="shared" si="10"/>
        <v>0.81818181818181823</v>
      </c>
      <c r="K77">
        <f t="shared" si="11"/>
        <v>0.20621931260229132</v>
      </c>
      <c r="L77">
        <f>A77*COUNTIF(data!D:D,data!$I$2)/data!$L$2</f>
        <v>32.286396181384248</v>
      </c>
      <c r="M77" s="1">
        <f>A77/data!$L$2</f>
        <v>6.0461416070007955E-2</v>
      </c>
      <c r="N77">
        <f t="shared" si="6"/>
        <v>1.9512862211709048</v>
      </c>
    </row>
    <row r="78" spans="1:14" x14ac:dyDescent="0.2">
      <c r="A78">
        <v>77</v>
      </c>
      <c r="B78">
        <f>LARGE(data!F:F,A78)</f>
        <v>0.78715349820000002</v>
      </c>
      <c r="C78">
        <f>COUNTIFS(data!D:D,data!$I$2,data!F:F,"&gt;="&amp;B78)</f>
        <v>63</v>
      </c>
      <c r="D78">
        <f>COUNTIFS(data!D:D,data!$J$2,data!F:F,"&gt;="&amp;B78)</f>
        <v>14</v>
      </c>
      <c r="E78">
        <f>COUNTIFS(data!D:D,data!$J$2,data!F:F,"&lt;"&amp;B78)</f>
        <v>709</v>
      </c>
      <c r="F78">
        <f>COUNTIFS(data!D:D,data!$I$2,data!F:F,"&lt;"&amp;B78)</f>
        <v>471</v>
      </c>
      <c r="G78">
        <f t="shared" si="7"/>
        <v>1.9363762102351315E-2</v>
      </c>
      <c r="H78">
        <f t="shared" si="8"/>
        <v>0.11797752808988764</v>
      </c>
      <c r="I78">
        <f t="shared" si="9"/>
        <v>0</v>
      </c>
      <c r="J78">
        <f t="shared" si="10"/>
        <v>0.81818181818181823</v>
      </c>
      <c r="K78">
        <f t="shared" si="11"/>
        <v>0.20621931260229132</v>
      </c>
      <c r="L78">
        <f>A78*COUNTIF(data!D:D,data!$I$2)/data!$L$2</f>
        <v>32.711217183770884</v>
      </c>
      <c r="M78" s="1">
        <f>A78/data!$L$2</f>
        <v>6.1256961018297536E-2</v>
      </c>
      <c r="N78">
        <f t="shared" si="6"/>
        <v>1.9259448416751788</v>
      </c>
    </row>
    <row r="79" spans="1:14" x14ac:dyDescent="0.2">
      <c r="A79">
        <v>78</v>
      </c>
      <c r="B79">
        <f>LARGE(data!F:F,A79)</f>
        <v>0.78460139500000003</v>
      </c>
      <c r="C79">
        <f>COUNTIFS(data!D:D,data!$I$2,data!F:F,"&gt;="&amp;B79)</f>
        <v>64</v>
      </c>
      <c r="D79">
        <f>COUNTIFS(data!D:D,data!$J$2,data!F:F,"&gt;="&amp;B79)</f>
        <v>14</v>
      </c>
      <c r="E79">
        <f>COUNTIFS(data!D:D,data!$J$2,data!F:F,"&lt;"&amp;B79)</f>
        <v>709</v>
      </c>
      <c r="F79">
        <f>COUNTIFS(data!D:D,data!$I$2,data!F:F,"&lt;"&amp;B79)</f>
        <v>470</v>
      </c>
      <c r="G79">
        <f t="shared" si="7"/>
        <v>1.9363762102351315E-2</v>
      </c>
      <c r="H79">
        <f t="shared" si="8"/>
        <v>0.1198501872659176</v>
      </c>
      <c r="I79">
        <f t="shared" si="9"/>
        <v>0</v>
      </c>
      <c r="J79">
        <f t="shared" si="10"/>
        <v>0.82051282051282048</v>
      </c>
      <c r="K79">
        <f t="shared" si="11"/>
        <v>0.20915032679738563</v>
      </c>
      <c r="L79">
        <f>A79*COUNTIF(data!D:D,data!$I$2)/data!$L$2</f>
        <v>33.136038186157521</v>
      </c>
      <c r="M79" s="1">
        <f>A79/data!$L$2</f>
        <v>6.205250596658711E-2</v>
      </c>
      <c r="N79">
        <f t="shared" si="6"/>
        <v>1.9314318640161334</v>
      </c>
    </row>
    <row r="80" spans="1:14" x14ac:dyDescent="0.2">
      <c r="A80">
        <v>79</v>
      </c>
      <c r="B80">
        <f>LARGE(data!F:F,A80)</f>
        <v>0.782899385</v>
      </c>
      <c r="C80">
        <f>COUNTIFS(data!D:D,data!$I$2,data!F:F,"&gt;="&amp;B80)</f>
        <v>65</v>
      </c>
      <c r="D80">
        <f>COUNTIFS(data!D:D,data!$J$2,data!F:F,"&gt;="&amp;B80)</f>
        <v>14</v>
      </c>
      <c r="E80">
        <f>COUNTIFS(data!D:D,data!$J$2,data!F:F,"&lt;"&amp;B80)</f>
        <v>709</v>
      </c>
      <c r="F80">
        <f>COUNTIFS(data!D:D,data!$I$2,data!F:F,"&lt;"&amp;B80)</f>
        <v>469</v>
      </c>
      <c r="G80">
        <f t="shared" si="7"/>
        <v>1.9363762102351315E-2</v>
      </c>
      <c r="H80">
        <f t="shared" si="8"/>
        <v>0.12172284644194757</v>
      </c>
      <c r="I80">
        <f t="shared" si="9"/>
        <v>0</v>
      </c>
      <c r="J80">
        <f t="shared" si="10"/>
        <v>0.82278481012658233</v>
      </c>
      <c r="K80">
        <f t="shared" si="11"/>
        <v>0.21207177814029365</v>
      </c>
      <c r="L80">
        <f>A80*COUNTIF(data!D:D,data!$I$2)/data!$L$2</f>
        <v>33.56085918854415</v>
      </c>
      <c r="M80" s="1">
        <f>A80/data!$L$2</f>
        <v>6.2848050914876691E-2</v>
      </c>
      <c r="N80">
        <f t="shared" si="6"/>
        <v>1.9367799743990899</v>
      </c>
    </row>
    <row r="81" spans="1:14" x14ac:dyDescent="0.2">
      <c r="A81">
        <v>80</v>
      </c>
      <c r="B81">
        <f>LARGE(data!F:F,A81)</f>
        <v>0.78157502489999997</v>
      </c>
      <c r="C81">
        <f>COUNTIFS(data!D:D,data!$I$2,data!F:F,"&gt;="&amp;B81)</f>
        <v>66</v>
      </c>
      <c r="D81">
        <f>COUNTIFS(data!D:D,data!$J$2,data!F:F,"&gt;="&amp;B81)</f>
        <v>14</v>
      </c>
      <c r="E81">
        <f>COUNTIFS(data!D:D,data!$J$2,data!F:F,"&lt;"&amp;B81)</f>
        <v>709</v>
      </c>
      <c r="F81">
        <f>COUNTIFS(data!D:D,data!$I$2,data!F:F,"&lt;"&amp;B81)</f>
        <v>468</v>
      </c>
      <c r="G81">
        <f t="shared" si="7"/>
        <v>1.9363762102351315E-2</v>
      </c>
      <c r="H81">
        <f t="shared" si="8"/>
        <v>0.12359550561797752</v>
      </c>
      <c r="I81">
        <f t="shared" si="9"/>
        <v>0</v>
      </c>
      <c r="J81">
        <f t="shared" si="10"/>
        <v>0.82499999999999996</v>
      </c>
      <c r="K81">
        <f t="shared" si="11"/>
        <v>0.21498371335504884</v>
      </c>
      <c r="L81">
        <f>A81*COUNTIF(data!D:D,data!$I$2)/data!$L$2</f>
        <v>33.985680190930786</v>
      </c>
      <c r="M81" s="1">
        <f>A81/data!$L$2</f>
        <v>6.3643595863166272E-2</v>
      </c>
      <c r="N81">
        <f t="shared" si="6"/>
        <v>1.9419943820224721</v>
      </c>
    </row>
    <row r="82" spans="1:14" x14ac:dyDescent="0.2">
      <c r="A82">
        <v>81</v>
      </c>
      <c r="B82">
        <f>LARGE(data!F:F,A82)</f>
        <v>0.77987798519999996</v>
      </c>
      <c r="C82">
        <f>COUNTIFS(data!D:D,data!$I$2,data!F:F,"&gt;="&amp;B82)</f>
        <v>67</v>
      </c>
      <c r="D82">
        <f>COUNTIFS(data!D:D,data!$J$2,data!F:F,"&gt;="&amp;B82)</f>
        <v>14</v>
      </c>
      <c r="E82">
        <f>COUNTIFS(data!D:D,data!$J$2,data!F:F,"&lt;"&amp;B82)</f>
        <v>709</v>
      </c>
      <c r="F82">
        <f>COUNTIFS(data!D:D,data!$I$2,data!F:F,"&lt;"&amp;B82)</f>
        <v>467</v>
      </c>
      <c r="G82">
        <f t="shared" si="7"/>
        <v>1.9363762102351315E-2</v>
      </c>
      <c r="H82">
        <f t="shared" si="8"/>
        <v>0.12546816479400749</v>
      </c>
      <c r="I82">
        <f t="shared" si="9"/>
        <v>0</v>
      </c>
      <c r="J82">
        <f t="shared" si="10"/>
        <v>0.8271604938271605</v>
      </c>
      <c r="K82">
        <f t="shared" si="11"/>
        <v>0.21788617886178863</v>
      </c>
      <c r="L82">
        <f>A82*COUNTIF(data!D:D,data!$I$2)/data!$L$2</f>
        <v>34.410501193317423</v>
      </c>
      <c r="M82" s="1">
        <f>A82/data!$L$2</f>
        <v>6.4439140811455853E-2</v>
      </c>
      <c r="N82">
        <f t="shared" si="6"/>
        <v>1.9470800388403384</v>
      </c>
    </row>
    <row r="83" spans="1:14" x14ac:dyDescent="0.2">
      <c r="A83">
        <v>82</v>
      </c>
      <c r="B83">
        <f>LARGE(data!F:F,A83)</f>
        <v>0.77922439259999998</v>
      </c>
      <c r="C83">
        <f>COUNTIFS(data!D:D,data!$I$2,data!F:F,"&gt;="&amp;B83)</f>
        <v>69</v>
      </c>
      <c r="D83">
        <f>COUNTIFS(data!D:D,data!$J$2,data!F:F,"&gt;="&amp;B83)</f>
        <v>14</v>
      </c>
      <c r="E83">
        <f>COUNTIFS(data!D:D,data!$J$2,data!F:F,"&lt;"&amp;B83)</f>
        <v>709</v>
      </c>
      <c r="F83">
        <f>COUNTIFS(data!D:D,data!$I$2,data!F:F,"&lt;"&amp;B83)</f>
        <v>465</v>
      </c>
      <c r="G83">
        <f t="shared" si="7"/>
        <v>1.9363762102351315E-2</v>
      </c>
      <c r="H83">
        <f t="shared" si="8"/>
        <v>0.12921348314606743</v>
      </c>
      <c r="I83">
        <f t="shared" si="9"/>
        <v>0</v>
      </c>
      <c r="J83">
        <f t="shared" si="10"/>
        <v>0.83132530120481929</v>
      </c>
      <c r="K83">
        <f t="shared" si="11"/>
        <v>0.22366288492706649</v>
      </c>
      <c r="L83">
        <f>A83*COUNTIF(data!D:D,data!$I$2)/data!$L$2</f>
        <v>34.835322195704059</v>
      </c>
      <c r="M83" s="1">
        <f>A83/data!$L$2</f>
        <v>6.523468575974542E-2</v>
      </c>
      <c r="N83">
        <f t="shared" si="6"/>
        <v>1.980748150178131</v>
      </c>
    </row>
    <row r="84" spans="1:14" x14ac:dyDescent="0.2">
      <c r="A84">
        <v>83</v>
      </c>
      <c r="B84">
        <f>LARGE(data!F:F,A84)</f>
        <v>0.77922439259999998</v>
      </c>
      <c r="C84">
        <f>COUNTIFS(data!D:D,data!$I$2,data!F:F,"&gt;="&amp;B84)</f>
        <v>69</v>
      </c>
      <c r="D84">
        <f>COUNTIFS(data!D:D,data!$J$2,data!F:F,"&gt;="&amp;B84)</f>
        <v>14</v>
      </c>
      <c r="E84">
        <f>COUNTIFS(data!D:D,data!$J$2,data!F:F,"&lt;"&amp;B84)</f>
        <v>709</v>
      </c>
      <c r="F84">
        <f>COUNTIFS(data!D:D,data!$I$2,data!F:F,"&lt;"&amp;B84)</f>
        <v>465</v>
      </c>
      <c r="G84">
        <f t="shared" si="7"/>
        <v>1.9363762102351315E-2</v>
      </c>
      <c r="H84">
        <f t="shared" si="8"/>
        <v>0.12921348314606743</v>
      </c>
      <c r="I84">
        <f t="shared" si="9"/>
        <v>0</v>
      </c>
      <c r="J84">
        <f t="shared" si="10"/>
        <v>0.83132530120481929</v>
      </c>
      <c r="K84">
        <f t="shared" si="11"/>
        <v>0.22366288492706649</v>
      </c>
      <c r="L84">
        <f>A84*COUNTIF(data!D:D,data!$I$2)/data!$L$2</f>
        <v>35.260143198090695</v>
      </c>
      <c r="M84" s="1">
        <f>A84/data!$L$2</f>
        <v>6.6030230708035001E-2</v>
      </c>
      <c r="N84">
        <f t="shared" si="6"/>
        <v>1.9568837146338161</v>
      </c>
    </row>
    <row r="85" spans="1:14" x14ac:dyDescent="0.2">
      <c r="A85">
        <v>84</v>
      </c>
      <c r="B85">
        <f>LARGE(data!F:F,A85)</f>
        <v>0.77755561169999998</v>
      </c>
      <c r="C85">
        <f>COUNTIFS(data!D:D,data!$I$2,data!F:F,"&gt;="&amp;B85)</f>
        <v>71</v>
      </c>
      <c r="D85">
        <f>COUNTIFS(data!D:D,data!$J$2,data!F:F,"&gt;="&amp;B85)</f>
        <v>14</v>
      </c>
      <c r="E85">
        <f>COUNTIFS(data!D:D,data!$J$2,data!F:F,"&lt;"&amp;B85)</f>
        <v>709</v>
      </c>
      <c r="F85">
        <f>COUNTIFS(data!D:D,data!$I$2,data!F:F,"&lt;"&amp;B85)</f>
        <v>463</v>
      </c>
      <c r="G85">
        <f t="shared" si="7"/>
        <v>1.9363762102351315E-2</v>
      </c>
      <c r="H85">
        <f t="shared" si="8"/>
        <v>0.13295880149812733</v>
      </c>
      <c r="I85">
        <f t="shared" si="9"/>
        <v>0</v>
      </c>
      <c r="J85">
        <f t="shared" si="10"/>
        <v>0.83529411764705885</v>
      </c>
      <c r="K85">
        <f t="shared" si="11"/>
        <v>0.22940226171243941</v>
      </c>
      <c r="L85">
        <f>A85*COUNTIF(data!D:D,data!$I$2)/data!$L$2</f>
        <v>35.684964200477324</v>
      </c>
      <c r="M85" s="1">
        <f>A85/data!$L$2</f>
        <v>6.6825775656324582E-2</v>
      </c>
      <c r="N85">
        <f t="shared" si="6"/>
        <v>1.9896334938469771</v>
      </c>
    </row>
    <row r="86" spans="1:14" x14ac:dyDescent="0.2">
      <c r="A86">
        <v>85</v>
      </c>
      <c r="B86">
        <f>LARGE(data!F:F,A86)</f>
        <v>0.77755561169999998</v>
      </c>
      <c r="C86">
        <f>COUNTIFS(data!D:D,data!$I$2,data!F:F,"&gt;="&amp;B86)</f>
        <v>71</v>
      </c>
      <c r="D86">
        <f>COUNTIFS(data!D:D,data!$J$2,data!F:F,"&gt;="&amp;B86)</f>
        <v>14</v>
      </c>
      <c r="E86">
        <f>COUNTIFS(data!D:D,data!$J$2,data!F:F,"&lt;"&amp;B86)</f>
        <v>709</v>
      </c>
      <c r="F86">
        <f>COUNTIFS(data!D:D,data!$I$2,data!F:F,"&lt;"&amp;B86)</f>
        <v>463</v>
      </c>
      <c r="G86">
        <f t="shared" si="7"/>
        <v>1.9363762102351315E-2</v>
      </c>
      <c r="H86">
        <f t="shared" si="8"/>
        <v>0.13295880149812733</v>
      </c>
      <c r="I86">
        <f t="shared" si="9"/>
        <v>0</v>
      </c>
      <c r="J86">
        <f t="shared" si="10"/>
        <v>0.83529411764705885</v>
      </c>
      <c r="K86">
        <f t="shared" si="11"/>
        <v>0.22940226171243941</v>
      </c>
      <c r="L86">
        <f>A86*COUNTIF(data!D:D,data!$I$2)/data!$L$2</f>
        <v>36.109785202863961</v>
      </c>
      <c r="M86" s="1">
        <f>A86/data!$L$2</f>
        <v>6.7621320604614163E-2</v>
      </c>
      <c r="N86">
        <f t="shared" si="6"/>
        <v>1.9662260409781891</v>
      </c>
    </row>
    <row r="87" spans="1:14" x14ac:dyDescent="0.2">
      <c r="A87">
        <v>86</v>
      </c>
      <c r="B87">
        <f>LARGE(data!F:F,A87)</f>
        <v>0.77528969729999997</v>
      </c>
      <c r="C87">
        <f>COUNTIFS(data!D:D,data!$I$2,data!F:F,"&gt;="&amp;B87)</f>
        <v>72</v>
      </c>
      <c r="D87">
        <f>COUNTIFS(data!D:D,data!$J$2,data!F:F,"&gt;="&amp;B87)</f>
        <v>14</v>
      </c>
      <c r="E87">
        <f>COUNTIFS(data!D:D,data!$J$2,data!F:F,"&lt;"&amp;B87)</f>
        <v>709</v>
      </c>
      <c r="F87">
        <f>COUNTIFS(data!D:D,data!$I$2,data!F:F,"&lt;"&amp;B87)</f>
        <v>462</v>
      </c>
      <c r="G87">
        <f t="shared" si="7"/>
        <v>1.9363762102351315E-2</v>
      </c>
      <c r="H87">
        <f t="shared" si="8"/>
        <v>0.1348314606741573</v>
      </c>
      <c r="I87">
        <f t="shared" si="9"/>
        <v>0</v>
      </c>
      <c r="J87">
        <f t="shared" si="10"/>
        <v>0.83720930232558144</v>
      </c>
      <c r="K87">
        <f t="shared" si="11"/>
        <v>0.23225806451612901</v>
      </c>
      <c r="L87">
        <f>A87*COUNTIF(data!D:D,data!$I$2)/data!$L$2</f>
        <v>36.534606205250597</v>
      </c>
      <c r="M87" s="1">
        <f>A87/data!$L$2</f>
        <v>6.8416865552903744E-2</v>
      </c>
      <c r="N87">
        <f t="shared" si="6"/>
        <v>1.9707342565978574</v>
      </c>
    </row>
    <row r="88" spans="1:14" x14ac:dyDescent="0.2">
      <c r="A88">
        <v>87</v>
      </c>
      <c r="B88">
        <f>LARGE(data!F:F,A88)</f>
        <v>0.77420878790000003</v>
      </c>
      <c r="C88">
        <f>COUNTIFS(data!D:D,data!$I$2,data!F:F,"&gt;="&amp;B88)</f>
        <v>73</v>
      </c>
      <c r="D88">
        <f>COUNTIFS(data!D:D,data!$J$2,data!F:F,"&gt;="&amp;B88)</f>
        <v>14</v>
      </c>
      <c r="E88">
        <f>COUNTIFS(data!D:D,data!$J$2,data!F:F,"&lt;"&amp;B88)</f>
        <v>709</v>
      </c>
      <c r="F88">
        <f>COUNTIFS(data!D:D,data!$I$2,data!F:F,"&lt;"&amp;B88)</f>
        <v>461</v>
      </c>
      <c r="G88">
        <f t="shared" si="7"/>
        <v>1.9363762102351315E-2</v>
      </c>
      <c r="H88">
        <f t="shared" si="8"/>
        <v>0.13670411985018727</v>
      </c>
      <c r="I88">
        <f t="shared" si="9"/>
        <v>0</v>
      </c>
      <c r="J88">
        <f t="shared" si="10"/>
        <v>0.83908045977011492</v>
      </c>
      <c r="K88">
        <f t="shared" si="11"/>
        <v>0.2351046698872786</v>
      </c>
      <c r="L88">
        <f>A88*COUNTIF(data!D:D,data!$I$2)/data!$L$2</f>
        <v>36.959427207637233</v>
      </c>
      <c r="M88" s="1">
        <f>A88/data!$L$2</f>
        <v>6.9212410501193311E-2</v>
      </c>
      <c r="N88">
        <f t="shared" si="6"/>
        <v>1.9751388350768435</v>
      </c>
    </row>
    <row r="89" spans="1:14" x14ac:dyDescent="0.2">
      <c r="A89">
        <v>88</v>
      </c>
      <c r="B89">
        <f>LARGE(data!F:F,A89)</f>
        <v>0.77159685229999997</v>
      </c>
      <c r="C89">
        <f>COUNTIFS(data!D:D,data!$I$2,data!F:F,"&gt;="&amp;B89)</f>
        <v>75</v>
      </c>
      <c r="D89">
        <f>COUNTIFS(data!D:D,data!$J$2,data!F:F,"&gt;="&amp;B89)</f>
        <v>14</v>
      </c>
      <c r="E89">
        <f>COUNTIFS(data!D:D,data!$J$2,data!F:F,"&lt;"&amp;B89)</f>
        <v>709</v>
      </c>
      <c r="F89">
        <f>COUNTIFS(data!D:D,data!$I$2,data!F:F,"&lt;"&amp;B89)</f>
        <v>459</v>
      </c>
      <c r="G89">
        <f t="shared" si="7"/>
        <v>1.9363762102351315E-2</v>
      </c>
      <c r="H89">
        <f t="shared" si="8"/>
        <v>0.1404494382022472</v>
      </c>
      <c r="I89">
        <f t="shared" si="9"/>
        <v>0</v>
      </c>
      <c r="J89">
        <f t="shared" si="10"/>
        <v>0.84269662921348309</v>
      </c>
      <c r="K89">
        <f t="shared" si="11"/>
        <v>0.24077046548956663</v>
      </c>
      <c r="L89">
        <f>A89*COUNTIF(data!D:D,data!$I$2)/data!$L$2</f>
        <v>37.38424821002387</v>
      </c>
      <c r="M89" s="1">
        <f>A89/data!$L$2</f>
        <v>7.0007955449482892E-2</v>
      </c>
      <c r="N89">
        <f t="shared" si="6"/>
        <v>2.0061925434116445</v>
      </c>
    </row>
    <row r="90" spans="1:14" x14ac:dyDescent="0.2">
      <c r="A90">
        <v>89</v>
      </c>
      <c r="B90">
        <f>LARGE(data!F:F,A90)</f>
        <v>0.77159685229999997</v>
      </c>
      <c r="C90">
        <f>COUNTIFS(data!D:D,data!$I$2,data!F:F,"&gt;="&amp;B90)</f>
        <v>75</v>
      </c>
      <c r="D90">
        <f>COUNTIFS(data!D:D,data!$J$2,data!F:F,"&gt;="&amp;B90)</f>
        <v>14</v>
      </c>
      <c r="E90">
        <f>COUNTIFS(data!D:D,data!$J$2,data!F:F,"&lt;"&amp;B90)</f>
        <v>709</v>
      </c>
      <c r="F90">
        <f>COUNTIFS(data!D:D,data!$I$2,data!F:F,"&lt;"&amp;B90)</f>
        <v>459</v>
      </c>
      <c r="G90">
        <f t="shared" si="7"/>
        <v>1.9363762102351315E-2</v>
      </c>
      <c r="H90">
        <f t="shared" si="8"/>
        <v>0.1404494382022472</v>
      </c>
      <c r="I90">
        <f t="shared" si="9"/>
        <v>0</v>
      </c>
      <c r="J90">
        <f t="shared" si="10"/>
        <v>0.84269662921348309</v>
      </c>
      <c r="K90">
        <f t="shared" si="11"/>
        <v>0.24077046548956663</v>
      </c>
      <c r="L90">
        <f>A90*COUNTIF(data!D:D,data!$I$2)/data!$L$2</f>
        <v>37.809069212410499</v>
      </c>
      <c r="M90" s="1">
        <f>A90/data!$L$2</f>
        <v>7.0803500397772473E-2</v>
      </c>
      <c r="N90">
        <f t="shared" si="6"/>
        <v>1.9836510541598285</v>
      </c>
    </row>
    <row r="91" spans="1:14" x14ac:dyDescent="0.2">
      <c r="A91">
        <v>90</v>
      </c>
      <c r="B91">
        <f>LARGE(data!F:F,A91)</f>
        <v>0.77014110309999995</v>
      </c>
      <c r="C91">
        <f>COUNTIFS(data!D:D,data!$I$2,data!F:F,"&gt;="&amp;B91)</f>
        <v>77</v>
      </c>
      <c r="D91">
        <f>COUNTIFS(data!D:D,data!$J$2,data!F:F,"&gt;="&amp;B91)</f>
        <v>14</v>
      </c>
      <c r="E91">
        <f>COUNTIFS(data!D:D,data!$J$2,data!F:F,"&lt;"&amp;B91)</f>
        <v>709</v>
      </c>
      <c r="F91">
        <f>COUNTIFS(data!D:D,data!$I$2,data!F:F,"&lt;"&amp;B91)</f>
        <v>457</v>
      </c>
      <c r="G91">
        <f t="shared" si="7"/>
        <v>1.9363762102351315E-2</v>
      </c>
      <c r="H91">
        <f t="shared" si="8"/>
        <v>0.14419475655430711</v>
      </c>
      <c r="I91">
        <f t="shared" si="9"/>
        <v>0</v>
      </c>
      <c r="J91">
        <f t="shared" si="10"/>
        <v>0.84615384615384615</v>
      </c>
      <c r="K91">
        <f t="shared" si="11"/>
        <v>0.24639999999999998</v>
      </c>
      <c r="L91">
        <f>A91*COUNTIF(data!D:D,data!$I$2)/data!$L$2</f>
        <v>38.233890214797135</v>
      </c>
      <c r="M91" s="1">
        <f>A91/data!$L$2</f>
        <v>7.1599045346062054E-2</v>
      </c>
      <c r="N91">
        <f t="shared" si="6"/>
        <v>2.0139200998751563</v>
      </c>
    </row>
    <row r="92" spans="1:14" x14ac:dyDescent="0.2">
      <c r="A92">
        <v>91</v>
      </c>
      <c r="B92">
        <f>LARGE(data!F:F,A92)</f>
        <v>0.77014110309999995</v>
      </c>
      <c r="C92">
        <f>COUNTIFS(data!D:D,data!$I$2,data!F:F,"&gt;="&amp;B92)</f>
        <v>77</v>
      </c>
      <c r="D92">
        <f>COUNTIFS(data!D:D,data!$J$2,data!F:F,"&gt;="&amp;B92)</f>
        <v>14</v>
      </c>
      <c r="E92">
        <f>COUNTIFS(data!D:D,data!$J$2,data!F:F,"&lt;"&amp;B92)</f>
        <v>709</v>
      </c>
      <c r="F92">
        <f>COUNTIFS(data!D:D,data!$I$2,data!F:F,"&lt;"&amp;B92)</f>
        <v>457</v>
      </c>
      <c r="G92">
        <f t="shared" si="7"/>
        <v>1.9363762102351315E-2</v>
      </c>
      <c r="H92">
        <f t="shared" si="8"/>
        <v>0.14419475655430711</v>
      </c>
      <c r="I92">
        <f t="shared" si="9"/>
        <v>0</v>
      </c>
      <c r="J92">
        <f t="shared" si="10"/>
        <v>0.84615384615384615</v>
      </c>
      <c r="K92">
        <f t="shared" si="11"/>
        <v>0.24639999999999998</v>
      </c>
      <c r="L92">
        <f>A92*COUNTIF(data!D:D,data!$I$2)/data!$L$2</f>
        <v>38.658711217183772</v>
      </c>
      <c r="M92" s="1">
        <f>A92/data!$L$2</f>
        <v>7.2394590294351635E-2</v>
      </c>
      <c r="N92">
        <f t="shared" si="6"/>
        <v>1.9917891097666378</v>
      </c>
    </row>
    <row r="93" spans="1:14" x14ac:dyDescent="0.2">
      <c r="A93">
        <v>92</v>
      </c>
      <c r="B93">
        <f>LARGE(data!F:F,A93)</f>
        <v>0.77006344819999994</v>
      </c>
      <c r="C93">
        <f>COUNTIFS(data!D:D,data!$I$2,data!F:F,"&gt;="&amp;B93)</f>
        <v>78</v>
      </c>
      <c r="D93">
        <f>COUNTIFS(data!D:D,data!$J$2,data!F:F,"&gt;="&amp;B93)</f>
        <v>14</v>
      </c>
      <c r="E93">
        <f>COUNTIFS(data!D:D,data!$J$2,data!F:F,"&lt;"&amp;B93)</f>
        <v>709</v>
      </c>
      <c r="F93">
        <f>COUNTIFS(data!D:D,data!$I$2,data!F:F,"&lt;"&amp;B93)</f>
        <v>456</v>
      </c>
      <c r="G93">
        <f t="shared" si="7"/>
        <v>1.9363762102351315E-2</v>
      </c>
      <c r="H93">
        <f t="shared" si="8"/>
        <v>0.14606741573033707</v>
      </c>
      <c r="I93">
        <f t="shared" si="9"/>
        <v>0</v>
      </c>
      <c r="J93">
        <f t="shared" si="10"/>
        <v>0.84782608695652173</v>
      </c>
      <c r="K93">
        <f t="shared" si="11"/>
        <v>0.24920127795527156</v>
      </c>
      <c r="L93">
        <f>A93*COUNTIF(data!D:D,data!$I$2)/data!$L$2</f>
        <v>39.083532219570408</v>
      </c>
      <c r="M93" s="1">
        <f>A93/data!$L$2</f>
        <v>7.3190135242641216E-2</v>
      </c>
      <c r="N93">
        <f t="shared" si="6"/>
        <v>1.995725451880801</v>
      </c>
    </row>
    <row r="94" spans="1:14" x14ac:dyDescent="0.2">
      <c r="A94">
        <v>93</v>
      </c>
      <c r="B94">
        <f>LARGE(data!F:F,A94)</f>
        <v>0.76844257270000005</v>
      </c>
      <c r="C94">
        <f>COUNTIFS(data!D:D,data!$I$2,data!F:F,"&gt;="&amp;B94)</f>
        <v>79</v>
      </c>
      <c r="D94">
        <f>COUNTIFS(data!D:D,data!$J$2,data!F:F,"&gt;="&amp;B94)</f>
        <v>14</v>
      </c>
      <c r="E94">
        <f>COUNTIFS(data!D:D,data!$J$2,data!F:F,"&lt;"&amp;B94)</f>
        <v>709</v>
      </c>
      <c r="F94">
        <f>COUNTIFS(data!D:D,data!$I$2,data!F:F,"&lt;"&amp;B94)</f>
        <v>455</v>
      </c>
      <c r="G94">
        <f t="shared" si="7"/>
        <v>1.9363762102351315E-2</v>
      </c>
      <c r="H94">
        <f t="shared" si="8"/>
        <v>0.14794007490636704</v>
      </c>
      <c r="I94">
        <f t="shared" si="9"/>
        <v>0</v>
      </c>
      <c r="J94">
        <f t="shared" si="10"/>
        <v>0.84946236559139787</v>
      </c>
      <c r="K94">
        <f t="shared" si="11"/>
        <v>0.25199362041467305</v>
      </c>
      <c r="L94">
        <f>A94*COUNTIF(data!D:D,data!$I$2)/data!$L$2</f>
        <v>39.508353221957037</v>
      </c>
      <c r="M94" s="1">
        <f>A94/data!$L$2</f>
        <v>7.3985680190930783E-2</v>
      </c>
      <c r="N94">
        <f t="shared" si="6"/>
        <v>1.9995771414763805</v>
      </c>
    </row>
    <row r="95" spans="1:14" x14ac:dyDescent="0.2">
      <c r="A95">
        <v>94</v>
      </c>
      <c r="B95">
        <f>LARGE(data!F:F,A95)</f>
        <v>0.75634608380000001</v>
      </c>
      <c r="C95">
        <f>COUNTIFS(data!D:D,data!$I$2,data!F:F,"&gt;="&amp;B95)</f>
        <v>79</v>
      </c>
      <c r="D95">
        <f>COUNTIFS(data!D:D,data!$J$2,data!F:F,"&gt;="&amp;B95)</f>
        <v>15</v>
      </c>
      <c r="E95">
        <f>COUNTIFS(data!D:D,data!$J$2,data!F:F,"&lt;"&amp;B95)</f>
        <v>708</v>
      </c>
      <c r="F95">
        <f>COUNTIFS(data!D:D,data!$I$2,data!F:F,"&lt;"&amp;B95)</f>
        <v>455</v>
      </c>
      <c r="G95">
        <f t="shared" si="7"/>
        <v>2.0746887966804978E-2</v>
      </c>
      <c r="H95">
        <f t="shared" si="8"/>
        <v>0.14794007490636704</v>
      </c>
      <c r="I95">
        <f t="shared" si="9"/>
        <v>2.046197439922087E-4</v>
      </c>
      <c r="J95">
        <f t="shared" si="10"/>
        <v>0.84042553191489366</v>
      </c>
      <c r="K95">
        <f t="shared" si="11"/>
        <v>0.25159235668789809</v>
      </c>
      <c r="L95">
        <f>A95*COUNTIF(data!D:D,data!$I$2)/data!$L$2</f>
        <v>39.933174224343674</v>
      </c>
      <c r="M95" s="1">
        <f>A95/data!$L$2</f>
        <v>7.4781225139220364E-2</v>
      </c>
      <c r="N95">
        <f t="shared" si="6"/>
        <v>1.9783050442266317</v>
      </c>
    </row>
    <row r="96" spans="1:14" x14ac:dyDescent="0.2">
      <c r="A96">
        <v>95</v>
      </c>
      <c r="B96">
        <f>LARGE(data!F:F,A96)</f>
        <v>0.75547193779999999</v>
      </c>
      <c r="C96">
        <f>COUNTIFS(data!D:D,data!$I$2,data!F:F,"&gt;="&amp;B96)</f>
        <v>80</v>
      </c>
      <c r="D96">
        <f>COUNTIFS(data!D:D,data!$J$2,data!F:F,"&gt;="&amp;B96)</f>
        <v>15</v>
      </c>
      <c r="E96">
        <f>COUNTIFS(data!D:D,data!$J$2,data!F:F,"&lt;"&amp;B96)</f>
        <v>708</v>
      </c>
      <c r="F96">
        <f>COUNTIFS(data!D:D,data!$I$2,data!F:F,"&lt;"&amp;B96)</f>
        <v>454</v>
      </c>
      <c r="G96">
        <f t="shared" si="7"/>
        <v>2.0746887966804978E-2</v>
      </c>
      <c r="H96">
        <f t="shared" si="8"/>
        <v>0.14981273408239701</v>
      </c>
      <c r="I96">
        <f t="shared" si="9"/>
        <v>0</v>
      </c>
      <c r="J96">
        <f t="shared" si="10"/>
        <v>0.84210526315789469</v>
      </c>
      <c r="K96">
        <f t="shared" si="11"/>
        <v>0.25437201907790141</v>
      </c>
      <c r="L96">
        <f>A96*COUNTIF(data!D:D,data!$I$2)/data!$L$2</f>
        <v>40.35799522673031</v>
      </c>
      <c r="M96" s="1">
        <f>A96/data!$L$2</f>
        <v>7.5576770087509945E-2</v>
      </c>
      <c r="N96">
        <f t="shared" si="6"/>
        <v>1.9822590183323476</v>
      </c>
    </row>
    <row r="97" spans="1:14" x14ac:dyDescent="0.2">
      <c r="A97">
        <v>96</v>
      </c>
      <c r="B97">
        <f>LARGE(data!F:F,A97)</f>
        <v>0.75295947990000001</v>
      </c>
      <c r="C97">
        <f>COUNTIFS(data!D:D,data!$I$2,data!F:F,"&gt;="&amp;B97)</f>
        <v>80</v>
      </c>
      <c r="D97">
        <f>COUNTIFS(data!D:D,data!$J$2,data!F:F,"&gt;="&amp;B97)</f>
        <v>16</v>
      </c>
      <c r="E97">
        <f>COUNTIFS(data!D:D,data!$J$2,data!F:F,"&lt;"&amp;B97)</f>
        <v>707</v>
      </c>
      <c r="F97">
        <f>COUNTIFS(data!D:D,data!$I$2,data!F:F,"&lt;"&amp;B97)</f>
        <v>454</v>
      </c>
      <c r="G97">
        <f t="shared" si="7"/>
        <v>2.2130013831258646E-2</v>
      </c>
      <c r="H97">
        <f t="shared" si="8"/>
        <v>0.14981273408239701</v>
      </c>
      <c r="I97">
        <f t="shared" si="9"/>
        <v>2.0720986733388275E-4</v>
      </c>
      <c r="J97">
        <f t="shared" si="10"/>
        <v>0.83333333333333337</v>
      </c>
      <c r="K97">
        <f t="shared" si="11"/>
        <v>0.25396825396825395</v>
      </c>
      <c r="L97">
        <f>A97*COUNTIF(data!D:D,data!$I$2)/data!$L$2</f>
        <v>40.782816229116946</v>
      </c>
      <c r="M97" s="1">
        <f>A97/data!$L$2</f>
        <v>7.6372315035799526E-2</v>
      </c>
      <c r="N97">
        <f t="shared" si="6"/>
        <v>1.9616104868913857</v>
      </c>
    </row>
    <row r="98" spans="1:14" x14ac:dyDescent="0.2">
      <c r="A98">
        <v>97</v>
      </c>
      <c r="B98">
        <f>LARGE(data!F:F,A98)</f>
        <v>0.75290322679999999</v>
      </c>
      <c r="C98">
        <f>COUNTIFS(data!D:D,data!$I$2,data!F:F,"&gt;="&amp;B98)</f>
        <v>82</v>
      </c>
      <c r="D98">
        <f>COUNTIFS(data!D:D,data!$J$2,data!F:F,"&gt;="&amp;B98)</f>
        <v>16</v>
      </c>
      <c r="E98">
        <f>COUNTIFS(data!D:D,data!$J$2,data!F:F,"&lt;"&amp;B98)</f>
        <v>707</v>
      </c>
      <c r="F98">
        <f>COUNTIFS(data!D:D,data!$I$2,data!F:F,"&lt;"&amp;B98)</f>
        <v>452</v>
      </c>
      <c r="G98">
        <f t="shared" si="7"/>
        <v>2.2130013831258646E-2</v>
      </c>
      <c r="H98">
        <f t="shared" si="8"/>
        <v>0.15355805243445692</v>
      </c>
      <c r="I98">
        <f t="shared" si="9"/>
        <v>0</v>
      </c>
      <c r="J98">
        <f t="shared" si="10"/>
        <v>0.83673469387755106</v>
      </c>
      <c r="K98">
        <f t="shared" si="11"/>
        <v>0.25949367088607594</v>
      </c>
      <c r="L98">
        <f>A98*COUNTIF(data!D:D,data!$I$2)/data!$L$2</f>
        <v>41.207637231503583</v>
      </c>
      <c r="M98" s="1">
        <f>A98/data!$L$2</f>
        <v>7.7167859984089107E-2</v>
      </c>
      <c r="N98">
        <f t="shared" si="6"/>
        <v>1.9899223908259005</v>
      </c>
    </row>
    <row r="99" spans="1:14" x14ac:dyDescent="0.2">
      <c r="A99">
        <v>98</v>
      </c>
      <c r="B99">
        <f>LARGE(data!F:F,A99)</f>
        <v>0.75290322679999999</v>
      </c>
      <c r="C99">
        <f>COUNTIFS(data!D:D,data!$I$2,data!F:F,"&gt;="&amp;B99)</f>
        <v>82</v>
      </c>
      <c r="D99">
        <f>COUNTIFS(data!D:D,data!$J$2,data!F:F,"&gt;="&amp;B99)</f>
        <v>16</v>
      </c>
      <c r="E99">
        <f>COUNTIFS(data!D:D,data!$J$2,data!F:F,"&lt;"&amp;B99)</f>
        <v>707</v>
      </c>
      <c r="F99">
        <f>COUNTIFS(data!D:D,data!$I$2,data!F:F,"&lt;"&amp;B99)</f>
        <v>452</v>
      </c>
      <c r="G99">
        <f t="shared" si="7"/>
        <v>2.2130013831258646E-2</v>
      </c>
      <c r="H99">
        <f t="shared" si="8"/>
        <v>0.15355805243445692</v>
      </c>
      <c r="I99">
        <f t="shared" si="9"/>
        <v>0</v>
      </c>
      <c r="J99">
        <f t="shared" si="10"/>
        <v>0.83673469387755106</v>
      </c>
      <c r="K99">
        <f t="shared" si="11"/>
        <v>0.25949367088607594</v>
      </c>
      <c r="L99">
        <f>A99*COUNTIF(data!D:D,data!$I$2)/data!$L$2</f>
        <v>41.632458233890212</v>
      </c>
      <c r="M99" s="1">
        <f>A99/data!$L$2</f>
        <v>7.7963404932378674E-2</v>
      </c>
      <c r="N99">
        <f t="shared" si="6"/>
        <v>1.9696170603072691</v>
      </c>
    </row>
    <row r="100" spans="1:14" x14ac:dyDescent="0.2">
      <c r="A100">
        <v>99</v>
      </c>
      <c r="B100">
        <f>LARGE(data!F:F,A100)</f>
        <v>0.75152179900000005</v>
      </c>
      <c r="C100">
        <f>COUNTIFS(data!D:D,data!$I$2,data!F:F,"&gt;="&amp;B100)</f>
        <v>84</v>
      </c>
      <c r="D100">
        <f>COUNTIFS(data!D:D,data!$J$2,data!F:F,"&gt;="&amp;B100)</f>
        <v>16</v>
      </c>
      <c r="E100">
        <f>COUNTIFS(data!D:D,data!$J$2,data!F:F,"&lt;"&amp;B100)</f>
        <v>707</v>
      </c>
      <c r="F100">
        <f>COUNTIFS(data!D:D,data!$I$2,data!F:F,"&lt;"&amp;B100)</f>
        <v>450</v>
      </c>
      <c r="G100">
        <f t="shared" si="7"/>
        <v>2.2130013831258646E-2</v>
      </c>
      <c r="H100">
        <f t="shared" si="8"/>
        <v>0.15730337078651685</v>
      </c>
      <c r="I100">
        <f t="shared" si="9"/>
        <v>0</v>
      </c>
      <c r="J100">
        <f t="shared" si="10"/>
        <v>0.84</v>
      </c>
      <c r="K100">
        <f t="shared" si="11"/>
        <v>0.2649842271293375</v>
      </c>
      <c r="L100">
        <f>A100*COUNTIF(data!D:D,data!$I$2)/data!$L$2</f>
        <v>42.057279236276848</v>
      </c>
      <c r="M100" s="1">
        <f>A100/data!$L$2</f>
        <v>7.8758949880668255E-2</v>
      </c>
      <c r="N100">
        <f t="shared" si="6"/>
        <v>1.9972761321075929</v>
      </c>
    </row>
    <row r="101" spans="1:14" x14ac:dyDescent="0.2">
      <c r="A101">
        <v>100</v>
      </c>
      <c r="B101">
        <f>LARGE(data!F:F,A101)</f>
        <v>0.75152179900000005</v>
      </c>
      <c r="C101">
        <f>COUNTIFS(data!D:D,data!$I$2,data!F:F,"&gt;="&amp;B101)</f>
        <v>84</v>
      </c>
      <c r="D101">
        <f>COUNTIFS(data!D:D,data!$J$2,data!F:F,"&gt;="&amp;B101)</f>
        <v>16</v>
      </c>
      <c r="E101">
        <f>COUNTIFS(data!D:D,data!$J$2,data!F:F,"&lt;"&amp;B101)</f>
        <v>707</v>
      </c>
      <c r="F101">
        <f>COUNTIFS(data!D:D,data!$I$2,data!F:F,"&lt;"&amp;B101)</f>
        <v>450</v>
      </c>
      <c r="G101">
        <f t="shared" si="7"/>
        <v>2.2130013831258646E-2</v>
      </c>
      <c r="H101">
        <f t="shared" si="8"/>
        <v>0.15730337078651685</v>
      </c>
      <c r="I101">
        <f t="shared" si="9"/>
        <v>0</v>
      </c>
      <c r="J101">
        <f t="shared" si="10"/>
        <v>0.84</v>
      </c>
      <c r="K101">
        <f t="shared" si="11"/>
        <v>0.2649842271293375</v>
      </c>
      <c r="L101">
        <f>A101*COUNTIF(data!D:D,data!$I$2)/data!$L$2</f>
        <v>42.482100238663485</v>
      </c>
      <c r="M101" s="1">
        <f>A101/data!$L$2</f>
        <v>7.9554494828957836E-2</v>
      </c>
      <c r="N101">
        <f t="shared" si="6"/>
        <v>1.9773033707865169</v>
      </c>
    </row>
    <row r="102" spans="1:14" x14ac:dyDescent="0.2">
      <c r="A102">
        <v>101</v>
      </c>
      <c r="B102">
        <f>LARGE(data!F:F,A102)</f>
        <v>0.75052167299999994</v>
      </c>
      <c r="C102">
        <f>COUNTIFS(data!D:D,data!$I$2,data!F:F,"&gt;="&amp;B102)</f>
        <v>86</v>
      </c>
      <c r="D102">
        <f>COUNTIFS(data!D:D,data!$J$2,data!F:F,"&gt;="&amp;B102)</f>
        <v>16</v>
      </c>
      <c r="E102">
        <f>COUNTIFS(data!D:D,data!$J$2,data!F:F,"&lt;"&amp;B102)</f>
        <v>707</v>
      </c>
      <c r="F102">
        <f>COUNTIFS(data!D:D,data!$I$2,data!F:F,"&lt;"&amp;B102)</f>
        <v>448</v>
      </c>
      <c r="G102">
        <f t="shared" si="7"/>
        <v>2.2130013831258646E-2</v>
      </c>
      <c r="H102">
        <f t="shared" si="8"/>
        <v>0.16104868913857678</v>
      </c>
      <c r="I102">
        <f t="shared" si="9"/>
        <v>0</v>
      </c>
      <c r="J102">
        <f t="shared" si="10"/>
        <v>0.84313725490196079</v>
      </c>
      <c r="K102">
        <f t="shared" si="11"/>
        <v>0.27044025157232704</v>
      </c>
      <c r="L102">
        <f>A102*COUNTIF(data!D:D,data!$I$2)/data!$L$2</f>
        <v>42.906921241050121</v>
      </c>
      <c r="M102" s="1">
        <f>A102/data!$L$2</f>
        <v>8.0350039777247417E-2</v>
      </c>
      <c r="N102">
        <f t="shared" si="6"/>
        <v>2.004338636110802</v>
      </c>
    </row>
    <row r="103" spans="1:14" x14ac:dyDescent="0.2">
      <c r="A103">
        <v>102</v>
      </c>
      <c r="B103">
        <f>LARGE(data!F:F,A103)</f>
        <v>0.75052167299999994</v>
      </c>
      <c r="C103">
        <f>COUNTIFS(data!D:D,data!$I$2,data!F:F,"&gt;="&amp;B103)</f>
        <v>86</v>
      </c>
      <c r="D103">
        <f>COUNTIFS(data!D:D,data!$J$2,data!F:F,"&gt;="&amp;B103)</f>
        <v>16</v>
      </c>
      <c r="E103">
        <f>COUNTIFS(data!D:D,data!$J$2,data!F:F,"&lt;"&amp;B103)</f>
        <v>707</v>
      </c>
      <c r="F103">
        <f>COUNTIFS(data!D:D,data!$I$2,data!F:F,"&lt;"&amp;B103)</f>
        <v>448</v>
      </c>
      <c r="G103">
        <f t="shared" si="7"/>
        <v>2.2130013831258646E-2</v>
      </c>
      <c r="H103">
        <f t="shared" si="8"/>
        <v>0.16104868913857678</v>
      </c>
      <c r="I103">
        <f t="shared" si="9"/>
        <v>0</v>
      </c>
      <c r="J103">
        <f t="shared" si="10"/>
        <v>0.84313725490196079</v>
      </c>
      <c r="K103">
        <f t="shared" si="11"/>
        <v>0.27044025157232704</v>
      </c>
      <c r="L103">
        <f>A103*COUNTIF(data!D:D,data!$I$2)/data!$L$2</f>
        <v>43.331742243436757</v>
      </c>
      <c r="M103" s="1">
        <f>A103/data!$L$2</f>
        <v>8.1145584725536998E-2</v>
      </c>
      <c r="N103">
        <f t="shared" si="6"/>
        <v>1.9846882573254019</v>
      </c>
    </row>
    <row r="104" spans="1:14" x14ac:dyDescent="0.2">
      <c r="A104">
        <v>103</v>
      </c>
      <c r="B104">
        <f>LARGE(data!F:F,A104)</f>
        <v>0.74971394599999996</v>
      </c>
      <c r="C104">
        <f>COUNTIFS(data!D:D,data!$I$2,data!F:F,"&gt;="&amp;B104)</f>
        <v>88</v>
      </c>
      <c r="D104">
        <f>COUNTIFS(data!D:D,data!$J$2,data!F:F,"&gt;="&amp;B104)</f>
        <v>17</v>
      </c>
      <c r="E104">
        <f>COUNTIFS(data!D:D,data!$J$2,data!F:F,"&lt;"&amp;B104)</f>
        <v>706</v>
      </c>
      <c r="F104">
        <f>COUNTIFS(data!D:D,data!$I$2,data!F:F,"&lt;"&amp;B104)</f>
        <v>446</v>
      </c>
      <c r="G104">
        <f t="shared" si="7"/>
        <v>2.351313969571231E-2</v>
      </c>
      <c r="H104">
        <f t="shared" si="8"/>
        <v>0.16479400749063669</v>
      </c>
      <c r="I104">
        <f t="shared" si="9"/>
        <v>2.2534073072559693E-4</v>
      </c>
      <c r="J104">
        <f t="shared" si="10"/>
        <v>0.83809523809523812</v>
      </c>
      <c r="K104">
        <f t="shared" si="11"/>
        <v>0.27543035993740217</v>
      </c>
      <c r="L104">
        <f>A104*COUNTIF(data!D:D,data!$I$2)/data!$L$2</f>
        <v>43.756563245823386</v>
      </c>
      <c r="M104" s="1">
        <f>A104/data!$L$2</f>
        <v>8.1941129673826565E-2</v>
      </c>
      <c r="N104">
        <f t="shared" si="6"/>
        <v>2.011126868113887</v>
      </c>
    </row>
    <row r="105" spans="1:14" x14ac:dyDescent="0.2">
      <c r="A105">
        <v>104</v>
      </c>
      <c r="B105">
        <f>LARGE(data!F:F,A105)</f>
        <v>0.74971394599999996</v>
      </c>
      <c r="C105">
        <f>COUNTIFS(data!D:D,data!$I$2,data!F:F,"&gt;="&amp;B105)</f>
        <v>88</v>
      </c>
      <c r="D105">
        <f>COUNTIFS(data!D:D,data!$J$2,data!F:F,"&gt;="&amp;B105)</f>
        <v>17</v>
      </c>
      <c r="E105">
        <f>COUNTIFS(data!D:D,data!$J$2,data!F:F,"&lt;"&amp;B105)</f>
        <v>706</v>
      </c>
      <c r="F105">
        <f>COUNTIFS(data!D:D,data!$I$2,data!F:F,"&lt;"&amp;B105)</f>
        <v>446</v>
      </c>
      <c r="G105">
        <f t="shared" si="7"/>
        <v>2.351313969571231E-2</v>
      </c>
      <c r="H105">
        <f t="shared" si="8"/>
        <v>0.16479400749063669</v>
      </c>
      <c r="I105">
        <f t="shared" si="9"/>
        <v>0</v>
      </c>
      <c r="J105">
        <f t="shared" si="10"/>
        <v>0.83809523809523812</v>
      </c>
      <c r="K105">
        <f t="shared" si="11"/>
        <v>0.27543035993740217</v>
      </c>
      <c r="L105">
        <f>A105*COUNTIF(data!D:D,data!$I$2)/data!$L$2</f>
        <v>44.181384248210023</v>
      </c>
      <c r="M105" s="1">
        <f>A105/data!$L$2</f>
        <v>8.2736674622116146E-2</v>
      </c>
      <c r="N105">
        <f t="shared" si="6"/>
        <v>1.9917891097666378</v>
      </c>
    </row>
    <row r="106" spans="1:14" x14ac:dyDescent="0.2">
      <c r="A106">
        <v>105</v>
      </c>
      <c r="B106">
        <f>LARGE(data!F:F,A106)</f>
        <v>0.74971394599999996</v>
      </c>
      <c r="C106">
        <f>COUNTIFS(data!D:D,data!$I$2,data!F:F,"&gt;="&amp;B106)</f>
        <v>88</v>
      </c>
      <c r="D106">
        <f>COUNTIFS(data!D:D,data!$J$2,data!F:F,"&gt;="&amp;B106)</f>
        <v>17</v>
      </c>
      <c r="E106">
        <f>COUNTIFS(data!D:D,data!$J$2,data!F:F,"&lt;"&amp;B106)</f>
        <v>706</v>
      </c>
      <c r="F106">
        <f>COUNTIFS(data!D:D,data!$I$2,data!F:F,"&lt;"&amp;B106)</f>
        <v>446</v>
      </c>
      <c r="G106">
        <f t="shared" si="7"/>
        <v>2.351313969571231E-2</v>
      </c>
      <c r="H106">
        <f t="shared" si="8"/>
        <v>0.16479400749063669</v>
      </c>
      <c r="I106">
        <f t="shared" si="9"/>
        <v>0</v>
      </c>
      <c r="J106">
        <f t="shared" si="10"/>
        <v>0.83809523809523812</v>
      </c>
      <c r="K106">
        <f t="shared" si="11"/>
        <v>0.27543035993740217</v>
      </c>
      <c r="L106">
        <f>A106*COUNTIF(data!D:D,data!$I$2)/data!$L$2</f>
        <v>44.606205250596659</v>
      </c>
      <c r="M106" s="1">
        <f>A106/data!$L$2</f>
        <v>8.3532219570405727E-2</v>
      </c>
      <c r="N106">
        <f t="shared" si="6"/>
        <v>1.9728196896736223</v>
      </c>
    </row>
    <row r="107" spans="1:14" x14ac:dyDescent="0.2">
      <c r="A107">
        <v>106</v>
      </c>
      <c r="B107">
        <f>LARGE(data!F:F,A107)</f>
        <v>0.74923380250000005</v>
      </c>
      <c r="C107">
        <f>COUNTIFS(data!D:D,data!$I$2,data!F:F,"&gt;="&amp;B107)</f>
        <v>89</v>
      </c>
      <c r="D107">
        <f>COUNTIFS(data!D:D,data!$J$2,data!F:F,"&gt;="&amp;B107)</f>
        <v>17</v>
      </c>
      <c r="E107">
        <f>COUNTIFS(data!D:D,data!$J$2,data!F:F,"&lt;"&amp;B107)</f>
        <v>706</v>
      </c>
      <c r="F107">
        <f>COUNTIFS(data!D:D,data!$I$2,data!F:F,"&lt;"&amp;B107)</f>
        <v>445</v>
      </c>
      <c r="G107">
        <f t="shared" si="7"/>
        <v>2.351313969571231E-2</v>
      </c>
      <c r="H107">
        <f t="shared" si="8"/>
        <v>0.16666666666666666</v>
      </c>
      <c r="I107">
        <f t="shared" si="9"/>
        <v>0</v>
      </c>
      <c r="J107">
        <f t="shared" si="10"/>
        <v>0.839622641509434</v>
      </c>
      <c r="K107">
        <f t="shared" si="11"/>
        <v>0.27812500000000001</v>
      </c>
      <c r="L107">
        <f>A107*COUNTIF(data!D:D,data!$I$2)/data!$L$2</f>
        <v>45.031026252983295</v>
      </c>
      <c r="M107" s="1">
        <f>A107/data!$L$2</f>
        <v>8.4327764518695308E-2</v>
      </c>
      <c r="N107">
        <f t="shared" si="6"/>
        <v>1.9764150943396226</v>
      </c>
    </row>
    <row r="108" spans="1:14" x14ac:dyDescent="0.2">
      <c r="A108">
        <v>107</v>
      </c>
      <c r="B108">
        <f>LARGE(data!F:F,A108)</f>
        <v>0.7486473951</v>
      </c>
      <c r="C108">
        <f>COUNTIFS(data!D:D,data!$I$2,data!F:F,"&gt;="&amp;B108)</f>
        <v>90</v>
      </c>
      <c r="D108">
        <f>COUNTIFS(data!D:D,data!$J$2,data!F:F,"&gt;="&amp;B108)</f>
        <v>18</v>
      </c>
      <c r="E108">
        <f>COUNTIFS(data!D:D,data!$J$2,data!F:F,"&lt;"&amp;B108)</f>
        <v>705</v>
      </c>
      <c r="F108">
        <f>COUNTIFS(data!D:D,data!$I$2,data!F:F,"&lt;"&amp;B108)</f>
        <v>444</v>
      </c>
      <c r="G108">
        <f t="shared" si="7"/>
        <v>2.4896265560165973E-2</v>
      </c>
      <c r="H108">
        <f t="shared" si="8"/>
        <v>0.16853932584269662</v>
      </c>
      <c r="I108">
        <f t="shared" si="9"/>
        <v>2.3181603907978073E-4</v>
      </c>
      <c r="J108">
        <f t="shared" si="10"/>
        <v>0.83333333333333337</v>
      </c>
      <c r="K108">
        <f t="shared" si="11"/>
        <v>0.28037383177570091</v>
      </c>
      <c r="L108">
        <f>A108*COUNTIF(data!D:D,data!$I$2)/data!$L$2</f>
        <v>45.455847255369932</v>
      </c>
      <c r="M108" s="1">
        <f>A108/data!$L$2</f>
        <v>8.5123309466984889E-2</v>
      </c>
      <c r="N108">
        <f t="shared" si="6"/>
        <v>1.9799432951800902</v>
      </c>
    </row>
    <row r="109" spans="1:14" x14ac:dyDescent="0.2">
      <c r="A109">
        <v>108</v>
      </c>
      <c r="B109">
        <f>LARGE(data!F:F,A109)</f>
        <v>0.7486473951</v>
      </c>
      <c r="C109">
        <f>COUNTIFS(data!D:D,data!$I$2,data!F:F,"&gt;="&amp;B109)</f>
        <v>90</v>
      </c>
      <c r="D109">
        <f>COUNTIFS(data!D:D,data!$J$2,data!F:F,"&gt;="&amp;B109)</f>
        <v>18</v>
      </c>
      <c r="E109">
        <f>COUNTIFS(data!D:D,data!$J$2,data!F:F,"&lt;"&amp;B109)</f>
        <v>705</v>
      </c>
      <c r="F109">
        <f>COUNTIFS(data!D:D,data!$I$2,data!F:F,"&lt;"&amp;B109)</f>
        <v>444</v>
      </c>
      <c r="G109">
        <f t="shared" si="7"/>
        <v>2.4896265560165973E-2</v>
      </c>
      <c r="H109">
        <f t="shared" si="8"/>
        <v>0.16853932584269662</v>
      </c>
      <c r="I109">
        <f t="shared" si="9"/>
        <v>0</v>
      </c>
      <c r="J109">
        <f t="shared" si="10"/>
        <v>0.83333333333333337</v>
      </c>
      <c r="K109">
        <f t="shared" si="11"/>
        <v>0.28037383177570091</v>
      </c>
      <c r="L109">
        <f>A109*COUNTIF(data!D:D,data!$I$2)/data!$L$2</f>
        <v>45.880668257756561</v>
      </c>
      <c r="M109" s="1">
        <f>A109/data!$L$2</f>
        <v>8.5918854415274457E-2</v>
      </c>
      <c r="N109">
        <f t="shared" si="6"/>
        <v>1.961610486891386</v>
      </c>
    </row>
    <row r="110" spans="1:14" x14ac:dyDescent="0.2">
      <c r="A110">
        <v>109</v>
      </c>
      <c r="B110">
        <f>LARGE(data!F:F,A110)</f>
        <v>0.74659981509999995</v>
      </c>
      <c r="C110">
        <f>COUNTIFS(data!D:D,data!$I$2,data!F:F,"&gt;="&amp;B110)</f>
        <v>92</v>
      </c>
      <c r="D110">
        <f>COUNTIFS(data!D:D,data!$J$2,data!F:F,"&gt;="&amp;B110)</f>
        <v>18</v>
      </c>
      <c r="E110">
        <f>COUNTIFS(data!D:D,data!$J$2,data!F:F,"&lt;"&amp;B110)</f>
        <v>705</v>
      </c>
      <c r="F110">
        <f>COUNTIFS(data!D:D,data!$I$2,data!F:F,"&lt;"&amp;B110)</f>
        <v>442</v>
      </c>
      <c r="G110">
        <f t="shared" si="7"/>
        <v>2.4896265560165973E-2</v>
      </c>
      <c r="H110">
        <f t="shared" si="8"/>
        <v>0.17228464419475656</v>
      </c>
      <c r="I110">
        <f t="shared" si="9"/>
        <v>0</v>
      </c>
      <c r="J110">
        <f t="shared" si="10"/>
        <v>0.83636363636363631</v>
      </c>
      <c r="K110">
        <f t="shared" si="11"/>
        <v>0.2857142857142857</v>
      </c>
      <c r="L110">
        <f>A110*COUNTIF(data!D:D,data!$I$2)/data!$L$2</f>
        <v>46.305489260143197</v>
      </c>
      <c r="M110" s="1">
        <f>A110/data!$L$2</f>
        <v>8.6714399363564038E-2</v>
      </c>
      <c r="N110">
        <f t="shared" si="6"/>
        <v>1.9868054839707248</v>
      </c>
    </row>
    <row r="111" spans="1:14" x14ac:dyDescent="0.2">
      <c r="A111">
        <v>110</v>
      </c>
      <c r="B111">
        <f>LARGE(data!F:F,A111)</f>
        <v>0.74659981509999995</v>
      </c>
      <c r="C111">
        <f>COUNTIFS(data!D:D,data!$I$2,data!F:F,"&gt;="&amp;B111)</f>
        <v>92</v>
      </c>
      <c r="D111">
        <f>COUNTIFS(data!D:D,data!$J$2,data!F:F,"&gt;="&amp;B111)</f>
        <v>18</v>
      </c>
      <c r="E111">
        <f>COUNTIFS(data!D:D,data!$J$2,data!F:F,"&lt;"&amp;B111)</f>
        <v>705</v>
      </c>
      <c r="F111">
        <f>COUNTIFS(data!D:D,data!$I$2,data!F:F,"&lt;"&amp;B111)</f>
        <v>442</v>
      </c>
      <c r="G111">
        <f t="shared" si="7"/>
        <v>2.4896265560165973E-2</v>
      </c>
      <c r="H111">
        <f t="shared" si="8"/>
        <v>0.17228464419475656</v>
      </c>
      <c r="I111">
        <f t="shared" si="9"/>
        <v>0</v>
      </c>
      <c r="J111">
        <f t="shared" si="10"/>
        <v>0.83636363636363631</v>
      </c>
      <c r="K111">
        <f t="shared" si="11"/>
        <v>0.2857142857142857</v>
      </c>
      <c r="L111">
        <f>A111*COUNTIF(data!D:D,data!$I$2)/data!$L$2</f>
        <v>46.730310262529834</v>
      </c>
      <c r="M111" s="1">
        <f>A111/data!$L$2</f>
        <v>8.7509944311853619E-2</v>
      </c>
      <c r="N111">
        <f t="shared" si="6"/>
        <v>1.9687436159346272</v>
      </c>
    </row>
    <row r="112" spans="1:14" x14ac:dyDescent="0.2">
      <c r="A112">
        <v>111</v>
      </c>
      <c r="B112">
        <f>LARGE(data!F:F,A112)</f>
        <v>0.7442901999</v>
      </c>
      <c r="C112">
        <f>COUNTIFS(data!D:D,data!$I$2,data!F:F,"&gt;="&amp;B112)</f>
        <v>92</v>
      </c>
      <c r="D112">
        <f>COUNTIFS(data!D:D,data!$J$2,data!F:F,"&gt;="&amp;B112)</f>
        <v>19</v>
      </c>
      <c r="E112">
        <f>COUNTIFS(data!D:D,data!$J$2,data!F:F,"&lt;"&amp;B112)</f>
        <v>704</v>
      </c>
      <c r="F112">
        <f>COUNTIFS(data!D:D,data!$I$2,data!F:F,"&lt;"&amp;B112)</f>
        <v>442</v>
      </c>
      <c r="G112">
        <f t="shared" si="7"/>
        <v>2.6279391424619641E-2</v>
      </c>
      <c r="H112">
        <f t="shared" si="8"/>
        <v>0.17228464419475656</v>
      </c>
      <c r="I112">
        <f t="shared" si="9"/>
        <v>2.3829134743396516E-4</v>
      </c>
      <c r="J112">
        <f t="shared" si="10"/>
        <v>0.8288288288288288</v>
      </c>
      <c r="K112">
        <f t="shared" si="11"/>
        <v>0.28527131782945742</v>
      </c>
      <c r="L112">
        <f>A112*COUNTIF(data!D:D,data!$I$2)/data!$L$2</f>
        <v>47.15513126491647</v>
      </c>
      <c r="M112" s="1">
        <f>A112/data!$L$2</f>
        <v>8.83054892601432E-2</v>
      </c>
      <c r="N112">
        <f t="shared" si="6"/>
        <v>1.951007186962243</v>
      </c>
    </row>
    <row r="113" spans="1:14" x14ac:dyDescent="0.2">
      <c r="A113">
        <v>112</v>
      </c>
      <c r="B113">
        <f>LARGE(data!F:F,A113)</f>
        <v>0.74375335350000005</v>
      </c>
      <c r="C113">
        <f>COUNTIFS(data!D:D,data!$I$2,data!F:F,"&gt;="&amp;B113)</f>
        <v>94</v>
      </c>
      <c r="D113">
        <f>COUNTIFS(data!D:D,data!$J$2,data!F:F,"&gt;="&amp;B113)</f>
        <v>19</v>
      </c>
      <c r="E113">
        <f>COUNTIFS(data!D:D,data!$J$2,data!F:F,"&lt;"&amp;B113)</f>
        <v>704</v>
      </c>
      <c r="F113">
        <f>COUNTIFS(data!D:D,data!$I$2,data!F:F,"&lt;"&amp;B113)</f>
        <v>440</v>
      </c>
      <c r="G113">
        <f t="shared" si="7"/>
        <v>2.6279391424619641E-2</v>
      </c>
      <c r="H113">
        <f t="shared" si="8"/>
        <v>0.17602996254681649</v>
      </c>
      <c r="I113">
        <f t="shared" si="9"/>
        <v>0</v>
      </c>
      <c r="J113">
        <f t="shared" si="10"/>
        <v>0.83185840707964598</v>
      </c>
      <c r="K113">
        <f t="shared" si="11"/>
        <v>0.29057187017001546</v>
      </c>
      <c r="L113">
        <f>A113*COUNTIF(data!D:D,data!$I$2)/data!$L$2</f>
        <v>47.579952267303099</v>
      </c>
      <c r="M113" s="1">
        <f>A113/data!$L$2</f>
        <v>8.9101034208432781E-2</v>
      </c>
      <c r="N113">
        <f t="shared" si="6"/>
        <v>1.9756219903691816</v>
      </c>
    </row>
    <row r="114" spans="1:14" x14ac:dyDescent="0.2">
      <c r="A114">
        <v>113</v>
      </c>
      <c r="B114">
        <f>LARGE(data!F:F,A114)</f>
        <v>0.74375335350000005</v>
      </c>
      <c r="C114">
        <f>COUNTIFS(data!D:D,data!$I$2,data!F:F,"&gt;="&amp;B114)</f>
        <v>94</v>
      </c>
      <c r="D114">
        <f>COUNTIFS(data!D:D,data!$J$2,data!F:F,"&gt;="&amp;B114)</f>
        <v>19</v>
      </c>
      <c r="E114">
        <f>COUNTIFS(data!D:D,data!$J$2,data!F:F,"&lt;"&amp;B114)</f>
        <v>704</v>
      </c>
      <c r="F114">
        <f>COUNTIFS(data!D:D,data!$I$2,data!F:F,"&lt;"&amp;B114)</f>
        <v>440</v>
      </c>
      <c r="G114">
        <f t="shared" si="7"/>
        <v>2.6279391424619641E-2</v>
      </c>
      <c r="H114">
        <f t="shared" si="8"/>
        <v>0.17602996254681649</v>
      </c>
      <c r="I114">
        <f t="shared" si="9"/>
        <v>0</v>
      </c>
      <c r="J114">
        <f t="shared" si="10"/>
        <v>0.83185840707964598</v>
      </c>
      <c r="K114">
        <f t="shared" si="11"/>
        <v>0.29057187017001546</v>
      </c>
      <c r="L114">
        <f>A114*COUNTIF(data!D:D,data!$I$2)/data!$L$2</f>
        <v>48.004773269689736</v>
      </c>
      <c r="M114" s="1">
        <f>A114/data!$L$2</f>
        <v>8.9896579156722362E-2</v>
      </c>
      <c r="N114">
        <f t="shared" si="6"/>
        <v>1.9581386099234366</v>
      </c>
    </row>
    <row r="115" spans="1:14" x14ac:dyDescent="0.2">
      <c r="A115">
        <v>114</v>
      </c>
      <c r="B115">
        <f>LARGE(data!F:F,A115)</f>
        <v>0.74370657679999996</v>
      </c>
      <c r="C115">
        <f>COUNTIFS(data!D:D,data!$I$2,data!F:F,"&gt;="&amp;B115)</f>
        <v>94</v>
      </c>
      <c r="D115">
        <f>COUNTIFS(data!D:D,data!$J$2,data!F:F,"&gt;="&amp;B115)</f>
        <v>20</v>
      </c>
      <c r="E115">
        <f>COUNTIFS(data!D:D,data!$J$2,data!F:F,"&lt;"&amp;B115)</f>
        <v>703</v>
      </c>
      <c r="F115">
        <f>COUNTIFS(data!D:D,data!$I$2,data!F:F,"&lt;"&amp;B115)</f>
        <v>440</v>
      </c>
      <c r="G115">
        <f t="shared" si="7"/>
        <v>2.7662517289073305E-2</v>
      </c>
      <c r="H115">
        <f t="shared" si="8"/>
        <v>0.17602996254681649</v>
      </c>
      <c r="I115">
        <f t="shared" si="9"/>
        <v>2.4347159411731162E-4</v>
      </c>
      <c r="J115">
        <f t="shared" si="10"/>
        <v>0.82456140350877194</v>
      </c>
      <c r="K115">
        <f t="shared" si="11"/>
        <v>0.29012345679012347</v>
      </c>
      <c r="L115">
        <f>A115*COUNTIF(data!D:D,data!$I$2)/data!$L$2</f>
        <v>48.429594272076372</v>
      </c>
      <c r="M115" s="1">
        <f>A115/data!$L$2</f>
        <v>9.0692124105011929E-2</v>
      </c>
      <c r="N115">
        <f t="shared" si="6"/>
        <v>1.9409619554504238</v>
      </c>
    </row>
    <row r="116" spans="1:14" x14ac:dyDescent="0.2">
      <c r="A116">
        <v>115</v>
      </c>
      <c r="B116">
        <f>LARGE(data!F:F,A116)</f>
        <v>0.74341442209999997</v>
      </c>
      <c r="C116">
        <f>COUNTIFS(data!D:D,data!$I$2,data!F:F,"&gt;="&amp;B116)</f>
        <v>94</v>
      </c>
      <c r="D116">
        <f>COUNTIFS(data!D:D,data!$J$2,data!F:F,"&gt;="&amp;B116)</f>
        <v>21</v>
      </c>
      <c r="E116">
        <f>COUNTIFS(data!D:D,data!$J$2,data!F:F,"&lt;"&amp;B116)</f>
        <v>702</v>
      </c>
      <c r="F116">
        <f>COUNTIFS(data!D:D,data!$I$2,data!F:F,"&lt;"&amp;B116)</f>
        <v>440</v>
      </c>
      <c r="G116">
        <f t="shared" si="7"/>
        <v>2.9045643153526972E-2</v>
      </c>
      <c r="H116">
        <f t="shared" si="8"/>
        <v>0.17602996254681649</v>
      </c>
      <c r="I116">
        <f t="shared" si="9"/>
        <v>2.4347159411731225E-4</v>
      </c>
      <c r="J116">
        <f t="shared" si="10"/>
        <v>0.81739130434782614</v>
      </c>
      <c r="K116">
        <f t="shared" si="11"/>
        <v>0.2896764252696456</v>
      </c>
      <c r="L116">
        <f>A116*COUNTIF(data!D:D,data!$I$2)/data!$L$2</f>
        <v>48.854415274463008</v>
      </c>
      <c r="M116" s="1">
        <f>A116/data!$L$2</f>
        <v>9.148766905330151E-2</v>
      </c>
      <c r="N116">
        <f t="shared" si="6"/>
        <v>1.9240840254030287</v>
      </c>
    </row>
    <row r="117" spans="1:14" x14ac:dyDescent="0.2">
      <c r="A117">
        <v>116</v>
      </c>
      <c r="B117">
        <f>LARGE(data!F:F,A117)</f>
        <v>0.74071148840000001</v>
      </c>
      <c r="C117">
        <f>COUNTIFS(data!D:D,data!$I$2,data!F:F,"&gt;="&amp;B117)</f>
        <v>94</v>
      </c>
      <c r="D117">
        <f>COUNTIFS(data!D:D,data!$J$2,data!F:F,"&gt;="&amp;B117)</f>
        <v>22</v>
      </c>
      <c r="E117">
        <f>COUNTIFS(data!D:D,data!$J$2,data!F:F,"&lt;"&amp;B117)</f>
        <v>701</v>
      </c>
      <c r="F117">
        <f>COUNTIFS(data!D:D,data!$I$2,data!F:F,"&lt;"&amp;B117)</f>
        <v>440</v>
      </c>
      <c r="G117">
        <f t="shared" si="7"/>
        <v>3.0428769017980636E-2</v>
      </c>
      <c r="H117">
        <f t="shared" si="8"/>
        <v>0.17602996254681649</v>
      </c>
      <c r="I117">
        <f t="shared" si="9"/>
        <v>2.4347159411731162E-4</v>
      </c>
      <c r="J117">
        <f t="shared" si="10"/>
        <v>0.81034482758620685</v>
      </c>
      <c r="K117">
        <f t="shared" si="11"/>
        <v>0.28923076923076924</v>
      </c>
      <c r="L117">
        <f>A117*COUNTIF(data!D:D,data!$I$2)/data!$L$2</f>
        <v>49.279236276849645</v>
      </c>
      <c r="M117" s="1">
        <f>A117/data!$L$2</f>
        <v>9.2283214001591091E-2</v>
      </c>
      <c r="N117">
        <f t="shared" si="6"/>
        <v>1.9074970941495544</v>
      </c>
    </row>
    <row r="118" spans="1:14" x14ac:dyDescent="0.2">
      <c r="A118">
        <v>117</v>
      </c>
      <c r="B118">
        <f>LARGE(data!F:F,A118)</f>
        <v>0.73870354680000005</v>
      </c>
      <c r="C118">
        <f>COUNTIFS(data!D:D,data!$I$2,data!F:F,"&gt;="&amp;B118)</f>
        <v>95</v>
      </c>
      <c r="D118">
        <f>COUNTIFS(data!D:D,data!$J$2,data!F:F,"&gt;="&amp;B118)</f>
        <v>22</v>
      </c>
      <c r="E118">
        <f>COUNTIFS(data!D:D,data!$J$2,data!F:F,"&lt;"&amp;B118)</f>
        <v>701</v>
      </c>
      <c r="F118">
        <f>COUNTIFS(data!D:D,data!$I$2,data!F:F,"&lt;"&amp;B118)</f>
        <v>439</v>
      </c>
      <c r="G118">
        <f t="shared" si="7"/>
        <v>3.0428769017980636E-2</v>
      </c>
      <c r="H118">
        <f t="shared" si="8"/>
        <v>0.17790262172284643</v>
      </c>
      <c r="I118">
        <f t="shared" si="9"/>
        <v>0</v>
      </c>
      <c r="J118">
        <f t="shared" si="10"/>
        <v>0.81196581196581197</v>
      </c>
      <c r="K118">
        <f t="shared" si="11"/>
        <v>0.29185867895545314</v>
      </c>
      <c r="L118">
        <f>A118*COUNTIF(data!D:D,data!$I$2)/data!$L$2</f>
        <v>49.704057279236274</v>
      </c>
      <c r="M118" s="1">
        <f>A118/data!$L$2</f>
        <v>9.3078758949880672E-2</v>
      </c>
      <c r="N118">
        <f t="shared" si="6"/>
        <v>1.911312782099299</v>
      </c>
    </row>
    <row r="119" spans="1:14" x14ac:dyDescent="0.2">
      <c r="A119">
        <v>118</v>
      </c>
      <c r="B119">
        <f>LARGE(data!F:F,A119)</f>
        <v>0.73755696879999999</v>
      </c>
      <c r="C119">
        <f>COUNTIFS(data!D:D,data!$I$2,data!F:F,"&gt;="&amp;B119)</f>
        <v>95</v>
      </c>
      <c r="D119">
        <f>COUNTIFS(data!D:D,data!$J$2,data!F:F,"&gt;="&amp;B119)</f>
        <v>23</v>
      </c>
      <c r="E119">
        <f>COUNTIFS(data!D:D,data!$J$2,data!F:F,"&lt;"&amp;B119)</f>
        <v>700</v>
      </c>
      <c r="F119">
        <f>COUNTIFS(data!D:D,data!$I$2,data!F:F,"&lt;"&amp;B119)</f>
        <v>439</v>
      </c>
      <c r="G119">
        <f t="shared" si="7"/>
        <v>3.18118948824343E-2</v>
      </c>
      <c r="H119">
        <f t="shared" si="8"/>
        <v>0.17790262172284643</v>
      </c>
      <c r="I119">
        <f t="shared" si="9"/>
        <v>2.4606171745898513E-4</v>
      </c>
      <c r="J119">
        <f t="shared" si="10"/>
        <v>0.80508474576271183</v>
      </c>
      <c r="K119">
        <f t="shared" si="11"/>
        <v>0.29141104294478531</v>
      </c>
      <c r="L119">
        <f>A119*COUNTIF(data!D:D,data!$I$2)/data!$L$2</f>
        <v>50.12887828162291</v>
      </c>
      <c r="M119" s="1">
        <f>A119/data!$L$2</f>
        <v>9.3874303898170253E-2</v>
      </c>
      <c r="N119">
        <f t="shared" si="6"/>
        <v>1.895115216149305</v>
      </c>
    </row>
    <row r="120" spans="1:14" x14ac:dyDescent="0.2">
      <c r="A120">
        <v>119</v>
      </c>
      <c r="B120">
        <f>LARGE(data!F:F,A120)</f>
        <v>0.73560634290000004</v>
      </c>
      <c r="C120">
        <f>COUNTIFS(data!D:D,data!$I$2,data!F:F,"&gt;="&amp;B120)</f>
        <v>95</v>
      </c>
      <c r="D120">
        <f>COUNTIFS(data!D:D,data!$J$2,data!F:F,"&gt;="&amp;B120)</f>
        <v>24</v>
      </c>
      <c r="E120">
        <f>COUNTIFS(data!D:D,data!$J$2,data!F:F,"&lt;"&amp;B120)</f>
        <v>699</v>
      </c>
      <c r="F120">
        <f>COUNTIFS(data!D:D,data!$I$2,data!F:F,"&lt;"&amp;B120)</f>
        <v>439</v>
      </c>
      <c r="G120">
        <f t="shared" si="7"/>
        <v>3.3195020746887967E-2</v>
      </c>
      <c r="H120">
        <f t="shared" si="8"/>
        <v>0.17790262172284643</v>
      </c>
      <c r="I120">
        <f t="shared" si="9"/>
        <v>2.4606171745898572E-4</v>
      </c>
      <c r="J120">
        <f t="shared" si="10"/>
        <v>0.79831932773109249</v>
      </c>
      <c r="K120">
        <f t="shared" si="11"/>
        <v>0.29096477794793263</v>
      </c>
      <c r="L120">
        <f>A120*COUNTIF(data!D:D,data!$I$2)/data!$L$2</f>
        <v>50.553699284009546</v>
      </c>
      <c r="M120" s="1">
        <f>A120/data!$L$2</f>
        <v>9.466984884645982E-2</v>
      </c>
      <c r="N120">
        <f t="shared" si="6"/>
        <v>1.8791898781984704</v>
      </c>
    </row>
    <row r="121" spans="1:14" x14ac:dyDescent="0.2">
      <c r="A121">
        <v>120</v>
      </c>
      <c r="B121">
        <f>LARGE(data!F:F,A121)</f>
        <v>0.73255160669999997</v>
      </c>
      <c r="C121">
        <f>COUNTIFS(data!D:D,data!$I$2,data!F:F,"&gt;="&amp;B121)</f>
        <v>95</v>
      </c>
      <c r="D121">
        <f>COUNTIFS(data!D:D,data!$J$2,data!F:F,"&gt;="&amp;B121)</f>
        <v>25</v>
      </c>
      <c r="E121">
        <f>COUNTIFS(data!D:D,data!$J$2,data!F:F,"&lt;"&amp;B121)</f>
        <v>698</v>
      </c>
      <c r="F121">
        <f>COUNTIFS(data!D:D,data!$I$2,data!F:F,"&lt;"&amp;B121)</f>
        <v>439</v>
      </c>
      <c r="G121">
        <f t="shared" si="7"/>
        <v>3.4578146611341634E-2</v>
      </c>
      <c r="H121">
        <f t="shared" si="8"/>
        <v>0.17790262172284643</v>
      </c>
      <c r="I121">
        <f t="shared" si="9"/>
        <v>2.4606171745898572E-4</v>
      </c>
      <c r="J121">
        <f t="shared" si="10"/>
        <v>0.79166666666666663</v>
      </c>
      <c r="K121">
        <f t="shared" si="11"/>
        <v>0.29051987767584098</v>
      </c>
      <c r="L121">
        <f>A121*COUNTIF(data!D:D,data!$I$2)/data!$L$2</f>
        <v>50.978520286396183</v>
      </c>
      <c r="M121" s="1">
        <f>A121/data!$L$2</f>
        <v>9.5465393794749401E-2</v>
      </c>
      <c r="N121">
        <f t="shared" si="6"/>
        <v>1.8635299625468165</v>
      </c>
    </row>
    <row r="122" spans="1:14" x14ac:dyDescent="0.2">
      <c r="A122">
        <v>121</v>
      </c>
      <c r="B122">
        <f>LARGE(data!F:F,A122)</f>
        <v>0.732408846</v>
      </c>
      <c r="C122">
        <f>COUNTIFS(data!D:D,data!$I$2,data!F:F,"&gt;="&amp;B122)</f>
        <v>95</v>
      </c>
      <c r="D122">
        <f>COUNTIFS(data!D:D,data!$J$2,data!F:F,"&gt;="&amp;B122)</f>
        <v>26</v>
      </c>
      <c r="E122">
        <f>COUNTIFS(data!D:D,data!$J$2,data!F:F,"&lt;"&amp;B122)</f>
        <v>697</v>
      </c>
      <c r="F122">
        <f>COUNTIFS(data!D:D,data!$I$2,data!F:F,"&lt;"&amp;B122)</f>
        <v>439</v>
      </c>
      <c r="G122">
        <f t="shared" si="7"/>
        <v>3.5961272475795295E-2</v>
      </c>
      <c r="H122">
        <f t="shared" si="8"/>
        <v>0.17790262172284643</v>
      </c>
      <c r="I122">
        <f t="shared" si="9"/>
        <v>2.4606171745898453E-4</v>
      </c>
      <c r="J122">
        <f t="shared" si="10"/>
        <v>0.78512396694214881</v>
      </c>
      <c r="K122">
        <f t="shared" si="11"/>
        <v>0.29007633587786258</v>
      </c>
      <c r="L122">
        <f>A122*COUNTIF(data!D:D,data!$I$2)/data!$L$2</f>
        <v>51.403341288782819</v>
      </c>
      <c r="M122" s="1">
        <f>A122/data!$L$2</f>
        <v>9.6260938743038982E-2</v>
      </c>
      <c r="N122">
        <f t="shared" si="6"/>
        <v>1.8481288884761815</v>
      </c>
    </row>
    <row r="123" spans="1:14" x14ac:dyDescent="0.2">
      <c r="A123">
        <v>122</v>
      </c>
      <c r="B123">
        <f>LARGE(data!F:F,A123)</f>
        <v>0.7259707125</v>
      </c>
      <c r="C123">
        <f>COUNTIFS(data!D:D,data!$I$2,data!F:F,"&gt;="&amp;B123)</f>
        <v>96</v>
      </c>
      <c r="D123">
        <f>COUNTIFS(data!D:D,data!$J$2,data!F:F,"&gt;="&amp;B123)</f>
        <v>26</v>
      </c>
      <c r="E123">
        <f>COUNTIFS(data!D:D,data!$J$2,data!F:F,"&lt;"&amp;B123)</f>
        <v>697</v>
      </c>
      <c r="F123">
        <f>COUNTIFS(data!D:D,data!$I$2,data!F:F,"&lt;"&amp;B123)</f>
        <v>438</v>
      </c>
      <c r="G123">
        <f t="shared" si="7"/>
        <v>3.5961272475795295E-2</v>
      </c>
      <c r="H123">
        <f t="shared" si="8"/>
        <v>0.1797752808988764</v>
      </c>
      <c r="I123">
        <f t="shared" si="9"/>
        <v>0</v>
      </c>
      <c r="J123">
        <f t="shared" si="10"/>
        <v>0.78688524590163933</v>
      </c>
      <c r="K123">
        <f t="shared" si="11"/>
        <v>0.29268292682926828</v>
      </c>
      <c r="L123">
        <f>A123*COUNTIF(data!D:D,data!$I$2)/data!$L$2</f>
        <v>51.828162291169448</v>
      </c>
      <c r="M123" s="1">
        <f>A123/data!$L$2</f>
        <v>9.7056483691328563E-2</v>
      </c>
      <c r="N123">
        <f t="shared" si="6"/>
        <v>1.8522748204089152</v>
      </c>
    </row>
    <row r="124" spans="1:14" x14ac:dyDescent="0.2">
      <c r="A124">
        <v>123</v>
      </c>
      <c r="B124">
        <f>LARGE(data!F:F,A124)</f>
        <v>0.72248568349999998</v>
      </c>
      <c r="C124">
        <f>COUNTIFS(data!D:D,data!$I$2,data!F:F,"&gt;="&amp;B124)</f>
        <v>96</v>
      </c>
      <c r="D124">
        <f>COUNTIFS(data!D:D,data!$J$2,data!F:F,"&gt;="&amp;B124)</f>
        <v>27</v>
      </c>
      <c r="E124">
        <f>COUNTIFS(data!D:D,data!$J$2,data!F:F,"&lt;"&amp;B124)</f>
        <v>696</v>
      </c>
      <c r="F124">
        <f>COUNTIFS(data!D:D,data!$I$2,data!F:F,"&lt;"&amp;B124)</f>
        <v>438</v>
      </c>
      <c r="G124">
        <f t="shared" si="7"/>
        <v>3.7344398340248962E-2</v>
      </c>
      <c r="H124">
        <f t="shared" si="8"/>
        <v>0.1797752808988764</v>
      </c>
      <c r="I124">
        <f t="shared" si="9"/>
        <v>2.4865184080065931E-4</v>
      </c>
      <c r="J124">
        <f t="shared" si="10"/>
        <v>0.78048780487804881</v>
      </c>
      <c r="K124">
        <f t="shared" si="11"/>
        <v>0.29223744292237447</v>
      </c>
      <c r="L124">
        <f>A124*COUNTIF(data!D:D,data!$I$2)/data!$L$2</f>
        <v>52.252983293556085</v>
      </c>
      <c r="M124" s="1">
        <f>A124/data!$L$2</f>
        <v>9.7852028639618144E-2</v>
      </c>
      <c r="N124">
        <f t="shared" si="6"/>
        <v>1.8372156755275417</v>
      </c>
    </row>
    <row r="125" spans="1:14" x14ac:dyDescent="0.2">
      <c r="A125">
        <v>124</v>
      </c>
      <c r="B125">
        <f>LARGE(data!F:F,A125)</f>
        <v>0.71925384530000003</v>
      </c>
      <c r="C125">
        <f>COUNTIFS(data!D:D,data!$I$2,data!F:F,"&gt;="&amp;B125)</f>
        <v>97</v>
      </c>
      <c r="D125">
        <f>COUNTIFS(data!D:D,data!$J$2,data!F:F,"&gt;="&amp;B125)</f>
        <v>27</v>
      </c>
      <c r="E125">
        <f>COUNTIFS(data!D:D,data!$J$2,data!F:F,"&lt;"&amp;B125)</f>
        <v>696</v>
      </c>
      <c r="F125">
        <f>COUNTIFS(data!D:D,data!$I$2,data!F:F,"&lt;"&amp;B125)</f>
        <v>437</v>
      </c>
      <c r="G125">
        <f t="shared" si="7"/>
        <v>3.7344398340248962E-2</v>
      </c>
      <c r="H125">
        <f t="shared" si="8"/>
        <v>0.18164794007490637</v>
      </c>
      <c r="I125">
        <f t="shared" si="9"/>
        <v>0</v>
      </c>
      <c r="J125">
        <f t="shared" si="10"/>
        <v>0.782258064516129</v>
      </c>
      <c r="K125">
        <f t="shared" si="11"/>
        <v>0.29483282674772038</v>
      </c>
      <c r="L125">
        <f>A125*COUNTIF(data!D:D,data!$I$2)/data!$L$2</f>
        <v>52.677804295942721</v>
      </c>
      <c r="M125" s="1">
        <f>A125/data!$L$2</f>
        <v>9.8647573587907711E-2</v>
      </c>
      <c r="N125">
        <f t="shared" si="6"/>
        <v>1.8413827473722364</v>
      </c>
    </row>
    <row r="126" spans="1:14" x14ac:dyDescent="0.2">
      <c r="A126">
        <v>125</v>
      </c>
      <c r="B126">
        <f>LARGE(data!F:F,A126)</f>
        <v>0.7175762027</v>
      </c>
      <c r="C126">
        <f>COUNTIFS(data!D:D,data!$I$2,data!F:F,"&gt;="&amp;B126)</f>
        <v>97</v>
      </c>
      <c r="D126">
        <f>COUNTIFS(data!D:D,data!$J$2,data!F:F,"&gt;="&amp;B126)</f>
        <v>28</v>
      </c>
      <c r="E126">
        <f>COUNTIFS(data!D:D,data!$J$2,data!F:F,"&lt;"&amp;B126)</f>
        <v>695</v>
      </c>
      <c r="F126">
        <f>COUNTIFS(data!D:D,data!$I$2,data!F:F,"&lt;"&amp;B126)</f>
        <v>437</v>
      </c>
      <c r="G126">
        <f t="shared" si="7"/>
        <v>3.8727524204702629E-2</v>
      </c>
      <c r="H126">
        <f t="shared" si="8"/>
        <v>0.18164794007490637</v>
      </c>
      <c r="I126">
        <f t="shared" si="9"/>
        <v>2.5124196414233284E-4</v>
      </c>
      <c r="J126">
        <f t="shared" si="10"/>
        <v>0.77600000000000002</v>
      </c>
      <c r="K126">
        <f t="shared" si="11"/>
        <v>0.29438543247344462</v>
      </c>
      <c r="L126">
        <f>A126*COUNTIF(data!D:D,data!$I$2)/data!$L$2</f>
        <v>53.102625298329357</v>
      </c>
      <c r="M126" s="1">
        <f>A126/data!$L$2</f>
        <v>9.9443118536197292E-2</v>
      </c>
      <c r="N126">
        <f t="shared" si="6"/>
        <v>1.8266516853932584</v>
      </c>
    </row>
    <row r="127" spans="1:14" x14ac:dyDescent="0.2">
      <c r="A127">
        <v>126</v>
      </c>
      <c r="B127">
        <f>LARGE(data!F:F,A127)</f>
        <v>0.71664144429999999</v>
      </c>
      <c r="C127">
        <f>COUNTIFS(data!D:D,data!$I$2,data!F:F,"&gt;="&amp;B127)</f>
        <v>97</v>
      </c>
      <c r="D127">
        <f>COUNTIFS(data!D:D,data!$J$2,data!F:F,"&gt;="&amp;B127)</f>
        <v>29</v>
      </c>
      <c r="E127">
        <f>COUNTIFS(data!D:D,data!$J$2,data!F:F,"&lt;"&amp;B127)</f>
        <v>694</v>
      </c>
      <c r="F127">
        <f>COUNTIFS(data!D:D,data!$I$2,data!F:F,"&lt;"&amp;B127)</f>
        <v>437</v>
      </c>
      <c r="G127">
        <f t="shared" si="7"/>
        <v>4.0110650069156296E-2</v>
      </c>
      <c r="H127">
        <f t="shared" si="8"/>
        <v>0.18164794007490637</v>
      </c>
      <c r="I127">
        <f t="shared" si="9"/>
        <v>2.5124196414233284E-4</v>
      </c>
      <c r="J127">
        <f t="shared" si="10"/>
        <v>0.76984126984126988</v>
      </c>
      <c r="K127">
        <f t="shared" si="11"/>
        <v>0.29393939393939389</v>
      </c>
      <c r="L127">
        <f>A127*COUNTIF(data!D:D,data!$I$2)/data!$L$2</f>
        <v>53.527446300715994</v>
      </c>
      <c r="M127" s="1">
        <f>A127/data!$L$2</f>
        <v>0.10023866348448687</v>
      </c>
      <c r="N127">
        <f t="shared" si="6"/>
        <v>1.8121544497948991</v>
      </c>
    </row>
    <row r="128" spans="1:14" x14ac:dyDescent="0.2">
      <c r="A128">
        <v>127</v>
      </c>
      <c r="B128">
        <f>LARGE(data!F:F,A128)</f>
        <v>0.71396268969999999</v>
      </c>
      <c r="C128">
        <f>COUNTIFS(data!D:D,data!$I$2,data!F:F,"&gt;="&amp;B128)</f>
        <v>100</v>
      </c>
      <c r="D128">
        <f>COUNTIFS(data!D:D,data!$J$2,data!F:F,"&gt;="&amp;B128)</f>
        <v>29</v>
      </c>
      <c r="E128">
        <f>COUNTIFS(data!D:D,data!$J$2,data!F:F,"&lt;"&amp;B128)</f>
        <v>694</v>
      </c>
      <c r="F128">
        <f>COUNTIFS(data!D:D,data!$I$2,data!F:F,"&lt;"&amp;B128)</f>
        <v>434</v>
      </c>
      <c r="G128">
        <f t="shared" si="7"/>
        <v>4.0110650069156296E-2</v>
      </c>
      <c r="H128">
        <f t="shared" si="8"/>
        <v>0.18726591760299627</v>
      </c>
      <c r="I128">
        <f t="shared" si="9"/>
        <v>0</v>
      </c>
      <c r="J128">
        <f t="shared" si="10"/>
        <v>0.77519379844961245</v>
      </c>
      <c r="K128">
        <f t="shared" si="11"/>
        <v>0.30165912518853694</v>
      </c>
      <c r="L128">
        <f>A128*COUNTIF(data!D:D,data!$I$2)/data!$L$2</f>
        <v>53.952267303102623</v>
      </c>
      <c r="M128" s="1">
        <f>A128/data!$L$2</f>
        <v>0.10103420843277645</v>
      </c>
      <c r="N128">
        <f t="shared" si="6"/>
        <v>1.8534902238343802</v>
      </c>
    </row>
    <row r="129" spans="1:14" x14ac:dyDescent="0.2">
      <c r="A129">
        <v>128</v>
      </c>
      <c r="B129">
        <f>LARGE(data!F:F,A129)</f>
        <v>0.71396268969999999</v>
      </c>
      <c r="C129">
        <f>COUNTIFS(data!D:D,data!$I$2,data!F:F,"&gt;="&amp;B129)</f>
        <v>100</v>
      </c>
      <c r="D129">
        <f>COUNTIFS(data!D:D,data!$J$2,data!F:F,"&gt;="&amp;B129)</f>
        <v>29</v>
      </c>
      <c r="E129">
        <f>COUNTIFS(data!D:D,data!$J$2,data!F:F,"&lt;"&amp;B129)</f>
        <v>694</v>
      </c>
      <c r="F129">
        <f>COUNTIFS(data!D:D,data!$I$2,data!F:F,"&lt;"&amp;B129)</f>
        <v>434</v>
      </c>
      <c r="G129">
        <f t="shared" si="7"/>
        <v>4.0110650069156296E-2</v>
      </c>
      <c r="H129">
        <f t="shared" si="8"/>
        <v>0.18726591760299627</v>
      </c>
      <c r="I129">
        <f t="shared" si="9"/>
        <v>0</v>
      </c>
      <c r="J129">
        <f t="shared" si="10"/>
        <v>0.77519379844961245</v>
      </c>
      <c r="K129">
        <f t="shared" si="11"/>
        <v>0.30165912518853694</v>
      </c>
      <c r="L129">
        <f>A129*COUNTIF(data!D:D,data!$I$2)/data!$L$2</f>
        <v>54.377088305489259</v>
      </c>
      <c r="M129" s="1">
        <f>A129/data!$L$2</f>
        <v>0.10182975338106603</v>
      </c>
      <c r="N129">
        <f t="shared" si="6"/>
        <v>1.8390098314606742</v>
      </c>
    </row>
    <row r="130" spans="1:14" x14ac:dyDescent="0.2">
      <c r="A130">
        <v>129</v>
      </c>
      <c r="B130">
        <f>LARGE(data!F:F,A130)</f>
        <v>0.71396268969999999</v>
      </c>
      <c r="C130">
        <f>COUNTIFS(data!D:D,data!$I$2,data!F:F,"&gt;="&amp;B130)</f>
        <v>100</v>
      </c>
      <c r="D130">
        <f>COUNTIFS(data!D:D,data!$J$2,data!F:F,"&gt;="&amp;B130)</f>
        <v>29</v>
      </c>
      <c r="E130">
        <f>COUNTIFS(data!D:D,data!$J$2,data!F:F,"&lt;"&amp;B130)</f>
        <v>694</v>
      </c>
      <c r="F130">
        <f>COUNTIFS(data!D:D,data!$I$2,data!F:F,"&lt;"&amp;B130)</f>
        <v>434</v>
      </c>
      <c r="G130">
        <f t="shared" si="7"/>
        <v>4.0110650069156296E-2</v>
      </c>
      <c r="H130">
        <f t="shared" si="8"/>
        <v>0.18726591760299627</v>
      </c>
      <c r="I130">
        <f t="shared" si="9"/>
        <v>0</v>
      </c>
      <c r="J130">
        <f t="shared" si="10"/>
        <v>0.77519379844961245</v>
      </c>
      <c r="K130">
        <f t="shared" si="11"/>
        <v>0.30165912518853694</v>
      </c>
      <c r="L130">
        <f>A130*COUNTIF(data!D:D,data!$I$2)/data!$L$2</f>
        <v>54.801909307875896</v>
      </c>
      <c r="M130" s="1">
        <f>A130/data!$L$2</f>
        <v>0.1026252983293556</v>
      </c>
      <c r="N130">
        <f t="shared" ref="N130:N193" si="12">C130/L130</f>
        <v>1.8247539412943123</v>
      </c>
    </row>
    <row r="131" spans="1:14" x14ac:dyDescent="0.2">
      <c r="A131">
        <v>130</v>
      </c>
      <c r="B131">
        <f>LARGE(data!F:F,A131)</f>
        <v>0.71339185159999996</v>
      </c>
      <c r="C131">
        <f>COUNTIFS(data!D:D,data!$I$2,data!F:F,"&gt;="&amp;B131)</f>
        <v>101</v>
      </c>
      <c r="D131">
        <f>COUNTIFS(data!D:D,data!$J$2,data!F:F,"&gt;="&amp;B131)</f>
        <v>29</v>
      </c>
      <c r="E131">
        <f>COUNTIFS(data!D:D,data!$J$2,data!F:F,"&lt;"&amp;B131)</f>
        <v>694</v>
      </c>
      <c r="F131">
        <f>COUNTIFS(data!D:D,data!$I$2,data!F:F,"&lt;"&amp;B131)</f>
        <v>433</v>
      </c>
      <c r="G131">
        <f t="shared" ref="G131:G194" si="13">D131/(E131+D131)</f>
        <v>4.0110650069156296E-2</v>
      </c>
      <c r="H131">
        <f t="shared" ref="H131:H194" si="14">C131/(C131+F131)</f>
        <v>0.18913857677902621</v>
      </c>
      <c r="I131">
        <f t="shared" ref="I131:I194" si="15">(G131-G130)*(H131+H130)*0.5</f>
        <v>0</v>
      </c>
      <c r="J131">
        <f t="shared" ref="J131:J194" si="16">C131/(C131+D131)</f>
        <v>0.77692307692307694</v>
      </c>
      <c r="K131">
        <f t="shared" ref="K131:K194" si="17">2*J131*H131/(J131+H131)</f>
        <v>0.30421686746987953</v>
      </c>
      <c r="L131">
        <f>A131*COUNTIF(data!D:D,data!$I$2)/data!$L$2</f>
        <v>55.226730310262532</v>
      </c>
      <c r="M131" s="1">
        <f>A131/data!$L$2</f>
        <v>0.10342084327764518</v>
      </c>
      <c r="N131">
        <f t="shared" si="12"/>
        <v>1.8288245462402766</v>
      </c>
    </row>
    <row r="132" spans="1:14" x14ac:dyDescent="0.2">
      <c r="A132">
        <v>131</v>
      </c>
      <c r="B132">
        <f>LARGE(data!F:F,A132)</f>
        <v>0.71253111869999997</v>
      </c>
      <c r="C132">
        <f>COUNTIFS(data!D:D,data!$I$2,data!F:F,"&gt;="&amp;B132)</f>
        <v>101</v>
      </c>
      <c r="D132">
        <f>COUNTIFS(data!D:D,data!$J$2,data!F:F,"&gt;="&amp;B132)</f>
        <v>30</v>
      </c>
      <c r="E132">
        <f>COUNTIFS(data!D:D,data!$J$2,data!F:F,"&lt;"&amp;B132)</f>
        <v>693</v>
      </c>
      <c r="F132">
        <f>COUNTIFS(data!D:D,data!$I$2,data!F:F,"&lt;"&amp;B132)</f>
        <v>433</v>
      </c>
      <c r="G132">
        <f t="shared" si="13"/>
        <v>4.1493775933609957E-2</v>
      </c>
      <c r="H132">
        <f t="shared" si="14"/>
        <v>0.18913857677902621</v>
      </c>
      <c r="I132">
        <f t="shared" si="15"/>
        <v>2.6160245750902561E-4</v>
      </c>
      <c r="J132">
        <f t="shared" si="16"/>
        <v>0.77099236641221369</v>
      </c>
      <c r="K132">
        <f t="shared" si="17"/>
        <v>0.30375939849624056</v>
      </c>
      <c r="L132">
        <f>A132*COUNTIF(data!D:D,data!$I$2)/data!$L$2</f>
        <v>55.651551312649161</v>
      </c>
      <c r="M132" s="1">
        <f>A132/data!$L$2</f>
        <v>0.10421638822593476</v>
      </c>
      <c r="N132">
        <f t="shared" si="12"/>
        <v>1.8148640535208853</v>
      </c>
    </row>
    <row r="133" spans="1:14" x14ac:dyDescent="0.2">
      <c r="A133">
        <v>132</v>
      </c>
      <c r="B133">
        <f>LARGE(data!F:F,A133)</f>
        <v>0.71244233260000001</v>
      </c>
      <c r="C133">
        <f>COUNTIFS(data!D:D,data!$I$2,data!F:F,"&gt;="&amp;B133)</f>
        <v>101</v>
      </c>
      <c r="D133">
        <f>COUNTIFS(data!D:D,data!$J$2,data!F:F,"&gt;="&amp;B133)</f>
        <v>31</v>
      </c>
      <c r="E133">
        <f>COUNTIFS(data!D:D,data!$J$2,data!F:F,"&lt;"&amp;B133)</f>
        <v>692</v>
      </c>
      <c r="F133">
        <f>COUNTIFS(data!D:D,data!$I$2,data!F:F,"&lt;"&amp;B133)</f>
        <v>433</v>
      </c>
      <c r="G133">
        <f t="shared" si="13"/>
        <v>4.2876901798063624E-2</v>
      </c>
      <c r="H133">
        <f t="shared" si="14"/>
        <v>0.18913857677902621</v>
      </c>
      <c r="I133">
        <f t="shared" si="15"/>
        <v>2.6160245750902697E-4</v>
      </c>
      <c r="J133">
        <f t="shared" si="16"/>
        <v>0.76515151515151514</v>
      </c>
      <c r="K133">
        <f t="shared" si="17"/>
        <v>0.3033033033033033</v>
      </c>
      <c r="L133">
        <f>A133*COUNTIF(data!D:D,data!$I$2)/data!$L$2</f>
        <v>56.076372315035798</v>
      </c>
      <c r="M133" s="1">
        <f>A133/data!$L$2</f>
        <v>0.10501193317422435</v>
      </c>
      <c r="N133">
        <f t="shared" si="12"/>
        <v>1.8011150834184542</v>
      </c>
    </row>
    <row r="134" spans="1:14" x14ac:dyDescent="0.2">
      <c r="A134">
        <v>133</v>
      </c>
      <c r="B134">
        <f>LARGE(data!F:F,A134)</f>
        <v>0.71191601800000004</v>
      </c>
      <c r="C134">
        <f>COUNTIFS(data!D:D,data!$I$2,data!F:F,"&gt;="&amp;B134)</f>
        <v>102</v>
      </c>
      <c r="D134">
        <f>COUNTIFS(data!D:D,data!$J$2,data!F:F,"&gt;="&amp;B134)</f>
        <v>31</v>
      </c>
      <c r="E134">
        <f>COUNTIFS(data!D:D,data!$J$2,data!F:F,"&lt;"&amp;B134)</f>
        <v>692</v>
      </c>
      <c r="F134">
        <f>COUNTIFS(data!D:D,data!$I$2,data!F:F,"&lt;"&amp;B134)</f>
        <v>432</v>
      </c>
      <c r="G134">
        <f t="shared" si="13"/>
        <v>4.2876901798063624E-2</v>
      </c>
      <c r="H134">
        <f t="shared" si="14"/>
        <v>0.19101123595505617</v>
      </c>
      <c r="I134">
        <f t="shared" si="15"/>
        <v>0</v>
      </c>
      <c r="J134">
        <f t="shared" si="16"/>
        <v>0.76691729323308266</v>
      </c>
      <c r="K134">
        <f t="shared" si="17"/>
        <v>0.30584707646176912</v>
      </c>
      <c r="L134">
        <f>A134*COUNTIF(data!D:D,data!$I$2)/data!$L$2</f>
        <v>56.501193317422434</v>
      </c>
      <c r="M134" s="1">
        <f>A134/data!$L$2</f>
        <v>0.10580747812251393</v>
      </c>
      <c r="N134">
        <f t="shared" si="12"/>
        <v>1.8052716059812453</v>
      </c>
    </row>
    <row r="135" spans="1:14" x14ac:dyDescent="0.2">
      <c r="A135">
        <v>134</v>
      </c>
      <c r="B135">
        <f>LARGE(data!F:F,A135)</f>
        <v>0.71103709690000005</v>
      </c>
      <c r="C135">
        <f>COUNTIFS(data!D:D,data!$I$2,data!F:F,"&gt;="&amp;B135)</f>
        <v>102</v>
      </c>
      <c r="D135">
        <f>COUNTIFS(data!D:D,data!$J$2,data!F:F,"&gt;="&amp;B135)</f>
        <v>32</v>
      </c>
      <c r="E135">
        <f>COUNTIFS(data!D:D,data!$J$2,data!F:F,"&lt;"&amp;B135)</f>
        <v>691</v>
      </c>
      <c r="F135">
        <f>COUNTIFS(data!D:D,data!$I$2,data!F:F,"&lt;"&amp;B135)</f>
        <v>432</v>
      </c>
      <c r="G135">
        <f t="shared" si="13"/>
        <v>4.4260027662517291E-2</v>
      </c>
      <c r="H135">
        <f t="shared" si="14"/>
        <v>0.19101123595505617</v>
      </c>
      <c r="I135">
        <f t="shared" si="15"/>
        <v>2.641925808507005E-4</v>
      </c>
      <c r="J135">
        <f t="shared" si="16"/>
        <v>0.76119402985074625</v>
      </c>
      <c r="K135">
        <f t="shared" si="17"/>
        <v>0.30538922155688619</v>
      </c>
      <c r="L135">
        <f>A135*COUNTIF(data!D:D,data!$I$2)/data!$L$2</f>
        <v>56.92601431980907</v>
      </c>
      <c r="M135" s="1">
        <f>A135/data!$L$2</f>
        <v>0.10660302307080351</v>
      </c>
      <c r="N135">
        <f t="shared" si="12"/>
        <v>1.791799429817206</v>
      </c>
    </row>
    <row r="136" spans="1:14" x14ac:dyDescent="0.2">
      <c r="A136">
        <v>135</v>
      </c>
      <c r="B136">
        <f>LARGE(data!F:F,A136)</f>
        <v>0.7107799293</v>
      </c>
      <c r="C136">
        <f>COUNTIFS(data!D:D,data!$I$2,data!F:F,"&gt;="&amp;B136)</f>
        <v>103</v>
      </c>
      <c r="D136">
        <f>COUNTIFS(data!D:D,data!$J$2,data!F:F,"&gt;="&amp;B136)</f>
        <v>32</v>
      </c>
      <c r="E136">
        <f>COUNTIFS(data!D:D,data!$J$2,data!F:F,"&lt;"&amp;B136)</f>
        <v>691</v>
      </c>
      <c r="F136">
        <f>COUNTIFS(data!D:D,data!$I$2,data!F:F,"&lt;"&amp;B136)</f>
        <v>431</v>
      </c>
      <c r="G136">
        <f t="shared" si="13"/>
        <v>4.4260027662517291E-2</v>
      </c>
      <c r="H136">
        <f t="shared" si="14"/>
        <v>0.19288389513108614</v>
      </c>
      <c r="I136">
        <f t="shared" si="15"/>
        <v>0</v>
      </c>
      <c r="J136">
        <f t="shared" si="16"/>
        <v>0.76296296296296295</v>
      </c>
      <c r="K136">
        <f t="shared" si="17"/>
        <v>0.30792227204783257</v>
      </c>
      <c r="L136">
        <f>A136*COUNTIF(data!D:D,data!$I$2)/data!$L$2</f>
        <v>57.350835322195707</v>
      </c>
      <c r="M136" s="1">
        <f>A136/data!$L$2</f>
        <v>0.10739856801909307</v>
      </c>
      <c r="N136">
        <f t="shared" si="12"/>
        <v>1.7959633791094465</v>
      </c>
    </row>
    <row r="137" spans="1:14" x14ac:dyDescent="0.2">
      <c r="A137">
        <v>136</v>
      </c>
      <c r="B137">
        <f>LARGE(data!F:F,A137)</f>
        <v>0.70854125079999997</v>
      </c>
      <c r="C137">
        <f>COUNTIFS(data!D:D,data!$I$2,data!F:F,"&gt;="&amp;B137)</f>
        <v>105</v>
      </c>
      <c r="D137">
        <f>COUNTIFS(data!D:D,data!$J$2,data!F:F,"&gt;="&amp;B137)</f>
        <v>32</v>
      </c>
      <c r="E137">
        <f>COUNTIFS(data!D:D,data!$J$2,data!F:F,"&lt;"&amp;B137)</f>
        <v>691</v>
      </c>
      <c r="F137">
        <f>COUNTIFS(data!D:D,data!$I$2,data!F:F,"&lt;"&amp;B137)</f>
        <v>429</v>
      </c>
      <c r="G137">
        <f t="shared" si="13"/>
        <v>4.4260027662517291E-2</v>
      </c>
      <c r="H137">
        <f t="shared" si="14"/>
        <v>0.19662921348314608</v>
      </c>
      <c r="I137">
        <f t="shared" si="15"/>
        <v>0</v>
      </c>
      <c r="J137">
        <f t="shared" si="16"/>
        <v>0.76642335766423353</v>
      </c>
      <c r="K137">
        <f t="shared" si="17"/>
        <v>0.31296572280178836</v>
      </c>
      <c r="L137">
        <f>A137*COUNTIF(data!D:D,data!$I$2)/data!$L$2</f>
        <v>57.775656324582336</v>
      </c>
      <c r="M137" s="1">
        <f>A137/data!$L$2</f>
        <v>0.10819411296738266</v>
      </c>
      <c r="N137">
        <f t="shared" si="12"/>
        <v>1.8173744216787839</v>
      </c>
    </row>
    <row r="138" spans="1:14" x14ac:dyDescent="0.2">
      <c r="A138">
        <v>137</v>
      </c>
      <c r="B138">
        <f>LARGE(data!F:F,A138)</f>
        <v>0.70854125079999997</v>
      </c>
      <c r="C138">
        <f>COUNTIFS(data!D:D,data!$I$2,data!F:F,"&gt;="&amp;B138)</f>
        <v>105</v>
      </c>
      <c r="D138">
        <f>COUNTIFS(data!D:D,data!$J$2,data!F:F,"&gt;="&amp;B138)</f>
        <v>32</v>
      </c>
      <c r="E138">
        <f>COUNTIFS(data!D:D,data!$J$2,data!F:F,"&lt;"&amp;B138)</f>
        <v>691</v>
      </c>
      <c r="F138">
        <f>COUNTIFS(data!D:D,data!$I$2,data!F:F,"&lt;"&amp;B138)</f>
        <v>429</v>
      </c>
      <c r="G138">
        <f t="shared" si="13"/>
        <v>4.4260027662517291E-2</v>
      </c>
      <c r="H138">
        <f t="shared" si="14"/>
        <v>0.19662921348314608</v>
      </c>
      <c r="I138">
        <f t="shared" si="15"/>
        <v>0</v>
      </c>
      <c r="J138">
        <f t="shared" si="16"/>
        <v>0.76642335766423353</v>
      </c>
      <c r="K138">
        <f t="shared" si="17"/>
        <v>0.31296572280178836</v>
      </c>
      <c r="L138">
        <f>A138*COUNTIF(data!D:D,data!$I$2)/data!$L$2</f>
        <v>58.200477326968972</v>
      </c>
      <c r="M138" s="1">
        <f>A138/data!$L$2</f>
        <v>0.10898965791567224</v>
      </c>
      <c r="N138">
        <f t="shared" si="12"/>
        <v>1.8041089149512015</v>
      </c>
    </row>
    <row r="139" spans="1:14" x14ac:dyDescent="0.2">
      <c r="A139">
        <v>138</v>
      </c>
      <c r="B139">
        <f>LARGE(data!F:F,A139)</f>
        <v>0.70853970340000005</v>
      </c>
      <c r="C139">
        <f>COUNTIFS(data!D:D,data!$I$2,data!F:F,"&gt;="&amp;B139)</f>
        <v>106</v>
      </c>
      <c r="D139">
        <f>COUNTIFS(data!D:D,data!$J$2,data!F:F,"&gt;="&amp;B139)</f>
        <v>32</v>
      </c>
      <c r="E139">
        <f>COUNTIFS(data!D:D,data!$J$2,data!F:F,"&lt;"&amp;B139)</f>
        <v>691</v>
      </c>
      <c r="F139">
        <f>COUNTIFS(data!D:D,data!$I$2,data!F:F,"&lt;"&amp;B139)</f>
        <v>428</v>
      </c>
      <c r="G139">
        <f t="shared" si="13"/>
        <v>4.4260027662517291E-2</v>
      </c>
      <c r="H139">
        <f t="shared" si="14"/>
        <v>0.19850187265917604</v>
      </c>
      <c r="I139">
        <f t="shared" si="15"/>
        <v>0</v>
      </c>
      <c r="J139">
        <f t="shared" si="16"/>
        <v>0.76811594202898548</v>
      </c>
      <c r="K139">
        <f t="shared" si="17"/>
        <v>0.31547619047619047</v>
      </c>
      <c r="L139">
        <f>A139*COUNTIF(data!D:D,data!$I$2)/data!$L$2</f>
        <v>58.625298329355608</v>
      </c>
      <c r="M139" s="1">
        <f>A139/data!$L$2</f>
        <v>0.10978520286396182</v>
      </c>
      <c r="N139">
        <f t="shared" si="12"/>
        <v>1.8080931444390165</v>
      </c>
    </row>
    <row r="140" spans="1:14" x14ac:dyDescent="0.2">
      <c r="A140">
        <v>139</v>
      </c>
      <c r="B140">
        <f>LARGE(data!F:F,A140)</f>
        <v>0.70639219499999995</v>
      </c>
      <c r="C140">
        <f>COUNTIFS(data!D:D,data!$I$2,data!F:F,"&gt;="&amp;B140)</f>
        <v>106</v>
      </c>
      <c r="D140">
        <f>COUNTIFS(data!D:D,data!$J$2,data!F:F,"&gt;="&amp;B140)</f>
        <v>33</v>
      </c>
      <c r="E140">
        <f>COUNTIFS(data!D:D,data!$J$2,data!F:F,"&lt;"&amp;B140)</f>
        <v>690</v>
      </c>
      <c r="F140">
        <f>COUNTIFS(data!D:D,data!$I$2,data!F:F,"&lt;"&amp;B140)</f>
        <v>428</v>
      </c>
      <c r="G140">
        <f t="shared" si="13"/>
        <v>4.5643153526970952E-2</v>
      </c>
      <c r="H140">
        <f t="shared" si="14"/>
        <v>0.19850187265917604</v>
      </c>
      <c r="I140">
        <f t="shared" si="15"/>
        <v>2.7455307421739327E-4</v>
      </c>
      <c r="J140">
        <f t="shared" si="16"/>
        <v>0.76258992805755399</v>
      </c>
      <c r="K140">
        <f t="shared" si="17"/>
        <v>0.31500742942050519</v>
      </c>
      <c r="L140">
        <f>A140*COUNTIF(data!D:D,data!$I$2)/data!$L$2</f>
        <v>59.050119331742245</v>
      </c>
      <c r="M140" s="1">
        <f>A140/data!$L$2</f>
        <v>0.1105807478122514</v>
      </c>
      <c r="N140">
        <f t="shared" si="12"/>
        <v>1.7950852800905344</v>
      </c>
    </row>
    <row r="141" spans="1:14" x14ac:dyDescent="0.2">
      <c r="A141">
        <v>140</v>
      </c>
      <c r="B141">
        <f>LARGE(data!F:F,A141)</f>
        <v>0.70638985109999997</v>
      </c>
      <c r="C141">
        <f>COUNTIFS(data!D:D,data!$I$2,data!F:F,"&gt;="&amp;B141)</f>
        <v>108</v>
      </c>
      <c r="D141">
        <f>COUNTIFS(data!D:D,data!$J$2,data!F:F,"&gt;="&amp;B141)</f>
        <v>33</v>
      </c>
      <c r="E141">
        <f>COUNTIFS(data!D:D,data!$J$2,data!F:F,"&lt;"&amp;B141)</f>
        <v>690</v>
      </c>
      <c r="F141">
        <f>COUNTIFS(data!D:D,data!$I$2,data!F:F,"&lt;"&amp;B141)</f>
        <v>426</v>
      </c>
      <c r="G141">
        <f t="shared" si="13"/>
        <v>4.5643153526970952E-2</v>
      </c>
      <c r="H141">
        <f t="shared" si="14"/>
        <v>0.20224719101123595</v>
      </c>
      <c r="I141">
        <f t="shared" si="15"/>
        <v>0</v>
      </c>
      <c r="J141">
        <f t="shared" si="16"/>
        <v>0.76595744680851063</v>
      </c>
      <c r="K141">
        <f t="shared" si="17"/>
        <v>0.32</v>
      </c>
      <c r="L141">
        <f>A141*COUNTIF(data!D:D,data!$I$2)/data!$L$2</f>
        <v>59.474940334128881</v>
      </c>
      <c r="M141" s="1">
        <f>A141/data!$L$2</f>
        <v>0.11137629276054097</v>
      </c>
      <c r="N141">
        <f t="shared" si="12"/>
        <v>1.8158908507223113</v>
      </c>
    </row>
    <row r="142" spans="1:14" x14ac:dyDescent="0.2">
      <c r="A142">
        <v>141</v>
      </c>
      <c r="B142">
        <f>LARGE(data!F:F,A142)</f>
        <v>0.70638985109999997</v>
      </c>
      <c r="C142">
        <f>COUNTIFS(data!D:D,data!$I$2,data!F:F,"&gt;="&amp;B142)</f>
        <v>108</v>
      </c>
      <c r="D142">
        <f>COUNTIFS(data!D:D,data!$J$2,data!F:F,"&gt;="&amp;B142)</f>
        <v>33</v>
      </c>
      <c r="E142">
        <f>COUNTIFS(data!D:D,data!$J$2,data!F:F,"&lt;"&amp;B142)</f>
        <v>690</v>
      </c>
      <c r="F142">
        <f>COUNTIFS(data!D:D,data!$I$2,data!F:F,"&lt;"&amp;B142)</f>
        <v>426</v>
      </c>
      <c r="G142">
        <f t="shared" si="13"/>
        <v>4.5643153526970952E-2</v>
      </c>
      <c r="H142">
        <f t="shared" si="14"/>
        <v>0.20224719101123595</v>
      </c>
      <c r="I142">
        <f t="shared" si="15"/>
        <v>0</v>
      </c>
      <c r="J142">
        <f t="shared" si="16"/>
        <v>0.76595744680851063</v>
      </c>
      <c r="K142">
        <f t="shared" si="17"/>
        <v>0.32</v>
      </c>
      <c r="L142">
        <f>A142*COUNTIF(data!D:D,data!$I$2)/data!$L$2</f>
        <v>59.89976133651551</v>
      </c>
      <c r="M142" s="1">
        <f>A142/data!$L$2</f>
        <v>0.11217183770883055</v>
      </c>
      <c r="N142">
        <f t="shared" si="12"/>
        <v>1.8030121922065505</v>
      </c>
    </row>
    <row r="143" spans="1:14" x14ac:dyDescent="0.2">
      <c r="A143">
        <v>142</v>
      </c>
      <c r="B143">
        <f>LARGE(data!F:F,A143)</f>
        <v>0.70440988670000004</v>
      </c>
      <c r="C143">
        <f>COUNTIFS(data!D:D,data!$I$2,data!F:F,"&gt;="&amp;B143)</f>
        <v>109</v>
      </c>
      <c r="D143">
        <f>COUNTIFS(data!D:D,data!$J$2,data!F:F,"&gt;="&amp;B143)</f>
        <v>33</v>
      </c>
      <c r="E143">
        <f>COUNTIFS(data!D:D,data!$J$2,data!F:F,"&lt;"&amp;B143)</f>
        <v>690</v>
      </c>
      <c r="F143">
        <f>COUNTIFS(data!D:D,data!$I$2,data!F:F,"&lt;"&amp;B143)</f>
        <v>425</v>
      </c>
      <c r="G143">
        <f t="shared" si="13"/>
        <v>4.5643153526970952E-2</v>
      </c>
      <c r="H143">
        <f t="shared" si="14"/>
        <v>0.20411985018726592</v>
      </c>
      <c r="I143">
        <f t="shared" si="15"/>
        <v>0</v>
      </c>
      <c r="J143">
        <f t="shared" si="16"/>
        <v>0.76760563380281688</v>
      </c>
      <c r="K143">
        <f t="shared" si="17"/>
        <v>0.3224852071005917</v>
      </c>
      <c r="L143">
        <f>A143*COUNTIF(data!D:D,data!$I$2)/data!$L$2</f>
        <v>60.324582338902147</v>
      </c>
      <c r="M143" s="1">
        <f>A143/data!$L$2</f>
        <v>0.11296738265712013</v>
      </c>
      <c r="N143">
        <f t="shared" si="12"/>
        <v>1.8068919132774173</v>
      </c>
    </row>
    <row r="144" spans="1:14" x14ac:dyDescent="0.2">
      <c r="A144">
        <v>143</v>
      </c>
      <c r="B144">
        <f>LARGE(data!F:F,A144)</f>
        <v>0.70390984099999998</v>
      </c>
      <c r="C144">
        <f>COUNTIFS(data!D:D,data!$I$2,data!F:F,"&gt;="&amp;B144)</f>
        <v>109</v>
      </c>
      <c r="D144">
        <f>COUNTIFS(data!D:D,data!$J$2,data!F:F,"&gt;="&amp;B144)</f>
        <v>34</v>
      </c>
      <c r="E144">
        <f>COUNTIFS(data!D:D,data!$J$2,data!F:F,"&lt;"&amp;B144)</f>
        <v>689</v>
      </c>
      <c r="F144">
        <f>COUNTIFS(data!D:D,data!$I$2,data!F:F,"&lt;"&amp;B144)</f>
        <v>425</v>
      </c>
      <c r="G144">
        <f t="shared" si="13"/>
        <v>4.7026279391424619E-2</v>
      </c>
      <c r="H144">
        <f t="shared" si="14"/>
        <v>0.20411985018726592</v>
      </c>
      <c r="I144">
        <f t="shared" si="15"/>
        <v>2.8232344424241522E-4</v>
      </c>
      <c r="J144">
        <f t="shared" si="16"/>
        <v>0.76223776223776218</v>
      </c>
      <c r="K144">
        <f t="shared" si="17"/>
        <v>0.32200886262924666</v>
      </c>
      <c r="L144">
        <f>A144*COUNTIF(data!D:D,data!$I$2)/data!$L$2</f>
        <v>60.749403341288783</v>
      </c>
      <c r="M144" s="1">
        <f>A144/data!$L$2</f>
        <v>0.11376292760540971</v>
      </c>
      <c r="N144">
        <f t="shared" si="12"/>
        <v>1.7942563054922605</v>
      </c>
    </row>
    <row r="145" spans="1:14" x14ac:dyDescent="0.2">
      <c r="A145">
        <v>144</v>
      </c>
      <c r="B145">
        <f>LARGE(data!F:F,A145)</f>
        <v>0.70279023780000005</v>
      </c>
      <c r="C145">
        <f>COUNTIFS(data!D:D,data!$I$2,data!F:F,"&gt;="&amp;B145)</f>
        <v>110</v>
      </c>
      <c r="D145">
        <f>COUNTIFS(data!D:D,data!$J$2,data!F:F,"&gt;="&amp;B145)</f>
        <v>34</v>
      </c>
      <c r="E145">
        <f>COUNTIFS(data!D:D,data!$J$2,data!F:F,"&lt;"&amp;B145)</f>
        <v>689</v>
      </c>
      <c r="F145">
        <f>COUNTIFS(data!D:D,data!$I$2,data!F:F,"&lt;"&amp;B145)</f>
        <v>424</v>
      </c>
      <c r="G145">
        <f t="shared" si="13"/>
        <v>4.7026279391424619E-2</v>
      </c>
      <c r="H145">
        <f t="shared" si="14"/>
        <v>0.20599250936329588</v>
      </c>
      <c r="I145">
        <f t="shared" si="15"/>
        <v>0</v>
      </c>
      <c r="J145">
        <f t="shared" si="16"/>
        <v>0.76388888888888884</v>
      </c>
      <c r="K145">
        <f t="shared" si="17"/>
        <v>0.32448377581120941</v>
      </c>
      <c r="L145">
        <f>A145*COUNTIF(data!D:D,data!$I$2)/data!$L$2</f>
        <v>61.174224343675419</v>
      </c>
      <c r="M145" s="1">
        <f>A145/data!$L$2</f>
        <v>0.11455847255369929</v>
      </c>
      <c r="N145">
        <f t="shared" si="12"/>
        <v>1.7981429463171035</v>
      </c>
    </row>
    <row r="146" spans="1:14" x14ac:dyDescent="0.2">
      <c r="A146">
        <v>145</v>
      </c>
      <c r="B146">
        <f>LARGE(data!F:F,A146)</f>
        <v>0.70039829220000005</v>
      </c>
      <c r="C146">
        <f>COUNTIFS(data!D:D,data!$I$2,data!F:F,"&gt;="&amp;B146)</f>
        <v>110</v>
      </c>
      <c r="D146">
        <f>COUNTIFS(data!D:D,data!$J$2,data!F:F,"&gt;="&amp;B146)</f>
        <v>35</v>
      </c>
      <c r="E146">
        <f>COUNTIFS(data!D:D,data!$J$2,data!F:F,"&lt;"&amp;B146)</f>
        <v>688</v>
      </c>
      <c r="F146">
        <f>COUNTIFS(data!D:D,data!$I$2,data!F:F,"&lt;"&amp;B146)</f>
        <v>424</v>
      </c>
      <c r="G146">
        <f t="shared" si="13"/>
        <v>4.8409405255878286E-2</v>
      </c>
      <c r="H146">
        <f t="shared" si="14"/>
        <v>0.20599250936329588</v>
      </c>
      <c r="I146">
        <f t="shared" si="15"/>
        <v>2.8491356758408875E-4</v>
      </c>
      <c r="J146">
        <f t="shared" si="16"/>
        <v>0.75862068965517238</v>
      </c>
      <c r="K146">
        <f t="shared" si="17"/>
        <v>0.32400589101620025</v>
      </c>
      <c r="L146">
        <f>A146*COUNTIF(data!D:D,data!$I$2)/data!$L$2</f>
        <v>61.599045346062056</v>
      </c>
      <c r="M146" s="1">
        <f>A146/data!$L$2</f>
        <v>0.11535401750198886</v>
      </c>
      <c r="N146">
        <f t="shared" si="12"/>
        <v>1.7857419604804339</v>
      </c>
    </row>
    <row r="147" spans="1:14" x14ac:dyDescent="0.2">
      <c r="A147">
        <v>146</v>
      </c>
      <c r="B147">
        <f>LARGE(data!F:F,A147)</f>
        <v>0.69991790320000002</v>
      </c>
      <c r="C147">
        <f>COUNTIFS(data!D:D,data!$I$2,data!F:F,"&gt;="&amp;B147)</f>
        <v>111</v>
      </c>
      <c r="D147">
        <f>COUNTIFS(data!D:D,data!$J$2,data!F:F,"&gt;="&amp;B147)</f>
        <v>36</v>
      </c>
      <c r="E147">
        <f>COUNTIFS(data!D:D,data!$J$2,data!F:F,"&lt;"&amp;B147)</f>
        <v>687</v>
      </c>
      <c r="F147">
        <f>COUNTIFS(data!D:D,data!$I$2,data!F:F,"&lt;"&amp;B147)</f>
        <v>423</v>
      </c>
      <c r="G147">
        <f t="shared" si="13"/>
        <v>4.9792531120331947E-2</v>
      </c>
      <c r="H147">
        <f t="shared" si="14"/>
        <v>0.20786516853932585</v>
      </c>
      <c r="I147">
        <f t="shared" si="15"/>
        <v>2.8620862925492414E-4</v>
      </c>
      <c r="J147">
        <f t="shared" si="16"/>
        <v>0.75510204081632648</v>
      </c>
      <c r="K147">
        <f t="shared" si="17"/>
        <v>0.32599118942731281</v>
      </c>
      <c r="L147">
        <f>A147*COUNTIF(data!D:D,data!$I$2)/data!$L$2</f>
        <v>62.023866348448685</v>
      </c>
      <c r="M147" s="1">
        <f>A147/data!$L$2</f>
        <v>0.11614956245027844</v>
      </c>
      <c r="N147">
        <f t="shared" si="12"/>
        <v>1.78963367708173</v>
      </c>
    </row>
    <row r="148" spans="1:14" x14ac:dyDescent="0.2">
      <c r="A148">
        <v>147</v>
      </c>
      <c r="B148">
        <f>LARGE(data!F:F,A148)</f>
        <v>0.69991790320000002</v>
      </c>
      <c r="C148">
        <f>COUNTIFS(data!D:D,data!$I$2,data!F:F,"&gt;="&amp;B148)</f>
        <v>111</v>
      </c>
      <c r="D148">
        <f>COUNTIFS(data!D:D,data!$J$2,data!F:F,"&gt;="&amp;B148)</f>
        <v>36</v>
      </c>
      <c r="E148">
        <f>COUNTIFS(data!D:D,data!$J$2,data!F:F,"&lt;"&amp;B148)</f>
        <v>687</v>
      </c>
      <c r="F148">
        <f>COUNTIFS(data!D:D,data!$I$2,data!F:F,"&lt;"&amp;B148)</f>
        <v>423</v>
      </c>
      <c r="G148">
        <f t="shared" si="13"/>
        <v>4.9792531120331947E-2</v>
      </c>
      <c r="H148">
        <f t="shared" si="14"/>
        <v>0.20786516853932585</v>
      </c>
      <c r="I148">
        <f t="shared" si="15"/>
        <v>0</v>
      </c>
      <c r="J148">
        <f t="shared" si="16"/>
        <v>0.75510204081632648</v>
      </c>
      <c r="K148">
        <f t="shared" si="17"/>
        <v>0.32599118942731281</v>
      </c>
      <c r="L148">
        <f>A148*COUNTIF(data!D:D,data!$I$2)/data!$L$2</f>
        <v>62.448687350835321</v>
      </c>
      <c r="M148" s="1">
        <f>A148/data!$L$2</f>
        <v>0.11694510739856802</v>
      </c>
      <c r="N148">
        <f t="shared" si="12"/>
        <v>1.777459298326072</v>
      </c>
    </row>
    <row r="149" spans="1:14" x14ac:dyDescent="0.2">
      <c r="A149">
        <v>148</v>
      </c>
      <c r="B149">
        <f>LARGE(data!F:F,A149)</f>
        <v>0.69899904469999996</v>
      </c>
      <c r="C149">
        <f>COUNTIFS(data!D:D,data!$I$2,data!F:F,"&gt;="&amp;B149)</f>
        <v>112</v>
      </c>
      <c r="D149">
        <f>COUNTIFS(data!D:D,data!$J$2,data!F:F,"&gt;="&amp;B149)</f>
        <v>36</v>
      </c>
      <c r="E149">
        <f>COUNTIFS(data!D:D,data!$J$2,data!F:F,"&lt;"&amp;B149)</f>
        <v>687</v>
      </c>
      <c r="F149">
        <f>COUNTIFS(data!D:D,data!$I$2,data!F:F,"&lt;"&amp;B149)</f>
        <v>422</v>
      </c>
      <c r="G149">
        <f t="shared" si="13"/>
        <v>4.9792531120331947E-2</v>
      </c>
      <c r="H149">
        <f t="shared" si="14"/>
        <v>0.20973782771535582</v>
      </c>
      <c r="I149">
        <f t="shared" si="15"/>
        <v>0</v>
      </c>
      <c r="J149">
        <f t="shared" si="16"/>
        <v>0.7567567567567568</v>
      </c>
      <c r="K149">
        <f t="shared" si="17"/>
        <v>0.3284457478005865</v>
      </c>
      <c r="L149">
        <f>A149*COUNTIF(data!D:D,data!$I$2)/data!$L$2</f>
        <v>62.873508353221958</v>
      </c>
      <c r="M149" s="1">
        <f>A149/data!$L$2</f>
        <v>0.1177406523468576</v>
      </c>
      <c r="N149">
        <f t="shared" si="12"/>
        <v>1.781354388095961</v>
      </c>
    </row>
    <row r="150" spans="1:14" x14ac:dyDescent="0.2">
      <c r="A150">
        <v>149</v>
      </c>
      <c r="B150">
        <f>LARGE(data!F:F,A150)</f>
        <v>0.69749161550000005</v>
      </c>
      <c r="C150">
        <f>COUNTIFS(data!D:D,data!$I$2,data!F:F,"&gt;="&amp;B150)</f>
        <v>112</v>
      </c>
      <c r="D150">
        <f>COUNTIFS(data!D:D,data!$J$2,data!F:F,"&gt;="&amp;B150)</f>
        <v>37</v>
      </c>
      <c r="E150">
        <f>COUNTIFS(data!D:D,data!$J$2,data!F:F,"&lt;"&amp;B150)</f>
        <v>686</v>
      </c>
      <c r="F150">
        <f>COUNTIFS(data!D:D,data!$I$2,data!F:F,"&lt;"&amp;B150)</f>
        <v>422</v>
      </c>
      <c r="G150">
        <f t="shared" si="13"/>
        <v>5.1175656984785614E-2</v>
      </c>
      <c r="H150">
        <f t="shared" si="14"/>
        <v>0.20973782771535582</v>
      </c>
      <c r="I150">
        <f t="shared" si="15"/>
        <v>2.9009381426743587E-4</v>
      </c>
      <c r="J150">
        <f t="shared" si="16"/>
        <v>0.75167785234899331</v>
      </c>
      <c r="K150">
        <f t="shared" si="17"/>
        <v>0.32796486090775984</v>
      </c>
      <c r="L150">
        <f>A150*COUNTIF(data!D:D,data!$I$2)/data!$L$2</f>
        <v>63.298329355608594</v>
      </c>
      <c r="M150" s="1">
        <f>A150/data!$L$2</f>
        <v>0.11853619729514718</v>
      </c>
      <c r="N150">
        <f t="shared" si="12"/>
        <v>1.7693989895181359</v>
      </c>
    </row>
    <row r="151" spans="1:14" x14ac:dyDescent="0.2">
      <c r="A151">
        <v>150</v>
      </c>
      <c r="B151">
        <f>LARGE(data!F:F,A151)</f>
        <v>0.69562312309999996</v>
      </c>
      <c r="C151">
        <f>COUNTIFS(data!D:D,data!$I$2,data!F:F,"&gt;="&amp;B151)</f>
        <v>113</v>
      </c>
      <c r="D151">
        <f>COUNTIFS(data!D:D,data!$J$2,data!F:F,"&gt;="&amp;B151)</f>
        <v>37</v>
      </c>
      <c r="E151">
        <f>COUNTIFS(data!D:D,data!$J$2,data!F:F,"&lt;"&amp;B151)</f>
        <v>686</v>
      </c>
      <c r="F151">
        <f>COUNTIFS(data!D:D,data!$I$2,data!F:F,"&lt;"&amp;B151)</f>
        <v>421</v>
      </c>
      <c r="G151">
        <f t="shared" si="13"/>
        <v>5.1175656984785614E-2</v>
      </c>
      <c r="H151">
        <f t="shared" si="14"/>
        <v>0.21161048689138576</v>
      </c>
      <c r="I151">
        <f t="shared" si="15"/>
        <v>0</v>
      </c>
      <c r="J151">
        <f t="shared" si="16"/>
        <v>0.7533333333333333</v>
      </c>
      <c r="K151">
        <f t="shared" si="17"/>
        <v>0.33040935672514621</v>
      </c>
      <c r="L151">
        <f>A151*COUNTIF(data!D:D,data!$I$2)/data!$L$2</f>
        <v>63.723150357995223</v>
      </c>
      <c r="M151" s="1">
        <f>A151/data!$L$2</f>
        <v>0.11933174224343675</v>
      </c>
      <c r="N151">
        <f t="shared" si="12"/>
        <v>1.7732958801498129</v>
      </c>
    </row>
    <row r="152" spans="1:14" x14ac:dyDescent="0.2">
      <c r="A152">
        <v>151</v>
      </c>
      <c r="B152">
        <f>LARGE(data!F:F,A152)</f>
        <v>0.69508270080000001</v>
      </c>
      <c r="C152">
        <f>COUNTIFS(data!D:D,data!$I$2,data!F:F,"&gt;="&amp;B152)</f>
        <v>114</v>
      </c>
      <c r="D152">
        <f>COUNTIFS(data!D:D,data!$J$2,data!F:F,"&gt;="&amp;B152)</f>
        <v>37</v>
      </c>
      <c r="E152">
        <f>COUNTIFS(data!D:D,data!$J$2,data!F:F,"&lt;"&amp;B152)</f>
        <v>686</v>
      </c>
      <c r="F152">
        <f>COUNTIFS(data!D:D,data!$I$2,data!F:F,"&lt;"&amp;B152)</f>
        <v>420</v>
      </c>
      <c r="G152">
        <f t="shared" si="13"/>
        <v>5.1175656984785614E-2</v>
      </c>
      <c r="H152">
        <f t="shared" si="14"/>
        <v>0.21348314606741572</v>
      </c>
      <c r="I152">
        <f t="shared" si="15"/>
        <v>0</v>
      </c>
      <c r="J152">
        <f t="shared" si="16"/>
        <v>0.75496688741721851</v>
      </c>
      <c r="K152">
        <f t="shared" si="17"/>
        <v>0.33284671532846716</v>
      </c>
      <c r="L152">
        <f>A152*COUNTIF(data!D:D,data!$I$2)/data!$L$2</f>
        <v>64.14797136038186</v>
      </c>
      <c r="M152" s="1">
        <f>A152/data!$L$2</f>
        <v>0.12012728719172633</v>
      </c>
      <c r="N152">
        <f t="shared" si="12"/>
        <v>1.7771411563360369</v>
      </c>
    </row>
    <row r="153" spans="1:14" x14ac:dyDescent="0.2">
      <c r="A153">
        <v>152</v>
      </c>
      <c r="B153">
        <f>LARGE(data!F:F,A153)</f>
        <v>0.69423360450000005</v>
      </c>
      <c r="C153">
        <f>COUNTIFS(data!D:D,data!$I$2,data!F:F,"&gt;="&amp;B153)</f>
        <v>116</v>
      </c>
      <c r="D153">
        <f>COUNTIFS(data!D:D,data!$J$2,data!F:F,"&gt;="&amp;B153)</f>
        <v>37</v>
      </c>
      <c r="E153">
        <f>COUNTIFS(data!D:D,data!$J$2,data!F:F,"&lt;"&amp;B153)</f>
        <v>686</v>
      </c>
      <c r="F153">
        <f>COUNTIFS(data!D:D,data!$I$2,data!F:F,"&lt;"&amp;B153)</f>
        <v>418</v>
      </c>
      <c r="G153">
        <f t="shared" si="13"/>
        <v>5.1175656984785614E-2</v>
      </c>
      <c r="H153">
        <f t="shared" si="14"/>
        <v>0.21722846441947566</v>
      </c>
      <c r="I153">
        <f t="shared" si="15"/>
        <v>0</v>
      </c>
      <c r="J153">
        <f t="shared" si="16"/>
        <v>0.75816993464052285</v>
      </c>
      <c r="K153">
        <f t="shared" si="17"/>
        <v>0.33770014556040762</v>
      </c>
      <c r="L153">
        <f>A153*COUNTIF(data!D:D,data!$I$2)/data!$L$2</f>
        <v>64.572792362768496</v>
      </c>
      <c r="M153" s="1">
        <f>A153/data!$L$2</f>
        <v>0.12092283214001591</v>
      </c>
      <c r="N153">
        <f t="shared" si="12"/>
        <v>1.7964222353636901</v>
      </c>
    </row>
    <row r="154" spans="1:14" x14ac:dyDescent="0.2">
      <c r="A154">
        <v>153</v>
      </c>
      <c r="B154">
        <f>LARGE(data!F:F,A154)</f>
        <v>0.69423360450000005</v>
      </c>
      <c r="C154">
        <f>COUNTIFS(data!D:D,data!$I$2,data!F:F,"&gt;="&amp;B154)</f>
        <v>116</v>
      </c>
      <c r="D154">
        <f>COUNTIFS(data!D:D,data!$J$2,data!F:F,"&gt;="&amp;B154)</f>
        <v>37</v>
      </c>
      <c r="E154">
        <f>COUNTIFS(data!D:D,data!$J$2,data!F:F,"&lt;"&amp;B154)</f>
        <v>686</v>
      </c>
      <c r="F154">
        <f>COUNTIFS(data!D:D,data!$I$2,data!F:F,"&lt;"&amp;B154)</f>
        <v>418</v>
      </c>
      <c r="G154">
        <f t="shared" si="13"/>
        <v>5.1175656984785614E-2</v>
      </c>
      <c r="H154">
        <f t="shared" si="14"/>
        <v>0.21722846441947566</v>
      </c>
      <c r="I154">
        <f t="shared" si="15"/>
        <v>0</v>
      </c>
      <c r="J154">
        <f t="shared" si="16"/>
        <v>0.75816993464052285</v>
      </c>
      <c r="K154">
        <f t="shared" si="17"/>
        <v>0.33770014556040762</v>
      </c>
      <c r="L154">
        <f>A154*COUNTIF(data!D:D,data!$I$2)/data!$L$2</f>
        <v>64.997613365155132</v>
      </c>
      <c r="M154" s="1">
        <f>A154/data!$L$2</f>
        <v>0.12171837708830549</v>
      </c>
      <c r="N154">
        <f t="shared" si="12"/>
        <v>1.7846809135639274</v>
      </c>
    </row>
    <row r="155" spans="1:14" x14ac:dyDescent="0.2">
      <c r="A155">
        <v>154</v>
      </c>
      <c r="B155">
        <f>LARGE(data!F:F,A155)</f>
        <v>0.69312136010000003</v>
      </c>
      <c r="C155">
        <f>COUNTIFS(data!D:D,data!$I$2,data!F:F,"&gt;="&amp;B155)</f>
        <v>117</v>
      </c>
      <c r="D155">
        <f>COUNTIFS(data!D:D,data!$J$2,data!F:F,"&gt;="&amp;B155)</f>
        <v>37</v>
      </c>
      <c r="E155">
        <f>COUNTIFS(data!D:D,data!$J$2,data!F:F,"&lt;"&amp;B155)</f>
        <v>686</v>
      </c>
      <c r="F155">
        <f>COUNTIFS(data!D:D,data!$I$2,data!F:F,"&lt;"&amp;B155)</f>
        <v>417</v>
      </c>
      <c r="G155">
        <f t="shared" si="13"/>
        <v>5.1175656984785614E-2</v>
      </c>
      <c r="H155">
        <f t="shared" si="14"/>
        <v>0.21910112359550563</v>
      </c>
      <c r="I155">
        <f t="shared" si="15"/>
        <v>0</v>
      </c>
      <c r="J155">
        <f t="shared" si="16"/>
        <v>0.75974025974025972</v>
      </c>
      <c r="K155">
        <f t="shared" si="17"/>
        <v>0.34011627906976744</v>
      </c>
      <c r="L155">
        <f>A155*COUNTIF(data!D:D,data!$I$2)/data!$L$2</f>
        <v>65.422434367541769</v>
      </c>
      <c r="M155" s="1">
        <f>A155/data!$L$2</f>
        <v>0.12251392203659507</v>
      </c>
      <c r="N155">
        <f t="shared" si="12"/>
        <v>1.7883773529840945</v>
      </c>
    </row>
    <row r="156" spans="1:14" x14ac:dyDescent="0.2">
      <c r="A156">
        <v>155</v>
      </c>
      <c r="B156">
        <f>LARGE(data!F:F,A156)</f>
        <v>0.69267852500000004</v>
      </c>
      <c r="C156">
        <f>COUNTIFS(data!D:D,data!$I$2,data!F:F,"&gt;="&amp;B156)</f>
        <v>119</v>
      </c>
      <c r="D156">
        <f>COUNTIFS(data!D:D,data!$J$2,data!F:F,"&gt;="&amp;B156)</f>
        <v>37</v>
      </c>
      <c r="E156">
        <f>COUNTIFS(data!D:D,data!$J$2,data!F:F,"&lt;"&amp;B156)</f>
        <v>686</v>
      </c>
      <c r="F156">
        <f>COUNTIFS(data!D:D,data!$I$2,data!F:F,"&lt;"&amp;B156)</f>
        <v>415</v>
      </c>
      <c r="G156">
        <f t="shared" si="13"/>
        <v>5.1175656984785614E-2</v>
      </c>
      <c r="H156">
        <f t="shared" si="14"/>
        <v>0.22284644194756553</v>
      </c>
      <c r="I156">
        <f t="shared" si="15"/>
        <v>0</v>
      </c>
      <c r="J156">
        <f t="shared" si="16"/>
        <v>0.76282051282051277</v>
      </c>
      <c r="K156">
        <f t="shared" si="17"/>
        <v>0.34492753623188405</v>
      </c>
      <c r="L156">
        <f>A156*COUNTIF(data!D:D,data!$I$2)/data!$L$2</f>
        <v>65.847255369928405</v>
      </c>
      <c r="M156" s="1">
        <f>A156/data!$L$2</f>
        <v>0.12330946698488465</v>
      </c>
      <c r="N156">
        <f t="shared" si="12"/>
        <v>1.8072127582457411</v>
      </c>
    </row>
    <row r="157" spans="1:14" x14ac:dyDescent="0.2">
      <c r="A157">
        <v>156</v>
      </c>
      <c r="B157">
        <f>LARGE(data!F:F,A157)</f>
        <v>0.69267852500000004</v>
      </c>
      <c r="C157">
        <f>COUNTIFS(data!D:D,data!$I$2,data!F:F,"&gt;="&amp;B157)</f>
        <v>119</v>
      </c>
      <c r="D157">
        <f>COUNTIFS(data!D:D,data!$J$2,data!F:F,"&gt;="&amp;B157)</f>
        <v>37</v>
      </c>
      <c r="E157">
        <f>COUNTIFS(data!D:D,data!$J$2,data!F:F,"&lt;"&amp;B157)</f>
        <v>686</v>
      </c>
      <c r="F157">
        <f>COUNTIFS(data!D:D,data!$I$2,data!F:F,"&lt;"&amp;B157)</f>
        <v>415</v>
      </c>
      <c r="G157">
        <f t="shared" si="13"/>
        <v>5.1175656984785614E-2</v>
      </c>
      <c r="H157">
        <f t="shared" si="14"/>
        <v>0.22284644194756553</v>
      </c>
      <c r="I157">
        <f t="shared" si="15"/>
        <v>0</v>
      </c>
      <c r="J157">
        <f t="shared" si="16"/>
        <v>0.76282051282051277</v>
      </c>
      <c r="K157">
        <f t="shared" si="17"/>
        <v>0.34492753623188405</v>
      </c>
      <c r="L157">
        <f>A157*COUNTIF(data!D:D,data!$I$2)/data!$L$2</f>
        <v>66.272076372315041</v>
      </c>
      <c r="M157" s="1">
        <f>A157/data!$L$2</f>
        <v>0.12410501193317422</v>
      </c>
      <c r="N157">
        <f t="shared" si="12"/>
        <v>1.7956280610774991</v>
      </c>
    </row>
    <row r="158" spans="1:14" x14ac:dyDescent="0.2">
      <c r="A158">
        <v>157</v>
      </c>
      <c r="B158">
        <f>LARGE(data!F:F,A158)</f>
        <v>0.69107663129999997</v>
      </c>
      <c r="C158">
        <f>COUNTIFS(data!D:D,data!$I$2,data!F:F,"&gt;="&amp;B158)</f>
        <v>119</v>
      </c>
      <c r="D158">
        <f>COUNTIFS(data!D:D,data!$J$2,data!F:F,"&gt;="&amp;B158)</f>
        <v>38</v>
      </c>
      <c r="E158">
        <f>COUNTIFS(data!D:D,data!$J$2,data!F:F,"&lt;"&amp;B158)</f>
        <v>685</v>
      </c>
      <c r="F158">
        <f>COUNTIFS(data!D:D,data!$I$2,data!F:F,"&lt;"&amp;B158)</f>
        <v>415</v>
      </c>
      <c r="G158">
        <f t="shared" si="13"/>
        <v>5.2558782849239281E-2</v>
      </c>
      <c r="H158">
        <f t="shared" si="14"/>
        <v>0.22284644194756553</v>
      </c>
      <c r="I158">
        <f t="shared" si="15"/>
        <v>3.0822467765915059E-4</v>
      </c>
      <c r="J158">
        <f t="shared" si="16"/>
        <v>0.7579617834394905</v>
      </c>
      <c r="K158">
        <f t="shared" si="17"/>
        <v>0.34442836468885674</v>
      </c>
      <c r="L158">
        <f>A158*COUNTIF(data!D:D,data!$I$2)/data!$L$2</f>
        <v>66.696897374701678</v>
      </c>
      <c r="M158" s="1">
        <f>A158/data!$L$2</f>
        <v>0.1249005568814638</v>
      </c>
      <c r="N158">
        <f t="shared" si="12"/>
        <v>1.7841909396693623</v>
      </c>
    </row>
    <row r="159" spans="1:14" x14ac:dyDescent="0.2">
      <c r="A159">
        <v>158</v>
      </c>
      <c r="B159">
        <f>LARGE(data!F:F,A159)</f>
        <v>0.68965615059999996</v>
      </c>
      <c r="C159">
        <f>COUNTIFS(data!D:D,data!$I$2,data!F:F,"&gt;="&amp;B159)</f>
        <v>120</v>
      </c>
      <c r="D159">
        <f>COUNTIFS(data!D:D,data!$J$2,data!F:F,"&gt;="&amp;B159)</f>
        <v>38</v>
      </c>
      <c r="E159">
        <f>COUNTIFS(data!D:D,data!$J$2,data!F:F,"&lt;"&amp;B159)</f>
        <v>685</v>
      </c>
      <c r="F159">
        <f>COUNTIFS(data!D:D,data!$I$2,data!F:F,"&lt;"&amp;B159)</f>
        <v>414</v>
      </c>
      <c r="G159">
        <f t="shared" si="13"/>
        <v>5.2558782849239281E-2</v>
      </c>
      <c r="H159">
        <f t="shared" si="14"/>
        <v>0.2247191011235955</v>
      </c>
      <c r="I159">
        <f t="shared" si="15"/>
        <v>0</v>
      </c>
      <c r="J159">
        <f t="shared" si="16"/>
        <v>0.759493670886076</v>
      </c>
      <c r="K159">
        <f t="shared" si="17"/>
        <v>0.34682080924855491</v>
      </c>
      <c r="L159">
        <f>A159*COUNTIF(data!D:D,data!$I$2)/data!$L$2</f>
        <v>67.1217183770883</v>
      </c>
      <c r="M159" s="1">
        <f>A159/data!$L$2</f>
        <v>0.12569610182975338</v>
      </c>
      <c r="N159">
        <f t="shared" si="12"/>
        <v>1.7877968994453137</v>
      </c>
    </row>
    <row r="160" spans="1:14" x14ac:dyDescent="0.2">
      <c r="A160">
        <v>159</v>
      </c>
      <c r="B160">
        <f>LARGE(data!F:F,A160)</f>
        <v>0.68923782030000003</v>
      </c>
      <c r="C160">
        <f>COUNTIFS(data!D:D,data!$I$2,data!F:F,"&gt;="&amp;B160)</f>
        <v>120</v>
      </c>
      <c r="D160">
        <f>COUNTIFS(data!D:D,data!$J$2,data!F:F,"&gt;="&amp;B160)</f>
        <v>39</v>
      </c>
      <c r="E160">
        <f>COUNTIFS(data!D:D,data!$J$2,data!F:F,"&lt;"&amp;B160)</f>
        <v>684</v>
      </c>
      <c r="F160">
        <f>COUNTIFS(data!D:D,data!$I$2,data!F:F,"&lt;"&amp;B160)</f>
        <v>414</v>
      </c>
      <c r="G160">
        <f t="shared" si="13"/>
        <v>5.3941908713692949E-2</v>
      </c>
      <c r="H160">
        <f t="shared" si="14"/>
        <v>0.2247191011235955</v>
      </c>
      <c r="I160">
        <f t="shared" si="15"/>
        <v>3.1081480100082412E-4</v>
      </c>
      <c r="J160">
        <f t="shared" si="16"/>
        <v>0.75471698113207553</v>
      </c>
      <c r="K160">
        <f t="shared" si="17"/>
        <v>0.34632034632034631</v>
      </c>
      <c r="L160">
        <f>A160*COUNTIF(data!D:D,data!$I$2)/data!$L$2</f>
        <v>67.546539379474936</v>
      </c>
      <c r="M160" s="1">
        <f>A160/data!$L$2</f>
        <v>0.12649164677804295</v>
      </c>
      <c r="N160">
        <f t="shared" si="12"/>
        <v>1.776552893788425</v>
      </c>
    </row>
    <row r="161" spans="1:14" x14ac:dyDescent="0.2">
      <c r="A161">
        <v>160</v>
      </c>
      <c r="B161">
        <f>LARGE(data!F:F,A161)</f>
        <v>0.68826497720000002</v>
      </c>
      <c r="C161">
        <f>COUNTIFS(data!D:D,data!$I$2,data!F:F,"&gt;="&amp;B161)</f>
        <v>120</v>
      </c>
      <c r="D161">
        <f>COUNTIFS(data!D:D,data!$J$2,data!F:F,"&gt;="&amp;B161)</f>
        <v>40</v>
      </c>
      <c r="E161">
        <f>COUNTIFS(data!D:D,data!$J$2,data!F:F,"&lt;"&amp;B161)</f>
        <v>683</v>
      </c>
      <c r="F161">
        <f>COUNTIFS(data!D:D,data!$I$2,data!F:F,"&lt;"&amp;B161)</f>
        <v>414</v>
      </c>
      <c r="G161">
        <f t="shared" si="13"/>
        <v>5.5325034578146609E-2</v>
      </c>
      <c r="H161">
        <f t="shared" si="14"/>
        <v>0.2247191011235955</v>
      </c>
      <c r="I161">
        <f t="shared" si="15"/>
        <v>3.1081480100082255E-4</v>
      </c>
      <c r="J161">
        <f t="shared" si="16"/>
        <v>0.75</v>
      </c>
      <c r="K161">
        <f t="shared" si="17"/>
        <v>0.345821325648415</v>
      </c>
      <c r="L161">
        <f>A161*COUNTIF(data!D:D,data!$I$2)/data!$L$2</f>
        <v>67.971360381861572</v>
      </c>
      <c r="M161" s="1">
        <f>A161/data!$L$2</f>
        <v>0.12728719172633254</v>
      </c>
      <c r="N161">
        <f t="shared" si="12"/>
        <v>1.7654494382022472</v>
      </c>
    </row>
    <row r="162" spans="1:14" x14ac:dyDescent="0.2">
      <c r="A162">
        <v>161</v>
      </c>
      <c r="B162">
        <f>LARGE(data!F:F,A162)</f>
        <v>0.68806188700000004</v>
      </c>
      <c r="C162">
        <f>COUNTIFS(data!D:D,data!$I$2,data!F:F,"&gt;="&amp;B162)</f>
        <v>121</v>
      </c>
      <c r="D162">
        <f>COUNTIFS(data!D:D,data!$J$2,data!F:F,"&gt;="&amp;B162)</f>
        <v>40</v>
      </c>
      <c r="E162">
        <f>COUNTIFS(data!D:D,data!$J$2,data!F:F,"&lt;"&amp;B162)</f>
        <v>683</v>
      </c>
      <c r="F162">
        <f>COUNTIFS(data!D:D,data!$I$2,data!F:F,"&lt;"&amp;B162)</f>
        <v>413</v>
      </c>
      <c r="G162">
        <f t="shared" si="13"/>
        <v>5.5325034578146609E-2</v>
      </c>
      <c r="H162">
        <f t="shared" si="14"/>
        <v>0.22659176029962547</v>
      </c>
      <c r="I162">
        <f t="shared" si="15"/>
        <v>0</v>
      </c>
      <c r="J162">
        <f t="shared" si="16"/>
        <v>0.75155279503105588</v>
      </c>
      <c r="K162">
        <f t="shared" si="17"/>
        <v>0.34820143884892085</v>
      </c>
      <c r="L162">
        <f>A162*COUNTIF(data!D:D,data!$I$2)/data!$L$2</f>
        <v>68.396181384248209</v>
      </c>
      <c r="M162" s="1">
        <f>A162/data!$L$2</f>
        <v>0.12808273667462211</v>
      </c>
      <c r="N162">
        <f t="shared" si="12"/>
        <v>1.7691046130225416</v>
      </c>
    </row>
    <row r="163" spans="1:14" x14ac:dyDescent="0.2">
      <c r="A163">
        <v>162</v>
      </c>
      <c r="B163">
        <f>LARGE(data!F:F,A163)</f>
        <v>0.68746981409999997</v>
      </c>
      <c r="C163">
        <f>COUNTIFS(data!D:D,data!$I$2,data!F:F,"&gt;="&amp;B163)</f>
        <v>121</v>
      </c>
      <c r="D163">
        <f>COUNTIFS(data!D:D,data!$J$2,data!F:F,"&gt;="&amp;B163)</f>
        <v>41</v>
      </c>
      <c r="E163">
        <f>COUNTIFS(data!D:D,data!$J$2,data!F:F,"&lt;"&amp;B163)</f>
        <v>682</v>
      </c>
      <c r="F163">
        <f>COUNTIFS(data!D:D,data!$I$2,data!F:F,"&lt;"&amp;B163)</f>
        <v>413</v>
      </c>
      <c r="G163">
        <f t="shared" si="13"/>
        <v>5.6708160442600276E-2</v>
      </c>
      <c r="H163">
        <f t="shared" si="14"/>
        <v>0.22659176029962547</v>
      </c>
      <c r="I163">
        <f t="shared" si="15"/>
        <v>3.1340492434249765E-4</v>
      </c>
      <c r="J163">
        <f t="shared" si="16"/>
        <v>0.74691358024691357</v>
      </c>
      <c r="K163">
        <f t="shared" si="17"/>
        <v>0.34770114942528735</v>
      </c>
      <c r="L163">
        <f>A163*COUNTIF(data!D:D,data!$I$2)/data!$L$2</f>
        <v>68.821002386634845</v>
      </c>
      <c r="M163" s="1">
        <f>A163/data!$L$2</f>
        <v>0.12887828162291171</v>
      </c>
      <c r="N163">
        <f t="shared" si="12"/>
        <v>1.7581842141767234</v>
      </c>
    </row>
    <row r="164" spans="1:14" x14ac:dyDescent="0.2">
      <c r="A164">
        <v>163</v>
      </c>
      <c r="B164">
        <f>LARGE(data!F:F,A164)</f>
        <v>0.68441090029999996</v>
      </c>
      <c r="C164">
        <f>COUNTIFS(data!D:D,data!$I$2,data!F:F,"&gt;="&amp;B164)</f>
        <v>122</v>
      </c>
      <c r="D164">
        <f>COUNTIFS(data!D:D,data!$J$2,data!F:F,"&gt;="&amp;B164)</f>
        <v>41</v>
      </c>
      <c r="E164">
        <f>COUNTIFS(data!D:D,data!$J$2,data!F:F,"&lt;"&amp;B164)</f>
        <v>682</v>
      </c>
      <c r="F164">
        <f>COUNTIFS(data!D:D,data!$I$2,data!F:F,"&lt;"&amp;B164)</f>
        <v>412</v>
      </c>
      <c r="G164">
        <f t="shared" si="13"/>
        <v>5.6708160442600276E-2</v>
      </c>
      <c r="H164">
        <f t="shared" si="14"/>
        <v>0.22846441947565543</v>
      </c>
      <c r="I164">
        <f t="shared" si="15"/>
        <v>0</v>
      </c>
      <c r="J164">
        <f t="shared" si="16"/>
        <v>0.74846625766871167</v>
      </c>
      <c r="K164">
        <f t="shared" si="17"/>
        <v>0.35007173601147779</v>
      </c>
      <c r="L164">
        <f>A164*COUNTIF(data!D:D,data!$I$2)/data!$L$2</f>
        <v>69.245823389021481</v>
      </c>
      <c r="M164" s="1">
        <f>A164/data!$L$2</f>
        <v>0.12967382657120127</v>
      </c>
      <c r="N164">
        <f t="shared" si="12"/>
        <v>1.7618391121527539</v>
      </c>
    </row>
    <row r="165" spans="1:14" x14ac:dyDescent="0.2">
      <c r="A165">
        <v>164</v>
      </c>
      <c r="B165">
        <f>LARGE(data!F:F,A165)</f>
        <v>0.68335339500000003</v>
      </c>
      <c r="C165">
        <f>COUNTIFS(data!D:D,data!$I$2,data!F:F,"&gt;="&amp;B165)</f>
        <v>124</v>
      </c>
      <c r="D165">
        <f>COUNTIFS(data!D:D,data!$J$2,data!F:F,"&gt;="&amp;B165)</f>
        <v>41</v>
      </c>
      <c r="E165">
        <f>COUNTIFS(data!D:D,data!$J$2,data!F:F,"&lt;"&amp;B165)</f>
        <v>682</v>
      </c>
      <c r="F165">
        <f>COUNTIFS(data!D:D,data!$I$2,data!F:F,"&lt;"&amp;B165)</f>
        <v>410</v>
      </c>
      <c r="G165">
        <f t="shared" si="13"/>
        <v>5.6708160442600276E-2</v>
      </c>
      <c r="H165">
        <f t="shared" si="14"/>
        <v>0.23220973782771537</v>
      </c>
      <c r="I165">
        <f t="shared" si="15"/>
        <v>0</v>
      </c>
      <c r="J165">
        <f t="shared" si="16"/>
        <v>0.75151515151515147</v>
      </c>
      <c r="K165">
        <f t="shared" si="17"/>
        <v>0.35479256080114446</v>
      </c>
      <c r="L165">
        <f>A165*COUNTIF(data!D:D,data!$I$2)/data!$L$2</f>
        <v>69.670644391408118</v>
      </c>
      <c r="M165" s="1">
        <f>A165/data!$L$2</f>
        <v>0.13046937151949084</v>
      </c>
      <c r="N165">
        <f t="shared" si="12"/>
        <v>1.7798026856673059</v>
      </c>
    </row>
    <row r="166" spans="1:14" x14ac:dyDescent="0.2">
      <c r="A166">
        <v>165</v>
      </c>
      <c r="B166">
        <f>LARGE(data!F:F,A166)</f>
        <v>0.68335339500000003</v>
      </c>
      <c r="C166">
        <f>COUNTIFS(data!D:D,data!$I$2,data!F:F,"&gt;="&amp;B166)</f>
        <v>124</v>
      </c>
      <c r="D166">
        <f>COUNTIFS(data!D:D,data!$J$2,data!F:F,"&gt;="&amp;B166)</f>
        <v>41</v>
      </c>
      <c r="E166">
        <f>COUNTIFS(data!D:D,data!$J$2,data!F:F,"&lt;"&amp;B166)</f>
        <v>682</v>
      </c>
      <c r="F166">
        <f>COUNTIFS(data!D:D,data!$I$2,data!F:F,"&lt;"&amp;B166)</f>
        <v>410</v>
      </c>
      <c r="G166">
        <f t="shared" si="13"/>
        <v>5.6708160442600276E-2</v>
      </c>
      <c r="H166">
        <f t="shared" si="14"/>
        <v>0.23220973782771537</v>
      </c>
      <c r="I166">
        <f t="shared" si="15"/>
        <v>0</v>
      </c>
      <c r="J166">
        <f t="shared" si="16"/>
        <v>0.75151515151515147</v>
      </c>
      <c r="K166">
        <f t="shared" si="17"/>
        <v>0.35479256080114446</v>
      </c>
      <c r="L166">
        <f>A166*COUNTIF(data!D:D,data!$I$2)/data!$L$2</f>
        <v>70.095465393794754</v>
      </c>
      <c r="M166" s="1">
        <f>A166/data!$L$2</f>
        <v>0.13126491646778043</v>
      </c>
      <c r="N166">
        <f t="shared" si="12"/>
        <v>1.7690160027238677</v>
      </c>
    </row>
    <row r="167" spans="1:14" x14ac:dyDescent="0.2">
      <c r="A167">
        <v>166</v>
      </c>
      <c r="B167">
        <f>LARGE(data!F:F,A167)</f>
        <v>0.67917245559999995</v>
      </c>
      <c r="C167">
        <f>COUNTIFS(data!D:D,data!$I$2,data!F:F,"&gt;="&amp;B167)</f>
        <v>124</v>
      </c>
      <c r="D167">
        <f>COUNTIFS(data!D:D,data!$J$2,data!F:F,"&gt;="&amp;B167)</f>
        <v>42</v>
      </c>
      <c r="E167">
        <f>COUNTIFS(data!D:D,data!$J$2,data!F:F,"&lt;"&amp;B167)</f>
        <v>681</v>
      </c>
      <c r="F167">
        <f>COUNTIFS(data!D:D,data!$I$2,data!F:F,"&lt;"&amp;B167)</f>
        <v>410</v>
      </c>
      <c r="G167">
        <f t="shared" si="13"/>
        <v>5.8091286307053944E-2</v>
      </c>
      <c r="H167">
        <f t="shared" si="14"/>
        <v>0.23220973782771537</v>
      </c>
      <c r="I167">
        <f t="shared" si="15"/>
        <v>3.2117529436751825E-4</v>
      </c>
      <c r="J167">
        <f t="shared" si="16"/>
        <v>0.74698795180722888</v>
      </c>
      <c r="K167">
        <f t="shared" si="17"/>
        <v>0.35428571428571426</v>
      </c>
      <c r="L167">
        <f>A167*COUNTIF(data!D:D,data!$I$2)/data!$L$2</f>
        <v>70.52028639618139</v>
      </c>
      <c r="M167" s="1">
        <f>A167/data!$L$2</f>
        <v>0.13206046141607</v>
      </c>
      <c r="N167">
        <f t="shared" si="12"/>
        <v>1.7583592798158927</v>
      </c>
    </row>
    <row r="168" spans="1:14" x14ac:dyDescent="0.2">
      <c r="A168">
        <v>167</v>
      </c>
      <c r="B168">
        <f>LARGE(data!F:F,A168)</f>
        <v>0.67877859289999998</v>
      </c>
      <c r="C168">
        <f>COUNTIFS(data!D:D,data!$I$2,data!F:F,"&gt;="&amp;B168)</f>
        <v>124</v>
      </c>
      <c r="D168">
        <f>COUNTIFS(data!D:D,data!$J$2,data!F:F,"&gt;="&amp;B168)</f>
        <v>43</v>
      </c>
      <c r="E168">
        <f>COUNTIFS(data!D:D,data!$J$2,data!F:F,"&lt;"&amp;B168)</f>
        <v>680</v>
      </c>
      <c r="F168">
        <f>COUNTIFS(data!D:D,data!$I$2,data!F:F,"&lt;"&amp;B168)</f>
        <v>410</v>
      </c>
      <c r="G168">
        <f t="shared" si="13"/>
        <v>5.9474412171507604E-2</v>
      </c>
      <c r="H168">
        <f t="shared" si="14"/>
        <v>0.23220973782771537</v>
      </c>
      <c r="I168">
        <f t="shared" si="15"/>
        <v>3.2117529436751668E-4</v>
      </c>
      <c r="J168">
        <f t="shared" si="16"/>
        <v>0.74251497005988021</v>
      </c>
      <c r="K168">
        <f t="shared" si="17"/>
        <v>0.35378031383737518</v>
      </c>
      <c r="L168">
        <f>A168*COUNTIF(data!D:D,data!$I$2)/data!$L$2</f>
        <v>70.945107398568013</v>
      </c>
      <c r="M168" s="1">
        <f>A168/data!$L$2</f>
        <v>0.1328560063643596</v>
      </c>
      <c r="N168">
        <f t="shared" si="12"/>
        <v>1.7478301823319655</v>
      </c>
    </row>
    <row r="169" spans="1:14" x14ac:dyDescent="0.2">
      <c r="A169">
        <v>168</v>
      </c>
      <c r="B169">
        <f>LARGE(data!F:F,A169)</f>
        <v>0.6786728219</v>
      </c>
      <c r="C169">
        <f>COUNTIFS(data!D:D,data!$I$2,data!F:F,"&gt;="&amp;B169)</f>
        <v>125</v>
      </c>
      <c r="D169">
        <f>COUNTIFS(data!D:D,data!$J$2,data!F:F,"&gt;="&amp;B169)</f>
        <v>43</v>
      </c>
      <c r="E169">
        <f>COUNTIFS(data!D:D,data!$J$2,data!F:F,"&lt;"&amp;B169)</f>
        <v>680</v>
      </c>
      <c r="F169">
        <f>COUNTIFS(data!D:D,data!$I$2,data!F:F,"&lt;"&amp;B169)</f>
        <v>409</v>
      </c>
      <c r="G169">
        <f t="shared" si="13"/>
        <v>5.9474412171507604E-2</v>
      </c>
      <c r="H169">
        <f t="shared" si="14"/>
        <v>0.23408239700374531</v>
      </c>
      <c r="I169">
        <f t="shared" si="15"/>
        <v>0</v>
      </c>
      <c r="J169">
        <f t="shared" si="16"/>
        <v>0.74404761904761907</v>
      </c>
      <c r="K169">
        <f t="shared" si="17"/>
        <v>0.35612535612535612</v>
      </c>
      <c r="L169">
        <f>A169*COUNTIF(data!D:D,data!$I$2)/data!$L$2</f>
        <v>71.369928400954649</v>
      </c>
      <c r="M169" s="1">
        <f>A169/data!$L$2</f>
        <v>0.13365155131264916</v>
      </c>
      <c r="N169">
        <f t="shared" si="12"/>
        <v>1.7514379347244518</v>
      </c>
    </row>
    <row r="170" spans="1:14" x14ac:dyDescent="0.2">
      <c r="A170">
        <v>169</v>
      </c>
      <c r="B170">
        <f>LARGE(data!F:F,A170)</f>
        <v>0.67774511240000002</v>
      </c>
      <c r="C170">
        <f>COUNTIFS(data!D:D,data!$I$2,data!F:F,"&gt;="&amp;B170)</f>
        <v>125</v>
      </c>
      <c r="D170">
        <f>COUNTIFS(data!D:D,data!$J$2,data!F:F,"&gt;="&amp;B170)</f>
        <v>44</v>
      </c>
      <c r="E170">
        <f>COUNTIFS(data!D:D,data!$J$2,data!F:F,"&lt;"&amp;B170)</f>
        <v>679</v>
      </c>
      <c r="F170">
        <f>COUNTIFS(data!D:D,data!$I$2,data!F:F,"&lt;"&amp;B170)</f>
        <v>409</v>
      </c>
      <c r="G170">
        <f t="shared" si="13"/>
        <v>6.0857538035961271E-2</v>
      </c>
      <c r="H170">
        <f t="shared" si="14"/>
        <v>0.23408239700374531</v>
      </c>
      <c r="I170">
        <f t="shared" si="15"/>
        <v>3.2376541770919178E-4</v>
      </c>
      <c r="J170">
        <f t="shared" si="16"/>
        <v>0.73964497041420119</v>
      </c>
      <c r="K170">
        <f t="shared" si="17"/>
        <v>0.35561877667140823</v>
      </c>
      <c r="L170">
        <f>A170*COUNTIF(data!D:D,data!$I$2)/data!$L$2</f>
        <v>71.794749403341285</v>
      </c>
      <c r="M170" s="1">
        <f>A170/data!$L$2</f>
        <v>0.13444709626093873</v>
      </c>
      <c r="N170">
        <f t="shared" si="12"/>
        <v>1.7410743966491591</v>
      </c>
    </row>
    <row r="171" spans="1:14" x14ac:dyDescent="0.2">
      <c r="A171">
        <v>170</v>
      </c>
      <c r="B171">
        <f>LARGE(data!F:F,A171)</f>
        <v>0.67730055170000003</v>
      </c>
      <c r="C171">
        <f>COUNTIFS(data!D:D,data!$I$2,data!F:F,"&gt;="&amp;B171)</f>
        <v>126</v>
      </c>
      <c r="D171">
        <f>COUNTIFS(data!D:D,data!$J$2,data!F:F,"&gt;="&amp;B171)</f>
        <v>44</v>
      </c>
      <c r="E171">
        <f>COUNTIFS(data!D:D,data!$J$2,data!F:F,"&lt;"&amp;B171)</f>
        <v>679</v>
      </c>
      <c r="F171">
        <f>COUNTIFS(data!D:D,data!$I$2,data!F:F,"&lt;"&amp;B171)</f>
        <v>408</v>
      </c>
      <c r="G171">
        <f t="shared" si="13"/>
        <v>6.0857538035961271E-2</v>
      </c>
      <c r="H171">
        <f t="shared" si="14"/>
        <v>0.23595505617977527</v>
      </c>
      <c r="I171">
        <f t="shared" si="15"/>
        <v>0</v>
      </c>
      <c r="J171">
        <f t="shared" si="16"/>
        <v>0.74117647058823533</v>
      </c>
      <c r="K171">
        <f t="shared" si="17"/>
        <v>0.35795454545454541</v>
      </c>
      <c r="L171">
        <f>A171*COUNTIF(data!D:D,data!$I$2)/data!$L$2</f>
        <v>72.219570405727922</v>
      </c>
      <c r="M171" s="1">
        <f>A171/data!$L$2</f>
        <v>0.13524264120922833</v>
      </c>
      <c r="N171">
        <f t="shared" si="12"/>
        <v>1.7446794448116325</v>
      </c>
    </row>
    <row r="172" spans="1:14" x14ac:dyDescent="0.2">
      <c r="A172">
        <v>171</v>
      </c>
      <c r="B172">
        <f>LARGE(data!F:F,A172)</f>
        <v>0.67695568939999995</v>
      </c>
      <c r="C172">
        <f>COUNTIFS(data!D:D,data!$I$2,data!F:F,"&gt;="&amp;B172)</f>
        <v>126</v>
      </c>
      <c r="D172">
        <f>COUNTIFS(data!D:D,data!$J$2,data!F:F,"&gt;="&amp;B172)</f>
        <v>45</v>
      </c>
      <c r="E172">
        <f>COUNTIFS(data!D:D,data!$J$2,data!F:F,"&lt;"&amp;B172)</f>
        <v>678</v>
      </c>
      <c r="F172">
        <f>COUNTIFS(data!D:D,data!$I$2,data!F:F,"&lt;"&amp;B172)</f>
        <v>408</v>
      </c>
      <c r="G172">
        <f t="shared" si="13"/>
        <v>6.2240663900414939E-2</v>
      </c>
      <c r="H172">
        <f t="shared" si="14"/>
        <v>0.23595505617977527</v>
      </c>
      <c r="I172">
        <f t="shared" si="15"/>
        <v>3.2635554105086531E-4</v>
      </c>
      <c r="J172">
        <f t="shared" si="16"/>
        <v>0.73684210526315785</v>
      </c>
      <c r="K172">
        <f t="shared" si="17"/>
        <v>0.35744680851063826</v>
      </c>
      <c r="L172">
        <f>A172*COUNTIF(data!D:D,data!$I$2)/data!$L$2</f>
        <v>72.644391408114558</v>
      </c>
      <c r="M172" s="1">
        <f>A172/data!$L$2</f>
        <v>0.13603818615751789</v>
      </c>
      <c r="N172">
        <f t="shared" si="12"/>
        <v>1.7344766410408043</v>
      </c>
    </row>
    <row r="173" spans="1:14" x14ac:dyDescent="0.2">
      <c r="A173">
        <v>172</v>
      </c>
      <c r="B173">
        <f>LARGE(data!F:F,A173)</f>
        <v>0.67607116980000004</v>
      </c>
      <c r="C173">
        <f>COUNTIFS(data!D:D,data!$I$2,data!F:F,"&gt;="&amp;B173)</f>
        <v>126</v>
      </c>
      <c r="D173">
        <f>COUNTIFS(data!D:D,data!$J$2,data!F:F,"&gt;="&amp;B173)</f>
        <v>46</v>
      </c>
      <c r="E173">
        <f>COUNTIFS(data!D:D,data!$J$2,data!F:F,"&lt;"&amp;B173)</f>
        <v>677</v>
      </c>
      <c r="F173">
        <f>COUNTIFS(data!D:D,data!$I$2,data!F:F,"&lt;"&amp;B173)</f>
        <v>408</v>
      </c>
      <c r="G173">
        <f t="shared" si="13"/>
        <v>6.3623789764868599E-2</v>
      </c>
      <c r="H173">
        <f t="shared" si="14"/>
        <v>0.23595505617977527</v>
      </c>
      <c r="I173">
        <f t="shared" si="15"/>
        <v>3.2635554105086369E-4</v>
      </c>
      <c r="J173">
        <f t="shared" si="16"/>
        <v>0.73255813953488369</v>
      </c>
      <c r="K173">
        <f t="shared" si="17"/>
        <v>0.35694050991501414</v>
      </c>
      <c r="L173">
        <f>A173*COUNTIF(data!D:D,data!$I$2)/data!$L$2</f>
        <v>73.069212410501194</v>
      </c>
      <c r="M173" s="1">
        <f>A173/data!$L$2</f>
        <v>0.13683373110580749</v>
      </c>
      <c r="N173">
        <f t="shared" si="12"/>
        <v>1.7243924745231252</v>
      </c>
    </row>
    <row r="174" spans="1:14" x14ac:dyDescent="0.2">
      <c r="A174">
        <v>173</v>
      </c>
      <c r="B174">
        <f>LARGE(data!F:F,A174)</f>
        <v>0.67540789369999998</v>
      </c>
      <c r="C174">
        <f>COUNTIFS(data!D:D,data!$I$2,data!F:F,"&gt;="&amp;B174)</f>
        <v>128</v>
      </c>
      <c r="D174">
        <f>COUNTIFS(data!D:D,data!$J$2,data!F:F,"&gt;="&amp;B174)</f>
        <v>46</v>
      </c>
      <c r="E174">
        <f>COUNTIFS(data!D:D,data!$J$2,data!F:F,"&lt;"&amp;B174)</f>
        <v>677</v>
      </c>
      <c r="F174">
        <f>COUNTIFS(data!D:D,data!$I$2,data!F:F,"&lt;"&amp;B174)</f>
        <v>406</v>
      </c>
      <c r="G174">
        <f t="shared" si="13"/>
        <v>6.3623789764868599E-2</v>
      </c>
      <c r="H174">
        <f t="shared" si="14"/>
        <v>0.23970037453183521</v>
      </c>
      <c r="I174">
        <f t="shared" si="15"/>
        <v>0</v>
      </c>
      <c r="J174">
        <f t="shared" si="16"/>
        <v>0.73563218390804597</v>
      </c>
      <c r="K174">
        <f t="shared" si="17"/>
        <v>0.3615819209039548</v>
      </c>
      <c r="L174">
        <f>A174*COUNTIF(data!D:D,data!$I$2)/data!$L$2</f>
        <v>73.494033412887831</v>
      </c>
      <c r="M174" s="1">
        <f>A174/data!$L$2</f>
        <v>0.13762927605409706</v>
      </c>
      <c r="N174">
        <f t="shared" si="12"/>
        <v>1.741637981424953</v>
      </c>
    </row>
    <row r="175" spans="1:14" x14ac:dyDescent="0.2">
      <c r="A175">
        <v>174</v>
      </c>
      <c r="B175">
        <f>LARGE(data!F:F,A175)</f>
        <v>0.67540789369999998</v>
      </c>
      <c r="C175">
        <f>COUNTIFS(data!D:D,data!$I$2,data!F:F,"&gt;="&amp;B175)</f>
        <v>128</v>
      </c>
      <c r="D175">
        <f>COUNTIFS(data!D:D,data!$J$2,data!F:F,"&gt;="&amp;B175)</f>
        <v>46</v>
      </c>
      <c r="E175">
        <f>COUNTIFS(data!D:D,data!$J$2,data!F:F,"&lt;"&amp;B175)</f>
        <v>677</v>
      </c>
      <c r="F175">
        <f>COUNTIFS(data!D:D,data!$I$2,data!F:F,"&lt;"&amp;B175)</f>
        <v>406</v>
      </c>
      <c r="G175">
        <f t="shared" si="13"/>
        <v>6.3623789764868599E-2</v>
      </c>
      <c r="H175">
        <f t="shared" si="14"/>
        <v>0.23970037453183521</v>
      </c>
      <c r="I175">
        <f t="shared" si="15"/>
        <v>0</v>
      </c>
      <c r="J175">
        <f t="shared" si="16"/>
        <v>0.73563218390804597</v>
      </c>
      <c r="K175">
        <f t="shared" si="17"/>
        <v>0.3615819209039548</v>
      </c>
      <c r="L175">
        <f>A175*COUNTIF(data!D:D,data!$I$2)/data!$L$2</f>
        <v>73.918854415274467</v>
      </c>
      <c r="M175" s="1">
        <f>A175/data!$L$2</f>
        <v>0.13842482100238662</v>
      </c>
      <c r="N175">
        <f t="shared" si="12"/>
        <v>1.7316285677386025</v>
      </c>
    </row>
    <row r="176" spans="1:14" x14ac:dyDescent="0.2">
      <c r="A176">
        <v>175</v>
      </c>
      <c r="B176">
        <f>LARGE(data!F:F,A176)</f>
        <v>0.67326892589999998</v>
      </c>
      <c r="C176">
        <f>COUNTIFS(data!D:D,data!$I$2,data!F:F,"&gt;="&amp;B176)</f>
        <v>128</v>
      </c>
      <c r="D176">
        <f>COUNTIFS(data!D:D,data!$J$2,data!F:F,"&gt;="&amp;B176)</f>
        <v>47</v>
      </c>
      <c r="E176">
        <f>COUNTIFS(data!D:D,data!$J$2,data!F:F,"&lt;"&amp;B176)</f>
        <v>676</v>
      </c>
      <c r="F176">
        <f>COUNTIFS(data!D:D,data!$I$2,data!F:F,"&lt;"&amp;B176)</f>
        <v>406</v>
      </c>
      <c r="G176">
        <f t="shared" si="13"/>
        <v>6.5006915629322273E-2</v>
      </c>
      <c r="H176">
        <f t="shared" si="14"/>
        <v>0.23970037453183521</v>
      </c>
      <c r="I176">
        <f t="shared" si="15"/>
        <v>3.3153578773421406E-4</v>
      </c>
      <c r="J176">
        <f t="shared" si="16"/>
        <v>0.73142857142857143</v>
      </c>
      <c r="K176">
        <f t="shared" si="17"/>
        <v>0.36107193229901269</v>
      </c>
      <c r="L176">
        <f>A176*COUNTIF(data!D:D,data!$I$2)/data!$L$2</f>
        <v>74.343675417661103</v>
      </c>
      <c r="M176" s="1">
        <f>A176/data!$L$2</f>
        <v>0.13922036595067622</v>
      </c>
      <c r="N176">
        <f t="shared" si="12"/>
        <v>1.7217335473515247</v>
      </c>
    </row>
    <row r="177" spans="1:14" x14ac:dyDescent="0.2">
      <c r="A177">
        <v>176</v>
      </c>
      <c r="B177">
        <f>LARGE(data!F:F,A177)</f>
        <v>0.67102295079999996</v>
      </c>
      <c r="C177">
        <f>COUNTIFS(data!D:D,data!$I$2,data!F:F,"&gt;="&amp;B177)</f>
        <v>128</v>
      </c>
      <c r="D177">
        <f>COUNTIFS(data!D:D,data!$J$2,data!F:F,"&gt;="&amp;B177)</f>
        <v>48</v>
      </c>
      <c r="E177">
        <f>COUNTIFS(data!D:D,data!$J$2,data!F:F,"&lt;"&amp;B177)</f>
        <v>675</v>
      </c>
      <c r="F177">
        <f>COUNTIFS(data!D:D,data!$I$2,data!F:F,"&lt;"&amp;B177)</f>
        <v>406</v>
      </c>
      <c r="G177">
        <f t="shared" si="13"/>
        <v>6.6390041493775934E-2</v>
      </c>
      <c r="H177">
        <f t="shared" si="14"/>
        <v>0.23970037453183521</v>
      </c>
      <c r="I177">
        <f t="shared" si="15"/>
        <v>3.3153578773421075E-4</v>
      </c>
      <c r="J177">
        <f t="shared" si="16"/>
        <v>0.72727272727272729</v>
      </c>
      <c r="K177">
        <f t="shared" si="17"/>
        <v>0.36056338028169016</v>
      </c>
      <c r="L177">
        <f>A177*COUNTIF(data!D:D,data!$I$2)/data!$L$2</f>
        <v>74.76849642004774</v>
      </c>
      <c r="M177" s="1">
        <f>A177/data!$L$2</f>
        <v>0.14001591089896578</v>
      </c>
      <c r="N177">
        <f t="shared" si="12"/>
        <v>1.7119509703779365</v>
      </c>
    </row>
    <row r="178" spans="1:14" x14ac:dyDescent="0.2">
      <c r="A178">
        <v>177</v>
      </c>
      <c r="B178">
        <f>LARGE(data!F:F,A178)</f>
        <v>0.67083095209999999</v>
      </c>
      <c r="C178">
        <f>COUNTIFS(data!D:D,data!$I$2,data!F:F,"&gt;="&amp;B178)</f>
        <v>128</v>
      </c>
      <c r="D178">
        <f>COUNTIFS(data!D:D,data!$J$2,data!F:F,"&gt;="&amp;B178)</f>
        <v>49</v>
      </c>
      <c r="E178">
        <f>COUNTIFS(data!D:D,data!$J$2,data!F:F,"&lt;"&amp;B178)</f>
        <v>674</v>
      </c>
      <c r="F178">
        <f>COUNTIFS(data!D:D,data!$I$2,data!F:F,"&lt;"&amp;B178)</f>
        <v>406</v>
      </c>
      <c r="G178">
        <f t="shared" si="13"/>
        <v>6.7773167358229594E-2</v>
      </c>
      <c r="H178">
        <f t="shared" si="14"/>
        <v>0.23970037453183521</v>
      </c>
      <c r="I178">
        <f t="shared" si="15"/>
        <v>3.3153578773421075E-4</v>
      </c>
      <c r="J178">
        <f t="shared" si="16"/>
        <v>0.7231638418079096</v>
      </c>
      <c r="K178">
        <f t="shared" si="17"/>
        <v>0.36005625879043601</v>
      </c>
      <c r="L178">
        <f>A178*COUNTIF(data!D:D,data!$I$2)/data!$L$2</f>
        <v>75.193317422434362</v>
      </c>
      <c r="M178" s="1">
        <f>A178/data!$L$2</f>
        <v>0.14081145584725538</v>
      </c>
      <c r="N178">
        <f t="shared" si="12"/>
        <v>1.7022789309972706</v>
      </c>
    </row>
    <row r="179" spans="1:14" x14ac:dyDescent="0.2">
      <c r="A179">
        <v>178</v>
      </c>
      <c r="B179">
        <f>LARGE(data!F:F,A179)</f>
        <v>0.66956970029999996</v>
      </c>
      <c r="C179">
        <f>COUNTIFS(data!D:D,data!$I$2,data!F:F,"&gt;="&amp;B179)</f>
        <v>129</v>
      </c>
      <c r="D179">
        <f>COUNTIFS(data!D:D,data!$J$2,data!F:F,"&gt;="&amp;B179)</f>
        <v>49</v>
      </c>
      <c r="E179">
        <f>COUNTIFS(data!D:D,data!$J$2,data!F:F,"&lt;"&amp;B179)</f>
        <v>674</v>
      </c>
      <c r="F179">
        <f>COUNTIFS(data!D:D,data!$I$2,data!F:F,"&lt;"&amp;B179)</f>
        <v>405</v>
      </c>
      <c r="G179">
        <f t="shared" si="13"/>
        <v>6.7773167358229594E-2</v>
      </c>
      <c r="H179">
        <f t="shared" si="14"/>
        <v>0.24157303370786518</v>
      </c>
      <c r="I179">
        <f t="shared" si="15"/>
        <v>0</v>
      </c>
      <c r="J179">
        <f t="shared" si="16"/>
        <v>0.7247191011235955</v>
      </c>
      <c r="K179">
        <f t="shared" si="17"/>
        <v>0.36235955056179775</v>
      </c>
      <c r="L179">
        <f>A179*COUNTIF(data!D:D,data!$I$2)/data!$L$2</f>
        <v>75.618138424820998</v>
      </c>
      <c r="M179" s="1">
        <f>A179/data!$L$2</f>
        <v>0.14160700079554495</v>
      </c>
      <c r="N179">
        <f t="shared" si="12"/>
        <v>1.7059399065774525</v>
      </c>
    </row>
    <row r="180" spans="1:14" x14ac:dyDescent="0.2">
      <c r="A180">
        <v>179</v>
      </c>
      <c r="B180">
        <f>LARGE(data!F:F,A180)</f>
        <v>0.6693953976</v>
      </c>
      <c r="C180">
        <f>COUNTIFS(data!D:D,data!$I$2,data!F:F,"&gt;="&amp;B180)</f>
        <v>130</v>
      </c>
      <c r="D180">
        <f>COUNTIFS(data!D:D,data!$J$2,data!F:F,"&gt;="&amp;B180)</f>
        <v>49</v>
      </c>
      <c r="E180">
        <f>COUNTIFS(data!D:D,data!$J$2,data!F:F,"&lt;"&amp;B180)</f>
        <v>674</v>
      </c>
      <c r="F180">
        <f>COUNTIFS(data!D:D,data!$I$2,data!F:F,"&lt;"&amp;B180)</f>
        <v>404</v>
      </c>
      <c r="G180">
        <f t="shared" si="13"/>
        <v>6.7773167358229594E-2</v>
      </c>
      <c r="H180">
        <f t="shared" si="14"/>
        <v>0.24344569288389514</v>
      </c>
      <c r="I180">
        <f t="shared" si="15"/>
        <v>0</v>
      </c>
      <c r="J180">
        <f t="shared" si="16"/>
        <v>0.72625698324022347</v>
      </c>
      <c r="K180">
        <f t="shared" si="17"/>
        <v>0.36465638148667601</v>
      </c>
      <c r="L180">
        <f>A180*COUNTIF(data!D:D,data!$I$2)/data!$L$2</f>
        <v>76.042959427207634</v>
      </c>
      <c r="M180" s="1">
        <f>A180/data!$L$2</f>
        <v>0.14240254574383451</v>
      </c>
      <c r="N180">
        <f t="shared" si="12"/>
        <v>1.7095599774025485</v>
      </c>
    </row>
    <row r="181" spans="1:14" x14ac:dyDescent="0.2">
      <c r="A181">
        <v>180</v>
      </c>
      <c r="B181">
        <f>LARGE(data!F:F,A181)</f>
        <v>0.66880513320000001</v>
      </c>
      <c r="C181">
        <f>COUNTIFS(data!D:D,data!$I$2,data!F:F,"&gt;="&amp;B181)</f>
        <v>130</v>
      </c>
      <c r="D181">
        <f>COUNTIFS(data!D:D,data!$J$2,data!F:F,"&gt;="&amp;B181)</f>
        <v>50</v>
      </c>
      <c r="E181">
        <f>COUNTIFS(data!D:D,data!$J$2,data!F:F,"&lt;"&amp;B181)</f>
        <v>673</v>
      </c>
      <c r="F181">
        <f>COUNTIFS(data!D:D,data!$I$2,data!F:F,"&lt;"&amp;B181)</f>
        <v>404</v>
      </c>
      <c r="G181">
        <f t="shared" si="13"/>
        <v>6.9156293222683268E-2</v>
      </c>
      <c r="H181">
        <f t="shared" si="14"/>
        <v>0.24344569288389514</v>
      </c>
      <c r="I181">
        <f t="shared" si="15"/>
        <v>3.3671603441756117E-4</v>
      </c>
      <c r="J181">
        <f t="shared" si="16"/>
        <v>0.72222222222222221</v>
      </c>
      <c r="K181">
        <f t="shared" si="17"/>
        <v>0.36414565826330531</v>
      </c>
      <c r="L181">
        <f>A181*COUNTIF(data!D:D,data!$I$2)/data!$L$2</f>
        <v>76.467780429594271</v>
      </c>
      <c r="M181" s="1">
        <f>A181/data!$L$2</f>
        <v>0.14319809069212411</v>
      </c>
      <c r="N181">
        <f t="shared" si="12"/>
        <v>1.7000624219725344</v>
      </c>
    </row>
    <row r="182" spans="1:14" x14ac:dyDescent="0.2">
      <c r="A182">
        <v>181</v>
      </c>
      <c r="B182">
        <f>LARGE(data!F:F,A182)</f>
        <v>0.66699472339999999</v>
      </c>
      <c r="C182">
        <f>COUNTIFS(data!D:D,data!$I$2,data!F:F,"&gt;="&amp;B182)</f>
        <v>132</v>
      </c>
      <c r="D182">
        <f>COUNTIFS(data!D:D,data!$J$2,data!F:F,"&gt;="&amp;B182)</f>
        <v>50</v>
      </c>
      <c r="E182">
        <f>COUNTIFS(data!D:D,data!$J$2,data!F:F,"&lt;"&amp;B182)</f>
        <v>673</v>
      </c>
      <c r="F182">
        <f>COUNTIFS(data!D:D,data!$I$2,data!F:F,"&lt;"&amp;B182)</f>
        <v>402</v>
      </c>
      <c r="G182">
        <f t="shared" si="13"/>
        <v>6.9156293222683268E-2</v>
      </c>
      <c r="H182">
        <f t="shared" si="14"/>
        <v>0.24719101123595505</v>
      </c>
      <c r="I182">
        <f t="shared" si="15"/>
        <v>0</v>
      </c>
      <c r="J182">
        <f t="shared" si="16"/>
        <v>0.72527472527472525</v>
      </c>
      <c r="K182">
        <f t="shared" si="17"/>
        <v>0.36871508379888268</v>
      </c>
      <c r="L182">
        <f>A182*COUNTIF(data!D:D,data!$I$2)/data!$L$2</f>
        <v>76.892601431980907</v>
      </c>
      <c r="M182" s="1">
        <f>A182/data!$L$2</f>
        <v>0.14399363564041368</v>
      </c>
      <c r="N182">
        <f t="shared" si="12"/>
        <v>1.7166801167049475</v>
      </c>
    </row>
    <row r="183" spans="1:14" x14ac:dyDescent="0.2">
      <c r="A183">
        <v>182</v>
      </c>
      <c r="B183">
        <f>LARGE(data!F:F,A183)</f>
        <v>0.66699472339999999</v>
      </c>
      <c r="C183">
        <f>COUNTIFS(data!D:D,data!$I$2,data!F:F,"&gt;="&amp;B183)</f>
        <v>132</v>
      </c>
      <c r="D183">
        <f>COUNTIFS(data!D:D,data!$J$2,data!F:F,"&gt;="&amp;B183)</f>
        <v>50</v>
      </c>
      <c r="E183">
        <f>COUNTIFS(data!D:D,data!$J$2,data!F:F,"&lt;"&amp;B183)</f>
        <v>673</v>
      </c>
      <c r="F183">
        <f>COUNTIFS(data!D:D,data!$I$2,data!F:F,"&lt;"&amp;B183)</f>
        <v>402</v>
      </c>
      <c r="G183">
        <f t="shared" si="13"/>
        <v>6.9156293222683268E-2</v>
      </c>
      <c r="H183">
        <f t="shared" si="14"/>
        <v>0.24719101123595505</v>
      </c>
      <c r="I183">
        <f t="shared" si="15"/>
        <v>0</v>
      </c>
      <c r="J183">
        <f t="shared" si="16"/>
        <v>0.72527472527472525</v>
      </c>
      <c r="K183">
        <f t="shared" si="17"/>
        <v>0.36871508379888268</v>
      </c>
      <c r="L183">
        <f>A183*COUNTIF(data!D:D,data!$I$2)/data!$L$2</f>
        <v>77.317422434367543</v>
      </c>
      <c r="M183" s="1">
        <f>A183/data!$L$2</f>
        <v>0.14478918058870327</v>
      </c>
      <c r="N183">
        <f t="shared" si="12"/>
        <v>1.7072478083714038</v>
      </c>
    </row>
    <row r="184" spans="1:14" x14ac:dyDescent="0.2">
      <c r="A184">
        <v>183</v>
      </c>
      <c r="B184">
        <f>LARGE(data!F:F,A184)</f>
        <v>0.66575761069999995</v>
      </c>
      <c r="C184">
        <f>COUNTIFS(data!D:D,data!$I$2,data!F:F,"&gt;="&amp;B184)</f>
        <v>132</v>
      </c>
      <c r="D184">
        <f>COUNTIFS(data!D:D,data!$J$2,data!F:F,"&gt;="&amp;B184)</f>
        <v>51</v>
      </c>
      <c r="E184">
        <f>COUNTIFS(data!D:D,data!$J$2,data!F:F,"&lt;"&amp;B184)</f>
        <v>672</v>
      </c>
      <c r="F184">
        <f>COUNTIFS(data!D:D,data!$I$2,data!F:F,"&lt;"&amp;B184)</f>
        <v>402</v>
      </c>
      <c r="G184">
        <f t="shared" si="13"/>
        <v>7.0539419087136929E-2</v>
      </c>
      <c r="H184">
        <f t="shared" si="14"/>
        <v>0.24719101123595505</v>
      </c>
      <c r="I184">
        <f t="shared" si="15"/>
        <v>3.4189628110090482E-4</v>
      </c>
      <c r="J184">
        <f t="shared" si="16"/>
        <v>0.72131147540983609</v>
      </c>
      <c r="K184">
        <f t="shared" si="17"/>
        <v>0.36820083682008364</v>
      </c>
      <c r="L184">
        <f>A184*COUNTIF(data!D:D,data!$I$2)/data!$L$2</f>
        <v>77.74224343675418</v>
      </c>
      <c r="M184" s="1">
        <f>A184/data!$L$2</f>
        <v>0.14558472553699284</v>
      </c>
      <c r="N184">
        <f t="shared" si="12"/>
        <v>1.6979185853748389</v>
      </c>
    </row>
    <row r="185" spans="1:14" x14ac:dyDescent="0.2">
      <c r="A185">
        <v>184</v>
      </c>
      <c r="B185">
        <f>LARGE(data!F:F,A185)</f>
        <v>0.66532076579999999</v>
      </c>
      <c r="C185">
        <f>COUNTIFS(data!D:D,data!$I$2,data!F:F,"&gt;="&amp;B185)</f>
        <v>133</v>
      </c>
      <c r="D185">
        <f>COUNTIFS(data!D:D,data!$J$2,data!F:F,"&gt;="&amp;B185)</f>
        <v>51</v>
      </c>
      <c r="E185">
        <f>COUNTIFS(data!D:D,data!$J$2,data!F:F,"&lt;"&amp;B185)</f>
        <v>672</v>
      </c>
      <c r="F185">
        <f>COUNTIFS(data!D:D,data!$I$2,data!F:F,"&lt;"&amp;B185)</f>
        <v>401</v>
      </c>
      <c r="G185">
        <f t="shared" si="13"/>
        <v>7.0539419087136929E-2</v>
      </c>
      <c r="H185">
        <f t="shared" si="14"/>
        <v>0.24906367041198502</v>
      </c>
      <c r="I185">
        <f t="shared" si="15"/>
        <v>0</v>
      </c>
      <c r="J185">
        <f t="shared" si="16"/>
        <v>0.72282608695652173</v>
      </c>
      <c r="K185">
        <f t="shared" si="17"/>
        <v>0.37047353760445684</v>
      </c>
      <c r="L185">
        <f>A185*COUNTIF(data!D:D,data!$I$2)/data!$L$2</f>
        <v>78.167064439140816</v>
      </c>
      <c r="M185" s="1">
        <f>A185/data!$L$2</f>
        <v>0.14638027048528243</v>
      </c>
      <c r="N185">
        <f t="shared" si="12"/>
        <v>1.7014838788470932</v>
      </c>
    </row>
    <row r="186" spans="1:14" x14ac:dyDescent="0.2">
      <c r="A186">
        <v>185</v>
      </c>
      <c r="B186">
        <f>LARGE(data!F:F,A186)</f>
        <v>0.66452286039999997</v>
      </c>
      <c r="C186">
        <f>COUNTIFS(data!D:D,data!$I$2,data!F:F,"&gt;="&amp;B186)</f>
        <v>134</v>
      </c>
      <c r="D186">
        <f>COUNTIFS(data!D:D,data!$J$2,data!F:F,"&gt;="&amp;B186)</f>
        <v>51</v>
      </c>
      <c r="E186">
        <f>COUNTIFS(data!D:D,data!$J$2,data!F:F,"&lt;"&amp;B186)</f>
        <v>672</v>
      </c>
      <c r="F186">
        <f>COUNTIFS(data!D:D,data!$I$2,data!F:F,"&lt;"&amp;B186)</f>
        <v>400</v>
      </c>
      <c r="G186">
        <f t="shared" si="13"/>
        <v>7.0539419087136929E-2</v>
      </c>
      <c r="H186">
        <f t="shared" si="14"/>
        <v>0.25093632958801498</v>
      </c>
      <c r="I186">
        <f t="shared" si="15"/>
        <v>0</v>
      </c>
      <c r="J186">
        <f t="shared" si="16"/>
        <v>0.72432432432432436</v>
      </c>
      <c r="K186">
        <f t="shared" si="17"/>
        <v>0.37273991655076494</v>
      </c>
      <c r="L186">
        <f>A186*COUNTIF(data!D:D,data!$I$2)/data!$L$2</f>
        <v>78.591885441527452</v>
      </c>
      <c r="M186" s="1">
        <f>A186/data!$L$2</f>
        <v>0.147175815433572</v>
      </c>
      <c r="N186">
        <f t="shared" si="12"/>
        <v>1.7050106286061342</v>
      </c>
    </row>
    <row r="187" spans="1:14" x14ac:dyDescent="0.2">
      <c r="A187">
        <v>186</v>
      </c>
      <c r="B187">
        <f>LARGE(data!F:F,A187)</f>
        <v>0.66410577859999997</v>
      </c>
      <c r="C187">
        <f>COUNTIFS(data!D:D,data!$I$2,data!F:F,"&gt;="&amp;B187)</f>
        <v>134</v>
      </c>
      <c r="D187">
        <f>COUNTIFS(data!D:D,data!$J$2,data!F:F,"&gt;="&amp;B187)</f>
        <v>52</v>
      </c>
      <c r="E187">
        <f>COUNTIFS(data!D:D,data!$J$2,data!F:F,"&lt;"&amp;B187)</f>
        <v>671</v>
      </c>
      <c r="F187">
        <f>COUNTIFS(data!D:D,data!$I$2,data!F:F,"&lt;"&amp;B187)</f>
        <v>400</v>
      </c>
      <c r="G187">
        <f t="shared" si="13"/>
        <v>7.1922544951590589E-2</v>
      </c>
      <c r="H187">
        <f t="shared" si="14"/>
        <v>0.25093632958801498</v>
      </c>
      <c r="I187">
        <f t="shared" si="15"/>
        <v>3.4707652778425183E-4</v>
      </c>
      <c r="J187">
        <f t="shared" si="16"/>
        <v>0.72043010752688175</v>
      </c>
      <c r="K187">
        <f t="shared" si="17"/>
        <v>0.37222222222222223</v>
      </c>
      <c r="L187">
        <f>A187*COUNTIF(data!D:D,data!$I$2)/data!$L$2</f>
        <v>79.016706443914074</v>
      </c>
      <c r="M187" s="1">
        <f>A187/data!$L$2</f>
        <v>0.14797136038186157</v>
      </c>
      <c r="N187">
        <f t="shared" si="12"/>
        <v>1.695843904796424</v>
      </c>
    </row>
    <row r="188" spans="1:14" x14ac:dyDescent="0.2">
      <c r="A188">
        <v>187</v>
      </c>
      <c r="B188">
        <f>LARGE(data!F:F,A188)</f>
        <v>0.66392858460000004</v>
      </c>
      <c r="C188">
        <f>COUNTIFS(data!D:D,data!$I$2,data!F:F,"&gt;="&amp;B188)</f>
        <v>135</v>
      </c>
      <c r="D188">
        <f>COUNTIFS(data!D:D,data!$J$2,data!F:F,"&gt;="&amp;B188)</f>
        <v>52</v>
      </c>
      <c r="E188">
        <f>COUNTIFS(data!D:D,data!$J$2,data!F:F,"&lt;"&amp;B188)</f>
        <v>671</v>
      </c>
      <c r="F188">
        <f>COUNTIFS(data!D:D,data!$I$2,data!F:F,"&lt;"&amp;B188)</f>
        <v>399</v>
      </c>
      <c r="G188">
        <f t="shared" si="13"/>
        <v>7.1922544951590589E-2</v>
      </c>
      <c r="H188">
        <f t="shared" si="14"/>
        <v>0.25280898876404495</v>
      </c>
      <c r="I188">
        <f t="shared" si="15"/>
        <v>0</v>
      </c>
      <c r="J188">
        <f t="shared" si="16"/>
        <v>0.72192513368983957</v>
      </c>
      <c r="K188">
        <f t="shared" si="17"/>
        <v>0.37447988904299578</v>
      </c>
      <c r="L188">
        <f>A188*COUNTIF(data!D:D,data!$I$2)/data!$L$2</f>
        <v>79.441527446300711</v>
      </c>
      <c r="M188" s="1">
        <f>A188/data!$L$2</f>
        <v>0.14876690533015116</v>
      </c>
      <c r="N188">
        <f t="shared" si="12"/>
        <v>1.6993630955957462</v>
      </c>
    </row>
    <row r="189" spans="1:14" x14ac:dyDescent="0.2">
      <c r="A189">
        <v>188</v>
      </c>
      <c r="B189">
        <f>LARGE(data!F:F,A189)</f>
        <v>0.66225826229999996</v>
      </c>
      <c r="C189">
        <f>COUNTIFS(data!D:D,data!$I$2,data!F:F,"&gt;="&amp;B189)</f>
        <v>136</v>
      </c>
      <c r="D189">
        <f>COUNTIFS(data!D:D,data!$J$2,data!F:F,"&gt;="&amp;B189)</f>
        <v>52</v>
      </c>
      <c r="E189">
        <f>COUNTIFS(data!D:D,data!$J$2,data!F:F,"&lt;"&amp;B189)</f>
        <v>671</v>
      </c>
      <c r="F189">
        <f>COUNTIFS(data!D:D,data!$I$2,data!F:F,"&lt;"&amp;B189)</f>
        <v>398</v>
      </c>
      <c r="G189">
        <f t="shared" si="13"/>
        <v>7.1922544951590589E-2</v>
      </c>
      <c r="H189">
        <f t="shared" si="14"/>
        <v>0.25468164794007492</v>
      </c>
      <c r="I189">
        <f t="shared" si="15"/>
        <v>0</v>
      </c>
      <c r="J189">
        <f t="shared" si="16"/>
        <v>0.72340425531914898</v>
      </c>
      <c r="K189">
        <f t="shared" si="17"/>
        <v>0.37673130193905818</v>
      </c>
      <c r="L189">
        <f>A189*COUNTIF(data!D:D,data!$I$2)/data!$L$2</f>
        <v>79.866348448687347</v>
      </c>
      <c r="M189" s="1">
        <f>A189/data!$L$2</f>
        <v>0.14956245027844073</v>
      </c>
      <c r="N189">
        <f t="shared" si="12"/>
        <v>1.7028448481950753</v>
      </c>
    </row>
    <row r="190" spans="1:14" x14ac:dyDescent="0.2">
      <c r="A190">
        <v>189</v>
      </c>
      <c r="B190">
        <f>LARGE(data!F:F,A190)</f>
        <v>0.66145592399999997</v>
      </c>
      <c r="C190">
        <f>COUNTIFS(data!D:D,data!$I$2,data!F:F,"&gt;="&amp;B190)</f>
        <v>140</v>
      </c>
      <c r="D190">
        <f>COUNTIFS(data!D:D,data!$J$2,data!F:F,"&gt;="&amp;B190)</f>
        <v>52</v>
      </c>
      <c r="E190">
        <f>COUNTIFS(data!D:D,data!$J$2,data!F:F,"&lt;"&amp;B190)</f>
        <v>671</v>
      </c>
      <c r="F190">
        <f>COUNTIFS(data!D:D,data!$I$2,data!F:F,"&lt;"&amp;B190)</f>
        <v>394</v>
      </c>
      <c r="G190">
        <f t="shared" si="13"/>
        <v>7.1922544951590589E-2</v>
      </c>
      <c r="H190">
        <f t="shared" si="14"/>
        <v>0.26217228464419473</v>
      </c>
      <c r="I190">
        <f t="shared" si="15"/>
        <v>0</v>
      </c>
      <c r="J190">
        <f t="shared" si="16"/>
        <v>0.72916666666666663</v>
      </c>
      <c r="K190">
        <f t="shared" si="17"/>
        <v>0.38567493112947654</v>
      </c>
      <c r="L190">
        <f>A190*COUNTIF(data!D:D,data!$I$2)/data!$L$2</f>
        <v>80.291169451073984</v>
      </c>
      <c r="M190" s="1">
        <f>A190/data!$L$2</f>
        <v>0.15035799522673032</v>
      </c>
      <c r="N190">
        <f t="shared" si="12"/>
        <v>1.7436537661256764</v>
      </c>
    </row>
    <row r="191" spans="1:14" x14ac:dyDescent="0.2">
      <c r="A191">
        <v>190</v>
      </c>
      <c r="B191">
        <f>LARGE(data!F:F,A191)</f>
        <v>0.66145592399999997</v>
      </c>
      <c r="C191">
        <f>COUNTIFS(data!D:D,data!$I$2,data!F:F,"&gt;="&amp;B191)</f>
        <v>140</v>
      </c>
      <c r="D191">
        <f>COUNTIFS(data!D:D,data!$J$2,data!F:F,"&gt;="&amp;B191)</f>
        <v>52</v>
      </c>
      <c r="E191">
        <f>COUNTIFS(data!D:D,data!$J$2,data!F:F,"&lt;"&amp;B191)</f>
        <v>671</v>
      </c>
      <c r="F191">
        <f>COUNTIFS(data!D:D,data!$I$2,data!F:F,"&lt;"&amp;B191)</f>
        <v>394</v>
      </c>
      <c r="G191">
        <f t="shared" si="13"/>
        <v>7.1922544951590589E-2</v>
      </c>
      <c r="H191">
        <f t="shared" si="14"/>
        <v>0.26217228464419473</v>
      </c>
      <c r="I191">
        <f t="shared" si="15"/>
        <v>0</v>
      </c>
      <c r="J191">
        <f t="shared" si="16"/>
        <v>0.72916666666666663</v>
      </c>
      <c r="K191">
        <f t="shared" si="17"/>
        <v>0.38567493112947654</v>
      </c>
      <c r="L191">
        <f>A191*COUNTIF(data!D:D,data!$I$2)/data!$L$2</f>
        <v>80.71599045346062</v>
      </c>
      <c r="M191" s="1">
        <f>A191/data!$L$2</f>
        <v>0.15115354017501989</v>
      </c>
      <c r="N191">
        <f t="shared" si="12"/>
        <v>1.7344766410408043</v>
      </c>
    </row>
    <row r="192" spans="1:14" x14ac:dyDescent="0.2">
      <c r="A192">
        <v>191</v>
      </c>
      <c r="B192">
        <f>LARGE(data!F:F,A192)</f>
        <v>0.66145592399999997</v>
      </c>
      <c r="C192">
        <f>COUNTIFS(data!D:D,data!$I$2,data!F:F,"&gt;="&amp;B192)</f>
        <v>140</v>
      </c>
      <c r="D192">
        <f>COUNTIFS(data!D:D,data!$J$2,data!F:F,"&gt;="&amp;B192)</f>
        <v>52</v>
      </c>
      <c r="E192">
        <f>COUNTIFS(data!D:D,data!$J$2,data!F:F,"&lt;"&amp;B192)</f>
        <v>671</v>
      </c>
      <c r="F192">
        <f>COUNTIFS(data!D:D,data!$I$2,data!F:F,"&lt;"&amp;B192)</f>
        <v>394</v>
      </c>
      <c r="G192">
        <f t="shared" si="13"/>
        <v>7.1922544951590589E-2</v>
      </c>
      <c r="H192">
        <f t="shared" si="14"/>
        <v>0.26217228464419473</v>
      </c>
      <c r="I192">
        <f t="shared" si="15"/>
        <v>0</v>
      </c>
      <c r="J192">
        <f t="shared" si="16"/>
        <v>0.72916666666666663</v>
      </c>
      <c r="K192">
        <f t="shared" si="17"/>
        <v>0.38567493112947654</v>
      </c>
      <c r="L192">
        <f>A192*COUNTIF(data!D:D,data!$I$2)/data!$L$2</f>
        <v>81.140811455847256</v>
      </c>
      <c r="M192" s="1">
        <f>A192/data!$L$2</f>
        <v>0.15194908512330946</v>
      </c>
      <c r="N192">
        <f t="shared" si="12"/>
        <v>1.7253956115065592</v>
      </c>
    </row>
    <row r="193" spans="1:14" x14ac:dyDescent="0.2">
      <c r="A193">
        <v>192</v>
      </c>
      <c r="B193">
        <f>LARGE(data!F:F,A193)</f>
        <v>0.66145592399999997</v>
      </c>
      <c r="C193">
        <f>COUNTIFS(data!D:D,data!$I$2,data!F:F,"&gt;="&amp;B193)</f>
        <v>140</v>
      </c>
      <c r="D193">
        <f>COUNTIFS(data!D:D,data!$J$2,data!F:F,"&gt;="&amp;B193)</f>
        <v>52</v>
      </c>
      <c r="E193">
        <f>COUNTIFS(data!D:D,data!$J$2,data!F:F,"&lt;"&amp;B193)</f>
        <v>671</v>
      </c>
      <c r="F193">
        <f>COUNTIFS(data!D:D,data!$I$2,data!F:F,"&lt;"&amp;B193)</f>
        <v>394</v>
      </c>
      <c r="G193">
        <f t="shared" si="13"/>
        <v>7.1922544951590589E-2</v>
      </c>
      <c r="H193">
        <f t="shared" si="14"/>
        <v>0.26217228464419473</v>
      </c>
      <c r="I193">
        <f t="shared" si="15"/>
        <v>0</v>
      </c>
      <c r="J193">
        <f t="shared" si="16"/>
        <v>0.72916666666666663</v>
      </c>
      <c r="K193">
        <f t="shared" si="17"/>
        <v>0.38567493112947654</v>
      </c>
      <c r="L193">
        <f>A193*COUNTIF(data!D:D,data!$I$2)/data!$L$2</f>
        <v>81.565632458233893</v>
      </c>
      <c r="M193" s="1">
        <f>A193/data!$L$2</f>
        <v>0.15274463007159905</v>
      </c>
      <c r="N193">
        <f t="shared" si="12"/>
        <v>1.7164091760299625</v>
      </c>
    </row>
    <row r="194" spans="1:14" x14ac:dyDescent="0.2">
      <c r="A194">
        <v>193</v>
      </c>
      <c r="B194">
        <f>LARGE(data!F:F,A194)</f>
        <v>0.66078433660000002</v>
      </c>
      <c r="C194">
        <f>COUNTIFS(data!D:D,data!$I$2,data!F:F,"&gt;="&amp;B194)</f>
        <v>143</v>
      </c>
      <c r="D194">
        <f>COUNTIFS(data!D:D,data!$J$2,data!F:F,"&gt;="&amp;B194)</f>
        <v>52</v>
      </c>
      <c r="E194">
        <f>COUNTIFS(data!D:D,data!$J$2,data!F:F,"&lt;"&amp;B194)</f>
        <v>671</v>
      </c>
      <c r="F194">
        <f>COUNTIFS(data!D:D,data!$I$2,data!F:F,"&lt;"&amp;B194)</f>
        <v>391</v>
      </c>
      <c r="G194">
        <f t="shared" si="13"/>
        <v>7.1922544951590589E-2</v>
      </c>
      <c r="H194">
        <f t="shared" si="14"/>
        <v>0.26779026217228463</v>
      </c>
      <c r="I194">
        <f t="shared" si="15"/>
        <v>0</v>
      </c>
      <c r="J194">
        <f t="shared" si="16"/>
        <v>0.73333333333333328</v>
      </c>
      <c r="K194">
        <f t="shared" si="17"/>
        <v>0.39231824417009603</v>
      </c>
      <c r="L194">
        <f>A194*COUNTIF(data!D:D,data!$I$2)/data!$L$2</f>
        <v>81.990453460620529</v>
      </c>
      <c r="M194" s="1">
        <f>A194/data!$L$2</f>
        <v>0.15354017501988862</v>
      </c>
      <c r="N194">
        <f t="shared" ref="N194:N257" si="18">C194/L194</f>
        <v>1.7441054898992838</v>
      </c>
    </row>
    <row r="195" spans="1:14" x14ac:dyDescent="0.2">
      <c r="A195">
        <v>194</v>
      </c>
      <c r="B195">
        <f>LARGE(data!F:F,A195)</f>
        <v>0.66078433660000002</v>
      </c>
      <c r="C195">
        <f>COUNTIFS(data!D:D,data!$I$2,data!F:F,"&gt;="&amp;B195)</f>
        <v>143</v>
      </c>
      <c r="D195">
        <f>COUNTIFS(data!D:D,data!$J$2,data!F:F,"&gt;="&amp;B195)</f>
        <v>52</v>
      </c>
      <c r="E195">
        <f>COUNTIFS(data!D:D,data!$J$2,data!F:F,"&lt;"&amp;B195)</f>
        <v>671</v>
      </c>
      <c r="F195">
        <f>COUNTIFS(data!D:D,data!$I$2,data!F:F,"&lt;"&amp;B195)</f>
        <v>391</v>
      </c>
      <c r="G195">
        <f t="shared" ref="G195:G258" si="19">D195/(E195+D195)</f>
        <v>7.1922544951590589E-2</v>
      </c>
      <c r="H195">
        <f t="shared" ref="H195:H258" si="20">C195/(C195+F195)</f>
        <v>0.26779026217228463</v>
      </c>
      <c r="I195">
        <f t="shared" ref="I195:I258" si="21">(G195-G194)*(H195+H194)*0.5</f>
        <v>0</v>
      </c>
      <c r="J195">
        <f t="shared" ref="J195:J258" si="22">C195/(C195+D195)</f>
        <v>0.73333333333333328</v>
      </c>
      <c r="K195">
        <f t="shared" ref="K195:K258" si="23">2*J195*H195/(J195+H195)</f>
        <v>0.39231824417009603</v>
      </c>
      <c r="L195">
        <f>A195*COUNTIF(data!D:D,data!$I$2)/data!$L$2</f>
        <v>82.415274463007165</v>
      </c>
      <c r="M195" s="1">
        <f>A195/data!$L$2</f>
        <v>0.15433571996817821</v>
      </c>
      <c r="N195">
        <f t="shared" si="18"/>
        <v>1.7351152554152669</v>
      </c>
    </row>
    <row r="196" spans="1:14" x14ac:dyDescent="0.2">
      <c r="A196">
        <v>195</v>
      </c>
      <c r="B196">
        <f>LARGE(data!F:F,A196)</f>
        <v>0.66078433660000002</v>
      </c>
      <c r="C196">
        <f>COUNTIFS(data!D:D,data!$I$2,data!F:F,"&gt;="&amp;B196)</f>
        <v>143</v>
      </c>
      <c r="D196">
        <f>COUNTIFS(data!D:D,data!$J$2,data!F:F,"&gt;="&amp;B196)</f>
        <v>52</v>
      </c>
      <c r="E196">
        <f>COUNTIFS(data!D:D,data!$J$2,data!F:F,"&lt;"&amp;B196)</f>
        <v>671</v>
      </c>
      <c r="F196">
        <f>COUNTIFS(data!D:D,data!$I$2,data!F:F,"&lt;"&amp;B196)</f>
        <v>391</v>
      </c>
      <c r="G196">
        <f t="shared" si="19"/>
        <v>7.1922544951590589E-2</v>
      </c>
      <c r="H196">
        <f t="shared" si="20"/>
        <v>0.26779026217228463</v>
      </c>
      <c r="I196">
        <f t="shared" si="21"/>
        <v>0</v>
      </c>
      <c r="J196">
        <f t="shared" si="22"/>
        <v>0.73333333333333328</v>
      </c>
      <c r="K196">
        <f t="shared" si="23"/>
        <v>0.39231824417009603</v>
      </c>
      <c r="L196">
        <f>A196*COUNTIF(data!D:D,data!$I$2)/data!$L$2</f>
        <v>82.840095465393802</v>
      </c>
      <c r="M196" s="1">
        <f>A196/data!$L$2</f>
        <v>0.15513126491646778</v>
      </c>
      <c r="N196">
        <f t="shared" si="18"/>
        <v>1.7262172284644193</v>
      </c>
    </row>
    <row r="197" spans="1:14" x14ac:dyDescent="0.2">
      <c r="A197">
        <v>196</v>
      </c>
      <c r="B197">
        <f>LARGE(data!F:F,A197)</f>
        <v>0.65868292589999999</v>
      </c>
      <c r="C197">
        <f>COUNTIFS(data!D:D,data!$I$2,data!F:F,"&gt;="&amp;B197)</f>
        <v>144</v>
      </c>
      <c r="D197">
        <f>COUNTIFS(data!D:D,data!$J$2,data!F:F,"&gt;="&amp;B197)</f>
        <v>52</v>
      </c>
      <c r="E197">
        <f>COUNTIFS(data!D:D,data!$J$2,data!F:F,"&lt;"&amp;B197)</f>
        <v>671</v>
      </c>
      <c r="F197">
        <f>COUNTIFS(data!D:D,data!$I$2,data!F:F,"&lt;"&amp;B197)</f>
        <v>390</v>
      </c>
      <c r="G197">
        <f t="shared" si="19"/>
        <v>7.1922544951590589E-2</v>
      </c>
      <c r="H197">
        <f t="shared" si="20"/>
        <v>0.2696629213483146</v>
      </c>
      <c r="I197">
        <f t="shared" si="21"/>
        <v>0</v>
      </c>
      <c r="J197">
        <f t="shared" si="22"/>
        <v>0.73469387755102045</v>
      </c>
      <c r="K197">
        <f t="shared" si="23"/>
        <v>0.39452054794520547</v>
      </c>
      <c r="L197">
        <f>A197*COUNTIF(data!D:D,data!$I$2)/data!$L$2</f>
        <v>83.264916467780424</v>
      </c>
      <c r="M197" s="1">
        <f>A197/data!$L$2</f>
        <v>0.15592680986475735</v>
      </c>
      <c r="N197">
        <f t="shared" si="18"/>
        <v>1.7294198578307729</v>
      </c>
    </row>
    <row r="198" spans="1:14" x14ac:dyDescent="0.2">
      <c r="A198">
        <v>197</v>
      </c>
      <c r="B198">
        <f>LARGE(data!F:F,A198)</f>
        <v>0.65849096920000005</v>
      </c>
      <c r="C198">
        <f>COUNTIFS(data!D:D,data!$I$2,data!F:F,"&gt;="&amp;B198)</f>
        <v>146</v>
      </c>
      <c r="D198">
        <f>COUNTIFS(data!D:D,data!$J$2,data!F:F,"&gt;="&amp;B198)</f>
        <v>52</v>
      </c>
      <c r="E198">
        <f>COUNTIFS(data!D:D,data!$J$2,data!F:F,"&lt;"&amp;B198)</f>
        <v>671</v>
      </c>
      <c r="F198">
        <f>COUNTIFS(data!D:D,data!$I$2,data!F:F,"&lt;"&amp;B198)</f>
        <v>388</v>
      </c>
      <c r="G198">
        <f t="shared" si="19"/>
        <v>7.1922544951590589E-2</v>
      </c>
      <c r="H198">
        <f t="shared" si="20"/>
        <v>0.27340823970037453</v>
      </c>
      <c r="I198">
        <f t="shared" si="21"/>
        <v>0</v>
      </c>
      <c r="J198">
        <f t="shared" si="22"/>
        <v>0.73737373737373735</v>
      </c>
      <c r="K198">
        <f t="shared" si="23"/>
        <v>0.39890710382513656</v>
      </c>
      <c r="L198">
        <f>A198*COUNTIF(data!D:D,data!$I$2)/data!$L$2</f>
        <v>83.68973747016706</v>
      </c>
      <c r="M198" s="1">
        <f>A198/data!$L$2</f>
        <v>0.15672235481304694</v>
      </c>
      <c r="N198">
        <f t="shared" si="18"/>
        <v>1.7445388695602579</v>
      </c>
    </row>
    <row r="199" spans="1:14" x14ac:dyDescent="0.2">
      <c r="A199">
        <v>198</v>
      </c>
      <c r="B199">
        <f>LARGE(data!F:F,A199)</f>
        <v>0.65849096920000005</v>
      </c>
      <c r="C199">
        <f>COUNTIFS(data!D:D,data!$I$2,data!F:F,"&gt;="&amp;B199)</f>
        <v>146</v>
      </c>
      <c r="D199">
        <f>COUNTIFS(data!D:D,data!$J$2,data!F:F,"&gt;="&amp;B199)</f>
        <v>52</v>
      </c>
      <c r="E199">
        <f>COUNTIFS(data!D:D,data!$J$2,data!F:F,"&lt;"&amp;B199)</f>
        <v>671</v>
      </c>
      <c r="F199">
        <f>COUNTIFS(data!D:D,data!$I$2,data!F:F,"&lt;"&amp;B199)</f>
        <v>388</v>
      </c>
      <c r="G199">
        <f t="shared" si="19"/>
        <v>7.1922544951590589E-2</v>
      </c>
      <c r="H199">
        <f t="shared" si="20"/>
        <v>0.27340823970037453</v>
      </c>
      <c r="I199">
        <f t="shared" si="21"/>
        <v>0</v>
      </c>
      <c r="J199">
        <f t="shared" si="22"/>
        <v>0.73737373737373735</v>
      </c>
      <c r="K199">
        <f t="shared" si="23"/>
        <v>0.39890710382513656</v>
      </c>
      <c r="L199">
        <f>A199*COUNTIF(data!D:D,data!$I$2)/data!$L$2</f>
        <v>84.114558472553696</v>
      </c>
      <c r="M199" s="1">
        <f>A199/data!$L$2</f>
        <v>0.15751789976133651</v>
      </c>
      <c r="N199">
        <f t="shared" si="18"/>
        <v>1.7357280671887414</v>
      </c>
    </row>
    <row r="200" spans="1:14" x14ac:dyDescent="0.2">
      <c r="A200">
        <v>199</v>
      </c>
      <c r="B200">
        <f>LARGE(data!F:F,A200)</f>
        <v>0.65727897260000001</v>
      </c>
      <c r="C200">
        <f>COUNTIFS(data!D:D,data!$I$2,data!F:F,"&gt;="&amp;B200)</f>
        <v>147</v>
      </c>
      <c r="D200">
        <f>COUNTIFS(data!D:D,data!$J$2,data!F:F,"&gt;="&amp;B200)</f>
        <v>52</v>
      </c>
      <c r="E200">
        <f>COUNTIFS(data!D:D,data!$J$2,data!F:F,"&lt;"&amp;B200)</f>
        <v>671</v>
      </c>
      <c r="F200">
        <f>COUNTIFS(data!D:D,data!$I$2,data!F:F,"&lt;"&amp;B200)</f>
        <v>387</v>
      </c>
      <c r="G200">
        <f t="shared" si="19"/>
        <v>7.1922544951590589E-2</v>
      </c>
      <c r="H200">
        <f t="shared" si="20"/>
        <v>0.2752808988764045</v>
      </c>
      <c r="I200">
        <f t="shared" si="21"/>
        <v>0</v>
      </c>
      <c r="J200">
        <f t="shared" si="22"/>
        <v>0.7386934673366834</v>
      </c>
      <c r="K200">
        <f t="shared" si="23"/>
        <v>0.40109140518417458</v>
      </c>
      <c r="L200">
        <f>A200*COUNTIF(data!D:D,data!$I$2)/data!$L$2</f>
        <v>84.539379474940333</v>
      </c>
      <c r="M200" s="1">
        <f>A200/data!$L$2</f>
        <v>0.15831344470962611</v>
      </c>
      <c r="N200">
        <f t="shared" si="18"/>
        <v>1.738834622550957</v>
      </c>
    </row>
    <row r="201" spans="1:14" x14ac:dyDescent="0.2">
      <c r="A201">
        <v>200</v>
      </c>
      <c r="B201">
        <f>LARGE(data!F:F,A201)</f>
        <v>0.65719977939999996</v>
      </c>
      <c r="C201">
        <f>COUNTIFS(data!D:D,data!$I$2,data!F:F,"&gt;="&amp;B201)</f>
        <v>148</v>
      </c>
      <c r="D201">
        <f>COUNTIFS(data!D:D,data!$J$2,data!F:F,"&gt;="&amp;B201)</f>
        <v>52</v>
      </c>
      <c r="E201">
        <f>COUNTIFS(data!D:D,data!$J$2,data!F:F,"&lt;"&amp;B201)</f>
        <v>671</v>
      </c>
      <c r="F201">
        <f>COUNTIFS(data!D:D,data!$I$2,data!F:F,"&lt;"&amp;B201)</f>
        <v>386</v>
      </c>
      <c r="G201">
        <f t="shared" si="19"/>
        <v>7.1922544951590589E-2</v>
      </c>
      <c r="H201">
        <f t="shared" si="20"/>
        <v>0.27715355805243447</v>
      </c>
      <c r="I201">
        <f t="shared" si="21"/>
        <v>0</v>
      </c>
      <c r="J201">
        <f t="shared" si="22"/>
        <v>0.74</v>
      </c>
      <c r="K201">
        <f t="shared" si="23"/>
        <v>0.40326975476839239</v>
      </c>
      <c r="L201">
        <f>A201*COUNTIF(data!D:D,data!$I$2)/data!$L$2</f>
        <v>84.964200477326969</v>
      </c>
      <c r="M201" s="1">
        <f>A201/data!$L$2</f>
        <v>0.15910898965791567</v>
      </c>
      <c r="N201">
        <f t="shared" si="18"/>
        <v>1.7419101123595506</v>
      </c>
    </row>
    <row r="202" spans="1:14" x14ac:dyDescent="0.2">
      <c r="A202">
        <v>201</v>
      </c>
      <c r="B202">
        <f>LARGE(data!F:F,A202)</f>
        <v>0.65689289510000004</v>
      </c>
      <c r="C202">
        <f>COUNTIFS(data!D:D,data!$I$2,data!F:F,"&gt;="&amp;B202)</f>
        <v>149</v>
      </c>
      <c r="D202">
        <f>COUNTIFS(data!D:D,data!$J$2,data!F:F,"&gt;="&amp;B202)</f>
        <v>52</v>
      </c>
      <c r="E202">
        <f>COUNTIFS(data!D:D,data!$J$2,data!F:F,"&lt;"&amp;B202)</f>
        <v>671</v>
      </c>
      <c r="F202">
        <f>COUNTIFS(data!D:D,data!$I$2,data!F:F,"&lt;"&amp;B202)</f>
        <v>385</v>
      </c>
      <c r="G202">
        <f t="shared" si="19"/>
        <v>7.1922544951590589E-2</v>
      </c>
      <c r="H202">
        <f t="shared" si="20"/>
        <v>0.27902621722846443</v>
      </c>
      <c r="I202">
        <f t="shared" si="21"/>
        <v>0</v>
      </c>
      <c r="J202">
        <f t="shared" si="22"/>
        <v>0.74129353233830841</v>
      </c>
      <c r="K202">
        <f t="shared" si="23"/>
        <v>0.40544217687074835</v>
      </c>
      <c r="L202">
        <f>A202*COUNTIF(data!D:D,data!$I$2)/data!$L$2</f>
        <v>85.389021479713605</v>
      </c>
      <c r="M202" s="1">
        <f>A202/data!$L$2</f>
        <v>0.15990453460620524</v>
      </c>
      <c r="N202">
        <f t="shared" si="18"/>
        <v>1.7449550002795013</v>
      </c>
    </row>
    <row r="203" spans="1:14" x14ac:dyDescent="0.2">
      <c r="A203">
        <v>202</v>
      </c>
      <c r="B203">
        <f>LARGE(data!F:F,A203)</f>
        <v>0.65538017400000004</v>
      </c>
      <c r="C203">
        <f>COUNTIFS(data!D:D,data!$I$2,data!F:F,"&gt;="&amp;B203)</f>
        <v>150</v>
      </c>
      <c r="D203">
        <f>COUNTIFS(data!D:D,data!$J$2,data!F:F,"&gt;="&amp;B203)</f>
        <v>52</v>
      </c>
      <c r="E203">
        <f>COUNTIFS(data!D:D,data!$J$2,data!F:F,"&lt;"&amp;B203)</f>
        <v>671</v>
      </c>
      <c r="F203">
        <f>COUNTIFS(data!D:D,data!$I$2,data!F:F,"&lt;"&amp;B203)</f>
        <v>384</v>
      </c>
      <c r="G203">
        <f t="shared" si="19"/>
        <v>7.1922544951590589E-2</v>
      </c>
      <c r="H203">
        <f t="shared" si="20"/>
        <v>0.2808988764044944</v>
      </c>
      <c r="I203">
        <f t="shared" si="21"/>
        <v>0</v>
      </c>
      <c r="J203">
        <f t="shared" si="22"/>
        <v>0.74257425742574257</v>
      </c>
      <c r="K203">
        <f t="shared" si="23"/>
        <v>0.40760869565217389</v>
      </c>
      <c r="L203">
        <f>A203*COUNTIF(data!D:D,data!$I$2)/data!$L$2</f>
        <v>85.813842482100242</v>
      </c>
      <c r="M203" s="1">
        <f>A203/data!$L$2</f>
        <v>0.16070007955449483</v>
      </c>
      <c r="N203">
        <f t="shared" si="18"/>
        <v>1.747969740794304</v>
      </c>
    </row>
    <row r="204" spans="1:14" x14ac:dyDescent="0.2">
      <c r="A204">
        <v>203</v>
      </c>
      <c r="B204">
        <f>LARGE(data!F:F,A204)</f>
        <v>0.65205017570000001</v>
      </c>
      <c r="C204">
        <f>COUNTIFS(data!D:D,data!$I$2,data!F:F,"&gt;="&amp;B204)</f>
        <v>151</v>
      </c>
      <c r="D204">
        <f>COUNTIFS(data!D:D,data!$J$2,data!F:F,"&gt;="&amp;B204)</f>
        <v>52</v>
      </c>
      <c r="E204">
        <f>COUNTIFS(data!D:D,data!$J$2,data!F:F,"&lt;"&amp;B204)</f>
        <v>671</v>
      </c>
      <c r="F204">
        <f>COUNTIFS(data!D:D,data!$I$2,data!F:F,"&lt;"&amp;B204)</f>
        <v>383</v>
      </c>
      <c r="G204">
        <f t="shared" si="19"/>
        <v>7.1922544951590589E-2</v>
      </c>
      <c r="H204">
        <f t="shared" si="20"/>
        <v>0.28277153558052437</v>
      </c>
      <c r="I204">
        <f t="shared" si="21"/>
        <v>0</v>
      </c>
      <c r="J204">
        <f t="shared" si="22"/>
        <v>0.74384236453201968</v>
      </c>
      <c r="K204">
        <f t="shared" si="23"/>
        <v>0.40976933514246949</v>
      </c>
      <c r="L204">
        <f>A204*COUNTIF(data!D:D,data!$I$2)/data!$L$2</f>
        <v>86.238663484486878</v>
      </c>
      <c r="M204" s="1">
        <f>A204/data!$L$2</f>
        <v>0.1614956245027844</v>
      </c>
      <c r="N204">
        <f t="shared" si="18"/>
        <v>1.7509547794321136</v>
      </c>
    </row>
    <row r="205" spans="1:14" x14ac:dyDescent="0.2">
      <c r="A205">
        <v>204</v>
      </c>
      <c r="B205">
        <f>LARGE(data!F:F,A205)</f>
        <v>0.65201723</v>
      </c>
      <c r="C205">
        <f>COUNTIFS(data!D:D,data!$I$2,data!F:F,"&gt;="&amp;B205)</f>
        <v>153</v>
      </c>
      <c r="D205">
        <f>COUNTIFS(data!D:D,data!$J$2,data!F:F,"&gt;="&amp;B205)</f>
        <v>52</v>
      </c>
      <c r="E205">
        <f>COUNTIFS(data!D:D,data!$J$2,data!F:F,"&lt;"&amp;B205)</f>
        <v>671</v>
      </c>
      <c r="F205">
        <f>COUNTIFS(data!D:D,data!$I$2,data!F:F,"&lt;"&amp;B205)</f>
        <v>381</v>
      </c>
      <c r="G205">
        <f t="shared" si="19"/>
        <v>7.1922544951590589E-2</v>
      </c>
      <c r="H205">
        <f t="shared" si="20"/>
        <v>0.28651685393258425</v>
      </c>
      <c r="I205">
        <f t="shared" si="21"/>
        <v>0</v>
      </c>
      <c r="J205">
        <f t="shared" si="22"/>
        <v>0.74634146341463414</v>
      </c>
      <c r="K205">
        <f t="shared" si="23"/>
        <v>0.41407307171853858</v>
      </c>
      <c r="L205">
        <f>A205*COUNTIF(data!D:D,data!$I$2)/data!$L$2</f>
        <v>86.663484486873514</v>
      </c>
      <c r="M205" s="1">
        <f>A205/data!$L$2</f>
        <v>0.162291169451074</v>
      </c>
      <c r="N205">
        <f t="shared" si="18"/>
        <v>1.765449438202247</v>
      </c>
    </row>
    <row r="206" spans="1:14" x14ac:dyDescent="0.2">
      <c r="A206">
        <v>205</v>
      </c>
      <c r="B206">
        <f>LARGE(data!F:F,A206)</f>
        <v>0.65201723</v>
      </c>
      <c r="C206">
        <f>COUNTIFS(data!D:D,data!$I$2,data!F:F,"&gt;="&amp;B206)</f>
        <v>153</v>
      </c>
      <c r="D206">
        <f>COUNTIFS(data!D:D,data!$J$2,data!F:F,"&gt;="&amp;B206)</f>
        <v>52</v>
      </c>
      <c r="E206">
        <f>COUNTIFS(data!D:D,data!$J$2,data!F:F,"&lt;"&amp;B206)</f>
        <v>671</v>
      </c>
      <c r="F206">
        <f>COUNTIFS(data!D:D,data!$I$2,data!F:F,"&lt;"&amp;B206)</f>
        <v>381</v>
      </c>
      <c r="G206">
        <f t="shared" si="19"/>
        <v>7.1922544951590589E-2</v>
      </c>
      <c r="H206">
        <f t="shared" si="20"/>
        <v>0.28651685393258425</v>
      </c>
      <c r="I206">
        <f t="shared" si="21"/>
        <v>0</v>
      </c>
      <c r="J206">
        <f t="shared" si="22"/>
        <v>0.74634146341463414</v>
      </c>
      <c r="K206">
        <f t="shared" si="23"/>
        <v>0.41407307171853858</v>
      </c>
      <c r="L206">
        <f>A206*COUNTIF(data!D:D,data!$I$2)/data!$L$2</f>
        <v>87.088305489260136</v>
      </c>
      <c r="M206" s="1">
        <f>A206/data!$L$2</f>
        <v>0.16308671439936356</v>
      </c>
      <c r="N206">
        <f t="shared" si="18"/>
        <v>1.756837489723212</v>
      </c>
    </row>
    <row r="207" spans="1:14" x14ac:dyDescent="0.2">
      <c r="A207">
        <v>206</v>
      </c>
      <c r="B207">
        <f>LARGE(data!F:F,A207)</f>
        <v>0.65000931380000004</v>
      </c>
      <c r="C207">
        <f>COUNTIFS(data!D:D,data!$I$2,data!F:F,"&gt;="&amp;B207)</f>
        <v>154</v>
      </c>
      <c r="D207">
        <f>COUNTIFS(data!D:D,data!$J$2,data!F:F,"&gt;="&amp;B207)</f>
        <v>52</v>
      </c>
      <c r="E207">
        <f>COUNTIFS(data!D:D,data!$J$2,data!F:F,"&lt;"&amp;B207)</f>
        <v>671</v>
      </c>
      <c r="F207">
        <f>COUNTIFS(data!D:D,data!$I$2,data!F:F,"&lt;"&amp;B207)</f>
        <v>380</v>
      </c>
      <c r="G207">
        <f t="shared" si="19"/>
        <v>7.1922544951590589E-2</v>
      </c>
      <c r="H207">
        <f t="shared" si="20"/>
        <v>0.28838951310861421</v>
      </c>
      <c r="I207">
        <f t="shared" si="21"/>
        <v>0</v>
      </c>
      <c r="J207">
        <f t="shared" si="22"/>
        <v>0.74757281553398058</v>
      </c>
      <c r="K207">
        <f t="shared" si="23"/>
        <v>0.41621621621621618</v>
      </c>
      <c r="L207">
        <f>A207*COUNTIF(data!D:D,data!$I$2)/data!$L$2</f>
        <v>87.513126491646773</v>
      </c>
      <c r="M207" s="1">
        <f>A207/data!$L$2</f>
        <v>0.16388225934765313</v>
      </c>
      <c r="N207">
        <f t="shared" si="18"/>
        <v>1.759736009599651</v>
      </c>
    </row>
    <row r="208" spans="1:14" x14ac:dyDescent="0.2">
      <c r="A208">
        <v>207</v>
      </c>
      <c r="B208">
        <f>LARGE(data!F:F,A208)</f>
        <v>0.64993972320000004</v>
      </c>
      <c r="C208">
        <f>COUNTIFS(data!D:D,data!$I$2,data!F:F,"&gt;="&amp;B208)</f>
        <v>155</v>
      </c>
      <c r="D208">
        <f>COUNTIFS(data!D:D,data!$J$2,data!F:F,"&gt;="&amp;B208)</f>
        <v>52</v>
      </c>
      <c r="E208">
        <f>COUNTIFS(data!D:D,data!$J$2,data!F:F,"&lt;"&amp;B208)</f>
        <v>671</v>
      </c>
      <c r="F208">
        <f>COUNTIFS(data!D:D,data!$I$2,data!F:F,"&lt;"&amp;B208)</f>
        <v>379</v>
      </c>
      <c r="G208">
        <f t="shared" si="19"/>
        <v>7.1922544951590589E-2</v>
      </c>
      <c r="H208">
        <f t="shared" si="20"/>
        <v>0.29026217228464418</v>
      </c>
      <c r="I208">
        <f t="shared" si="21"/>
        <v>0</v>
      </c>
      <c r="J208">
        <f t="shared" si="22"/>
        <v>0.74879227053140096</v>
      </c>
      <c r="K208">
        <f t="shared" si="23"/>
        <v>0.4183535762483131</v>
      </c>
      <c r="L208">
        <f>A208*COUNTIF(data!D:D,data!$I$2)/data!$L$2</f>
        <v>87.937947494033409</v>
      </c>
      <c r="M208" s="1">
        <f>A208/data!$L$2</f>
        <v>0.16467780429594273</v>
      </c>
      <c r="N208">
        <f t="shared" si="18"/>
        <v>1.7626065244531293</v>
      </c>
    </row>
    <row r="209" spans="1:14" x14ac:dyDescent="0.2">
      <c r="A209">
        <v>208</v>
      </c>
      <c r="B209">
        <f>LARGE(data!F:F,A209)</f>
        <v>0.64744669440000002</v>
      </c>
      <c r="C209">
        <f>COUNTIFS(data!D:D,data!$I$2,data!F:F,"&gt;="&amp;B209)</f>
        <v>156</v>
      </c>
      <c r="D209">
        <f>COUNTIFS(data!D:D,data!$J$2,data!F:F,"&gt;="&amp;B209)</f>
        <v>52</v>
      </c>
      <c r="E209">
        <f>COUNTIFS(data!D:D,data!$J$2,data!F:F,"&lt;"&amp;B209)</f>
        <v>671</v>
      </c>
      <c r="F209">
        <f>COUNTIFS(data!D:D,data!$I$2,data!F:F,"&lt;"&amp;B209)</f>
        <v>378</v>
      </c>
      <c r="G209">
        <f t="shared" si="19"/>
        <v>7.1922544951590589E-2</v>
      </c>
      <c r="H209">
        <f t="shared" si="20"/>
        <v>0.29213483146067415</v>
      </c>
      <c r="I209">
        <f t="shared" si="21"/>
        <v>0</v>
      </c>
      <c r="J209">
        <f t="shared" si="22"/>
        <v>0.75</v>
      </c>
      <c r="K209">
        <f t="shared" si="23"/>
        <v>0.42048517520215628</v>
      </c>
      <c r="L209">
        <f>A209*COUNTIF(data!D:D,data!$I$2)/data!$L$2</f>
        <v>88.362768496420045</v>
      </c>
      <c r="M209" s="1">
        <f>A209/data!$L$2</f>
        <v>0.16547334924423229</v>
      </c>
      <c r="N209">
        <f t="shared" si="18"/>
        <v>1.7654494382022472</v>
      </c>
    </row>
    <row r="210" spans="1:14" x14ac:dyDescent="0.2">
      <c r="A210">
        <v>209</v>
      </c>
      <c r="B210">
        <f>LARGE(data!F:F,A210)</f>
        <v>0.64474336109999997</v>
      </c>
      <c r="C210">
        <f>COUNTIFS(data!D:D,data!$I$2,data!F:F,"&gt;="&amp;B210)</f>
        <v>156</v>
      </c>
      <c r="D210">
        <f>COUNTIFS(data!D:D,data!$J$2,data!F:F,"&gt;="&amp;B210)</f>
        <v>53</v>
      </c>
      <c r="E210">
        <f>COUNTIFS(data!D:D,data!$J$2,data!F:F,"&lt;"&amp;B210)</f>
        <v>670</v>
      </c>
      <c r="F210">
        <f>COUNTIFS(data!D:D,data!$I$2,data!F:F,"&lt;"&amp;B210)</f>
        <v>378</v>
      </c>
      <c r="G210">
        <f t="shared" si="19"/>
        <v>7.3305670816044263E-2</v>
      </c>
      <c r="H210">
        <f t="shared" si="20"/>
        <v>0.29213483146067415</v>
      </c>
      <c r="I210">
        <f t="shared" si="21"/>
        <v>4.0405924130107338E-4</v>
      </c>
      <c r="J210">
        <f t="shared" si="22"/>
        <v>0.74641148325358853</v>
      </c>
      <c r="K210">
        <f t="shared" si="23"/>
        <v>0.41991924629878874</v>
      </c>
      <c r="L210">
        <f>A210*COUNTIF(data!D:D,data!$I$2)/data!$L$2</f>
        <v>88.787589498806682</v>
      </c>
      <c r="M210" s="1">
        <f>A210/data!$L$2</f>
        <v>0.16626889419252189</v>
      </c>
      <c r="N210">
        <f t="shared" si="18"/>
        <v>1.7570023117036719</v>
      </c>
    </row>
    <row r="211" spans="1:14" x14ac:dyDescent="0.2">
      <c r="A211">
        <v>210</v>
      </c>
      <c r="B211">
        <f>LARGE(data!F:F,A211)</f>
        <v>0.64462150220000003</v>
      </c>
      <c r="C211">
        <f>COUNTIFS(data!D:D,data!$I$2,data!F:F,"&gt;="&amp;B211)</f>
        <v>157</v>
      </c>
      <c r="D211">
        <f>COUNTIFS(data!D:D,data!$J$2,data!F:F,"&gt;="&amp;B211)</f>
        <v>53</v>
      </c>
      <c r="E211">
        <f>COUNTIFS(data!D:D,data!$J$2,data!F:F,"&lt;"&amp;B211)</f>
        <v>670</v>
      </c>
      <c r="F211">
        <f>COUNTIFS(data!D:D,data!$I$2,data!F:F,"&lt;"&amp;B211)</f>
        <v>377</v>
      </c>
      <c r="G211">
        <f t="shared" si="19"/>
        <v>7.3305670816044263E-2</v>
      </c>
      <c r="H211">
        <f t="shared" si="20"/>
        <v>0.29400749063670412</v>
      </c>
      <c r="I211">
        <f t="shared" si="21"/>
        <v>0</v>
      </c>
      <c r="J211">
        <f t="shared" si="22"/>
        <v>0.74761904761904763</v>
      </c>
      <c r="K211">
        <f t="shared" si="23"/>
        <v>0.42204301075268819</v>
      </c>
      <c r="L211">
        <f>A211*COUNTIF(data!D:D,data!$I$2)/data!$L$2</f>
        <v>89.212410501193318</v>
      </c>
      <c r="M211" s="1">
        <f>A211/data!$L$2</f>
        <v>0.16706443914081145</v>
      </c>
      <c r="N211">
        <f t="shared" si="18"/>
        <v>1.759844836811129</v>
      </c>
    </row>
    <row r="212" spans="1:14" x14ac:dyDescent="0.2">
      <c r="A212">
        <v>211</v>
      </c>
      <c r="B212">
        <f>LARGE(data!F:F,A212)</f>
        <v>0.64328095750000003</v>
      </c>
      <c r="C212">
        <f>COUNTIFS(data!D:D,data!$I$2,data!F:F,"&gt;="&amp;B212)</f>
        <v>158</v>
      </c>
      <c r="D212">
        <f>COUNTIFS(data!D:D,data!$J$2,data!F:F,"&gt;="&amp;B212)</f>
        <v>53</v>
      </c>
      <c r="E212">
        <f>COUNTIFS(data!D:D,data!$J$2,data!F:F,"&lt;"&amp;B212)</f>
        <v>670</v>
      </c>
      <c r="F212">
        <f>COUNTIFS(data!D:D,data!$I$2,data!F:F,"&lt;"&amp;B212)</f>
        <v>376</v>
      </c>
      <c r="G212">
        <f t="shared" si="19"/>
        <v>7.3305670816044263E-2</v>
      </c>
      <c r="H212">
        <f t="shared" si="20"/>
        <v>0.29588014981273408</v>
      </c>
      <c r="I212">
        <f t="shared" si="21"/>
        <v>0</v>
      </c>
      <c r="J212">
        <f t="shared" si="22"/>
        <v>0.74881516587677721</v>
      </c>
      <c r="K212">
        <f t="shared" si="23"/>
        <v>0.42416107382550333</v>
      </c>
      <c r="L212">
        <f>A212*COUNTIF(data!D:D,data!$I$2)/data!$L$2</f>
        <v>89.637231503579955</v>
      </c>
      <c r="M212" s="1">
        <f>A212/data!$L$2</f>
        <v>0.16785998408910102</v>
      </c>
      <c r="N212">
        <f t="shared" si="18"/>
        <v>1.7626604185526384</v>
      </c>
    </row>
    <row r="213" spans="1:14" x14ac:dyDescent="0.2">
      <c r="A213">
        <v>212</v>
      </c>
      <c r="B213">
        <f>LARGE(data!F:F,A213)</f>
        <v>0.63991125010000005</v>
      </c>
      <c r="C213">
        <f>COUNTIFS(data!D:D,data!$I$2,data!F:F,"&gt;="&amp;B213)</f>
        <v>158</v>
      </c>
      <c r="D213">
        <f>COUNTIFS(data!D:D,data!$J$2,data!F:F,"&gt;="&amp;B213)</f>
        <v>54</v>
      </c>
      <c r="E213">
        <f>COUNTIFS(data!D:D,data!$J$2,data!F:F,"&lt;"&amp;B213)</f>
        <v>669</v>
      </c>
      <c r="F213">
        <f>COUNTIFS(data!D:D,data!$I$2,data!F:F,"&lt;"&amp;B213)</f>
        <v>376</v>
      </c>
      <c r="G213">
        <f t="shared" si="19"/>
        <v>7.4688796680497924E-2</v>
      </c>
      <c r="H213">
        <f t="shared" si="20"/>
        <v>0.29588014981273408</v>
      </c>
      <c r="I213">
        <f t="shared" si="21"/>
        <v>4.0923948798441637E-4</v>
      </c>
      <c r="J213">
        <f t="shared" si="22"/>
        <v>0.74528301886792447</v>
      </c>
      <c r="K213">
        <f t="shared" si="23"/>
        <v>0.42359249329758708</v>
      </c>
      <c r="L213">
        <f>A213*COUNTIF(data!D:D,data!$I$2)/data!$L$2</f>
        <v>90.062052505966591</v>
      </c>
      <c r="M213" s="1">
        <f>A213/data!$L$2</f>
        <v>0.16865552903739062</v>
      </c>
      <c r="N213">
        <f t="shared" si="18"/>
        <v>1.7543459826160694</v>
      </c>
    </row>
    <row r="214" spans="1:14" x14ac:dyDescent="0.2">
      <c r="A214">
        <v>213</v>
      </c>
      <c r="B214">
        <f>LARGE(data!F:F,A214)</f>
        <v>0.6396878668</v>
      </c>
      <c r="C214">
        <f>COUNTIFS(data!D:D,data!$I$2,data!F:F,"&gt;="&amp;B214)</f>
        <v>158</v>
      </c>
      <c r="D214">
        <f>COUNTIFS(data!D:D,data!$J$2,data!F:F,"&gt;="&amp;B214)</f>
        <v>55</v>
      </c>
      <c r="E214">
        <f>COUNTIFS(data!D:D,data!$J$2,data!F:F,"&lt;"&amp;B214)</f>
        <v>668</v>
      </c>
      <c r="F214">
        <f>COUNTIFS(data!D:D,data!$I$2,data!F:F,"&lt;"&amp;B214)</f>
        <v>376</v>
      </c>
      <c r="G214">
        <f t="shared" si="19"/>
        <v>7.6071922544951584E-2</v>
      </c>
      <c r="H214">
        <f t="shared" si="20"/>
        <v>0.29588014981273408</v>
      </c>
      <c r="I214">
        <f t="shared" si="21"/>
        <v>4.0923948798441637E-4</v>
      </c>
      <c r="J214">
        <f t="shared" si="22"/>
        <v>0.74178403755868549</v>
      </c>
      <c r="K214">
        <f t="shared" si="23"/>
        <v>0.42302543507362783</v>
      </c>
      <c r="L214">
        <f>A214*COUNTIF(data!D:D,data!$I$2)/data!$L$2</f>
        <v>90.486873508353227</v>
      </c>
      <c r="M214" s="1">
        <f>A214/data!$L$2</f>
        <v>0.16945107398568018</v>
      </c>
      <c r="N214">
        <f t="shared" si="18"/>
        <v>1.746109616500501</v>
      </c>
    </row>
    <row r="215" spans="1:14" x14ac:dyDescent="0.2">
      <c r="A215">
        <v>214</v>
      </c>
      <c r="B215">
        <f>LARGE(data!F:F,A215)</f>
        <v>0.63858940649999996</v>
      </c>
      <c r="C215">
        <f>COUNTIFS(data!D:D,data!$I$2,data!F:F,"&gt;="&amp;B215)</f>
        <v>159</v>
      </c>
      <c r="D215">
        <f>COUNTIFS(data!D:D,data!$J$2,data!F:F,"&gt;="&amp;B215)</f>
        <v>55</v>
      </c>
      <c r="E215">
        <f>COUNTIFS(data!D:D,data!$J$2,data!F:F,"&lt;"&amp;B215)</f>
        <v>668</v>
      </c>
      <c r="F215">
        <f>COUNTIFS(data!D:D,data!$I$2,data!F:F,"&lt;"&amp;B215)</f>
        <v>375</v>
      </c>
      <c r="G215">
        <f t="shared" si="19"/>
        <v>7.6071922544951584E-2</v>
      </c>
      <c r="H215">
        <f t="shared" si="20"/>
        <v>0.29775280898876405</v>
      </c>
      <c r="I215">
        <f t="shared" si="21"/>
        <v>0</v>
      </c>
      <c r="J215">
        <f t="shared" si="22"/>
        <v>0.7429906542056075</v>
      </c>
      <c r="K215">
        <f t="shared" si="23"/>
        <v>0.42513368983957223</v>
      </c>
      <c r="L215">
        <f>A215*COUNTIF(data!D:D,data!$I$2)/data!$L$2</f>
        <v>90.911694510739864</v>
      </c>
      <c r="M215" s="1">
        <f>A215/data!$L$2</f>
        <v>0.17024661893396978</v>
      </c>
      <c r="N215">
        <f t="shared" si="18"/>
        <v>1.7489499107424129</v>
      </c>
    </row>
    <row r="216" spans="1:14" x14ac:dyDescent="0.2">
      <c r="A216">
        <v>215</v>
      </c>
      <c r="B216">
        <f>LARGE(data!F:F,A216)</f>
        <v>0.63822999390000001</v>
      </c>
      <c r="C216">
        <f>COUNTIFS(data!D:D,data!$I$2,data!F:F,"&gt;="&amp;B216)</f>
        <v>161</v>
      </c>
      <c r="D216">
        <f>COUNTIFS(data!D:D,data!$J$2,data!F:F,"&gt;="&amp;B216)</f>
        <v>55</v>
      </c>
      <c r="E216">
        <f>COUNTIFS(data!D:D,data!$J$2,data!F:F,"&lt;"&amp;B216)</f>
        <v>668</v>
      </c>
      <c r="F216">
        <f>COUNTIFS(data!D:D,data!$I$2,data!F:F,"&lt;"&amp;B216)</f>
        <v>373</v>
      </c>
      <c r="G216">
        <f t="shared" si="19"/>
        <v>7.6071922544951584E-2</v>
      </c>
      <c r="H216">
        <f t="shared" si="20"/>
        <v>0.30149812734082398</v>
      </c>
      <c r="I216">
        <f t="shared" si="21"/>
        <v>0</v>
      </c>
      <c r="J216">
        <f t="shared" si="22"/>
        <v>0.74537037037037035</v>
      </c>
      <c r="K216">
        <f t="shared" si="23"/>
        <v>0.42933333333333329</v>
      </c>
      <c r="L216">
        <f>A216*COUNTIF(data!D:D,data!$I$2)/data!$L$2</f>
        <v>91.336515513126486</v>
      </c>
      <c r="M216" s="1">
        <f>A216/data!$L$2</f>
        <v>0.17104216388225935</v>
      </c>
      <c r="N216">
        <f t="shared" si="18"/>
        <v>1.7627123072903059</v>
      </c>
    </row>
    <row r="217" spans="1:14" x14ac:dyDescent="0.2">
      <c r="A217">
        <v>216</v>
      </c>
      <c r="B217">
        <f>LARGE(data!F:F,A217)</f>
        <v>0.63822999390000001</v>
      </c>
      <c r="C217">
        <f>COUNTIFS(data!D:D,data!$I$2,data!F:F,"&gt;="&amp;B217)</f>
        <v>161</v>
      </c>
      <c r="D217">
        <f>COUNTIFS(data!D:D,data!$J$2,data!F:F,"&gt;="&amp;B217)</f>
        <v>55</v>
      </c>
      <c r="E217">
        <f>COUNTIFS(data!D:D,data!$J$2,data!F:F,"&lt;"&amp;B217)</f>
        <v>668</v>
      </c>
      <c r="F217">
        <f>COUNTIFS(data!D:D,data!$I$2,data!F:F,"&lt;"&amp;B217)</f>
        <v>373</v>
      </c>
      <c r="G217">
        <f t="shared" si="19"/>
        <v>7.6071922544951584E-2</v>
      </c>
      <c r="H217">
        <f t="shared" si="20"/>
        <v>0.30149812734082398</v>
      </c>
      <c r="I217">
        <f t="shared" si="21"/>
        <v>0</v>
      </c>
      <c r="J217">
        <f t="shared" si="22"/>
        <v>0.74537037037037035</v>
      </c>
      <c r="K217">
        <f t="shared" si="23"/>
        <v>0.42933333333333329</v>
      </c>
      <c r="L217">
        <f>A217*COUNTIF(data!D:D,data!$I$2)/data!$L$2</f>
        <v>91.761336515513122</v>
      </c>
      <c r="M217" s="1">
        <f>A217/data!$L$2</f>
        <v>0.17183770883054891</v>
      </c>
      <c r="N217">
        <f t="shared" si="18"/>
        <v>1.7545516021639618</v>
      </c>
    </row>
    <row r="218" spans="1:14" x14ac:dyDescent="0.2">
      <c r="A218">
        <v>217</v>
      </c>
      <c r="B218">
        <f>LARGE(data!F:F,A218)</f>
        <v>0.63815688729999998</v>
      </c>
      <c r="C218">
        <f>COUNTIFS(data!D:D,data!$I$2,data!F:F,"&gt;="&amp;B218)</f>
        <v>163</v>
      </c>
      <c r="D218">
        <f>COUNTIFS(data!D:D,data!$J$2,data!F:F,"&gt;="&amp;B218)</f>
        <v>55</v>
      </c>
      <c r="E218">
        <f>COUNTIFS(data!D:D,data!$J$2,data!F:F,"&lt;"&amp;B218)</f>
        <v>668</v>
      </c>
      <c r="F218">
        <f>COUNTIFS(data!D:D,data!$I$2,data!F:F,"&lt;"&amp;B218)</f>
        <v>371</v>
      </c>
      <c r="G218">
        <f t="shared" si="19"/>
        <v>7.6071922544951584E-2</v>
      </c>
      <c r="H218">
        <f t="shared" si="20"/>
        <v>0.30524344569288392</v>
      </c>
      <c r="I218">
        <f t="shared" si="21"/>
        <v>0</v>
      </c>
      <c r="J218">
        <f t="shared" si="22"/>
        <v>0.74770642201834858</v>
      </c>
      <c r="K218">
        <f t="shared" si="23"/>
        <v>0.43351063829787234</v>
      </c>
      <c r="L218">
        <f>A218*COUNTIF(data!D:D,data!$I$2)/data!$L$2</f>
        <v>92.186157517899758</v>
      </c>
      <c r="M218" s="1">
        <f>A218/data!$L$2</f>
        <v>0.17263325377883851</v>
      </c>
      <c r="N218">
        <f t="shared" si="18"/>
        <v>1.7681613421011755</v>
      </c>
    </row>
    <row r="219" spans="1:14" x14ac:dyDescent="0.2">
      <c r="A219">
        <v>218</v>
      </c>
      <c r="B219">
        <f>LARGE(data!F:F,A219)</f>
        <v>0.63815688729999998</v>
      </c>
      <c r="C219">
        <f>COUNTIFS(data!D:D,data!$I$2,data!F:F,"&gt;="&amp;B219)</f>
        <v>163</v>
      </c>
      <c r="D219">
        <f>COUNTIFS(data!D:D,data!$J$2,data!F:F,"&gt;="&amp;B219)</f>
        <v>55</v>
      </c>
      <c r="E219">
        <f>COUNTIFS(data!D:D,data!$J$2,data!F:F,"&lt;"&amp;B219)</f>
        <v>668</v>
      </c>
      <c r="F219">
        <f>COUNTIFS(data!D:D,data!$I$2,data!F:F,"&lt;"&amp;B219)</f>
        <v>371</v>
      </c>
      <c r="G219">
        <f t="shared" si="19"/>
        <v>7.6071922544951584E-2</v>
      </c>
      <c r="H219">
        <f t="shared" si="20"/>
        <v>0.30524344569288392</v>
      </c>
      <c r="I219">
        <f t="shared" si="21"/>
        <v>0</v>
      </c>
      <c r="J219">
        <f t="shared" si="22"/>
        <v>0.74770642201834858</v>
      </c>
      <c r="K219">
        <f t="shared" si="23"/>
        <v>0.43351063829787234</v>
      </c>
      <c r="L219">
        <f>A219*COUNTIF(data!D:D,data!$I$2)/data!$L$2</f>
        <v>92.610978520286395</v>
      </c>
      <c r="M219" s="1">
        <f>A219/data!$L$2</f>
        <v>0.17342879872712808</v>
      </c>
      <c r="N219">
        <f t="shared" si="18"/>
        <v>1.7600505102566746</v>
      </c>
    </row>
    <row r="220" spans="1:14" x14ac:dyDescent="0.2">
      <c r="A220">
        <v>219</v>
      </c>
      <c r="B220">
        <f>LARGE(data!F:F,A220)</f>
        <v>0.63748276010000005</v>
      </c>
      <c r="C220">
        <f>COUNTIFS(data!D:D,data!$I$2,data!F:F,"&gt;="&amp;B220)</f>
        <v>163</v>
      </c>
      <c r="D220">
        <f>COUNTIFS(data!D:D,data!$J$2,data!F:F,"&gt;="&amp;B220)</f>
        <v>56</v>
      </c>
      <c r="E220">
        <f>COUNTIFS(data!D:D,data!$J$2,data!F:F,"&lt;"&amp;B220)</f>
        <v>667</v>
      </c>
      <c r="F220">
        <f>COUNTIFS(data!D:D,data!$I$2,data!F:F,"&lt;"&amp;B220)</f>
        <v>371</v>
      </c>
      <c r="G220">
        <f t="shared" si="19"/>
        <v>7.7455048409405258E-2</v>
      </c>
      <c r="H220">
        <f t="shared" si="20"/>
        <v>0.30524344569288392</v>
      </c>
      <c r="I220">
        <f t="shared" si="21"/>
        <v>4.2219010469278826E-4</v>
      </c>
      <c r="J220">
        <f t="shared" si="22"/>
        <v>0.74429223744292239</v>
      </c>
      <c r="K220">
        <f t="shared" si="23"/>
        <v>0.4329349269588314</v>
      </c>
      <c r="L220">
        <f>A220*COUNTIF(data!D:D,data!$I$2)/data!$L$2</f>
        <v>93.035799522673031</v>
      </c>
      <c r="M220" s="1">
        <f>A220/data!$L$2</f>
        <v>0.17422434367541767</v>
      </c>
      <c r="N220">
        <f t="shared" si="18"/>
        <v>1.7520137499358679</v>
      </c>
    </row>
    <row r="221" spans="1:14" x14ac:dyDescent="0.2">
      <c r="A221">
        <v>220</v>
      </c>
      <c r="B221">
        <f>LARGE(data!F:F,A221)</f>
        <v>0.63586295039999996</v>
      </c>
      <c r="C221">
        <f>COUNTIFS(data!D:D,data!$I$2,data!F:F,"&gt;="&amp;B221)</f>
        <v>163</v>
      </c>
      <c r="D221">
        <f>COUNTIFS(data!D:D,data!$J$2,data!F:F,"&gt;="&amp;B221)</f>
        <v>57</v>
      </c>
      <c r="E221">
        <f>COUNTIFS(data!D:D,data!$J$2,data!F:F,"&lt;"&amp;B221)</f>
        <v>666</v>
      </c>
      <c r="F221">
        <f>COUNTIFS(data!D:D,data!$I$2,data!F:F,"&lt;"&amp;B221)</f>
        <v>371</v>
      </c>
      <c r="G221">
        <f t="shared" si="19"/>
        <v>7.8838174273858919E-2</v>
      </c>
      <c r="H221">
        <f t="shared" si="20"/>
        <v>0.30524344569288392</v>
      </c>
      <c r="I221">
        <f t="shared" si="21"/>
        <v>4.2219010469278398E-4</v>
      </c>
      <c r="J221">
        <f t="shared" si="22"/>
        <v>0.74090909090909096</v>
      </c>
      <c r="K221">
        <f t="shared" si="23"/>
        <v>0.43236074270557034</v>
      </c>
      <c r="L221">
        <f>A221*COUNTIF(data!D:D,data!$I$2)/data!$L$2</f>
        <v>93.460620525059667</v>
      </c>
      <c r="M221" s="1">
        <f>A221/data!$L$2</f>
        <v>0.17501988862370724</v>
      </c>
      <c r="N221">
        <f t="shared" si="18"/>
        <v>1.744050051072523</v>
      </c>
    </row>
    <row r="222" spans="1:14" x14ac:dyDescent="0.2">
      <c r="A222">
        <v>221</v>
      </c>
      <c r="B222">
        <f>LARGE(data!F:F,A222)</f>
        <v>0.63381650629999997</v>
      </c>
      <c r="C222">
        <f>COUNTIFS(data!D:D,data!$I$2,data!F:F,"&gt;="&amp;B222)</f>
        <v>163</v>
      </c>
      <c r="D222">
        <f>COUNTIFS(data!D:D,data!$J$2,data!F:F,"&gt;="&amp;B222)</f>
        <v>58</v>
      </c>
      <c r="E222">
        <f>COUNTIFS(data!D:D,data!$J$2,data!F:F,"&lt;"&amp;B222)</f>
        <v>665</v>
      </c>
      <c r="F222">
        <f>COUNTIFS(data!D:D,data!$I$2,data!F:F,"&lt;"&amp;B222)</f>
        <v>371</v>
      </c>
      <c r="G222">
        <f t="shared" si="19"/>
        <v>8.0221300138312593E-2</v>
      </c>
      <c r="H222">
        <f t="shared" si="20"/>
        <v>0.30524344569288392</v>
      </c>
      <c r="I222">
        <f t="shared" si="21"/>
        <v>4.2219010469278826E-4</v>
      </c>
      <c r="J222">
        <f t="shared" si="22"/>
        <v>0.73755656108597289</v>
      </c>
      <c r="K222">
        <f t="shared" si="23"/>
        <v>0.43178807947019876</v>
      </c>
      <c r="L222">
        <f>A222*COUNTIF(data!D:D,data!$I$2)/data!$L$2</f>
        <v>93.885441527446304</v>
      </c>
      <c r="M222" s="1">
        <f>A222/data!$L$2</f>
        <v>0.1758154335719968</v>
      </c>
      <c r="N222">
        <f t="shared" si="18"/>
        <v>1.7361584218821495</v>
      </c>
    </row>
    <row r="223" spans="1:14" x14ac:dyDescent="0.2">
      <c r="A223">
        <v>222</v>
      </c>
      <c r="B223">
        <f>LARGE(data!F:F,A223)</f>
        <v>0.63345317300000004</v>
      </c>
      <c r="C223">
        <f>COUNTIFS(data!D:D,data!$I$2,data!F:F,"&gt;="&amp;B223)</f>
        <v>165</v>
      </c>
      <c r="D223">
        <f>COUNTIFS(data!D:D,data!$J$2,data!F:F,"&gt;="&amp;B223)</f>
        <v>58</v>
      </c>
      <c r="E223">
        <f>COUNTIFS(data!D:D,data!$J$2,data!F:F,"&lt;"&amp;B223)</f>
        <v>665</v>
      </c>
      <c r="F223">
        <f>COUNTIFS(data!D:D,data!$I$2,data!F:F,"&lt;"&amp;B223)</f>
        <v>369</v>
      </c>
      <c r="G223">
        <f t="shared" si="19"/>
        <v>8.0221300138312593E-2</v>
      </c>
      <c r="H223">
        <f t="shared" si="20"/>
        <v>0.3089887640449438</v>
      </c>
      <c r="I223">
        <f t="shared" si="21"/>
        <v>0</v>
      </c>
      <c r="J223">
        <f t="shared" si="22"/>
        <v>0.73991031390134532</v>
      </c>
      <c r="K223">
        <f t="shared" si="23"/>
        <v>0.43593130779392342</v>
      </c>
      <c r="L223">
        <f>A223*COUNTIF(data!D:D,data!$I$2)/data!$L$2</f>
        <v>94.31026252983294</v>
      </c>
      <c r="M223" s="1">
        <f>A223/data!$L$2</f>
        <v>0.1766109785202864</v>
      </c>
      <c r="N223">
        <f t="shared" si="18"/>
        <v>1.7495444883085332</v>
      </c>
    </row>
    <row r="224" spans="1:14" x14ac:dyDescent="0.2">
      <c r="A224">
        <v>223</v>
      </c>
      <c r="B224">
        <f>LARGE(data!F:F,A224)</f>
        <v>0.63345317300000004</v>
      </c>
      <c r="C224">
        <f>COUNTIFS(data!D:D,data!$I$2,data!F:F,"&gt;="&amp;B224)</f>
        <v>165</v>
      </c>
      <c r="D224">
        <f>COUNTIFS(data!D:D,data!$J$2,data!F:F,"&gt;="&amp;B224)</f>
        <v>58</v>
      </c>
      <c r="E224">
        <f>COUNTIFS(data!D:D,data!$J$2,data!F:F,"&lt;"&amp;B224)</f>
        <v>665</v>
      </c>
      <c r="F224">
        <f>COUNTIFS(data!D:D,data!$I$2,data!F:F,"&lt;"&amp;B224)</f>
        <v>369</v>
      </c>
      <c r="G224">
        <f t="shared" si="19"/>
        <v>8.0221300138312593E-2</v>
      </c>
      <c r="H224">
        <f t="shared" si="20"/>
        <v>0.3089887640449438</v>
      </c>
      <c r="I224">
        <f t="shared" si="21"/>
        <v>0</v>
      </c>
      <c r="J224">
        <f t="shared" si="22"/>
        <v>0.73991031390134532</v>
      </c>
      <c r="K224">
        <f t="shared" si="23"/>
        <v>0.43593130779392342</v>
      </c>
      <c r="L224">
        <f>A224*COUNTIF(data!D:D,data!$I$2)/data!$L$2</f>
        <v>94.735083532219576</v>
      </c>
      <c r="M224" s="1">
        <f>A224/data!$L$2</f>
        <v>0.17740652346857597</v>
      </c>
      <c r="N224">
        <f t="shared" si="18"/>
        <v>1.7416989973295711</v>
      </c>
    </row>
    <row r="225" spans="1:14" x14ac:dyDescent="0.2">
      <c r="A225">
        <v>224</v>
      </c>
      <c r="B225">
        <f>LARGE(data!F:F,A225)</f>
        <v>0.63322728260000005</v>
      </c>
      <c r="C225">
        <f>COUNTIFS(data!D:D,data!$I$2,data!F:F,"&gt;="&amp;B225)</f>
        <v>167</v>
      </c>
      <c r="D225">
        <f>COUNTIFS(data!D:D,data!$J$2,data!F:F,"&gt;="&amp;B225)</f>
        <v>58</v>
      </c>
      <c r="E225">
        <f>COUNTIFS(data!D:D,data!$J$2,data!F:F,"&lt;"&amp;B225)</f>
        <v>665</v>
      </c>
      <c r="F225">
        <f>COUNTIFS(data!D:D,data!$I$2,data!F:F,"&lt;"&amp;B225)</f>
        <v>367</v>
      </c>
      <c r="G225">
        <f t="shared" si="19"/>
        <v>8.0221300138312593E-2</v>
      </c>
      <c r="H225">
        <f t="shared" si="20"/>
        <v>0.31273408239700373</v>
      </c>
      <c r="I225">
        <f t="shared" si="21"/>
        <v>0</v>
      </c>
      <c r="J225">
        <f t="shared" si="22"/>
        <v>0.74222222222222223</v>
      </c>
      <c r="K225">
        <f t="shared" si="23"/>
        <v>0.44005270092226606</v>
      </c>
      <c r="L225">
        <f>A225*COUNTIF(data!D:D,data!$I$2)/data!$L$2</f>
        <v>95.159904534606198</v>
      </c>
      <c r="M225" s="1">
        <f>A225/data!$L$2</f>
        <v>0.17820206841686556</v>
      </c>
      <c r="N225">
        <f t="shared" si="18"/>
        <v>1.7549408105939006</v>
      </c>
    </row>
    <row r="226" spans="1:14" x14ac:dyDescent="0.2">
      <c r="A226">
        <v>225</v>
      </c>
      <c r="B226">
        <f>LARGE(data!F:F,A226)</f>
        <v>0.63322728260000005</v>
      </c>
      <c r="C226">
        <f>COUNTIFS(data!D:D,data!$I$2,data!F:F,"&gt;="&amp;B226)</f>
        <v>167</v>
      </c>
      <c r="D226">
        <f>COUNTIFS(data!D:D,data!$J$2,data!F:F,"&gt;="&amp;B226)</f>
        <v>58</v>
      </c>
      <c r="E226">
        <f>COUNTIFS(data!D:D,data!$J$2,data!F:F,"&lt;"&amp;B226)</f>
        <v>665</v>
      </c>
      <c r="F226">
        <f>COUNTIFS(data!D:D,data!$I$2,data!F:F,"&lt;"&amp;B226)</f>
        <v>367</v>
      </c>
      <c r="G226">
        <f t="shared" si="19"/>
        <v>8.0221300138312593E-2</v>
      </c>
      <c r="H226">
        <f t="shared" si="20"/>
        <v>0.31273408239700373</v>
      </c>
      <c r="I226">
        <f t="shared" si="21"/>
        <v>0</v>
      </c>
      <c r="J226">
        <f t="shared" si="22"/>
        <v>0.74222222222222223</v>
      </c>
      <c r="K226">
        <f t="shared" si="23"/>
        <v>0.44005270092226606</v>
      </c>
      <c r="L226">
        <f>A226*COUNTIF(data!D:D,data!$I$2)/data!$L$2</f>
        <v>95.584725536992835</v>
      </c>
      <c r="M226" s="1">
        <f>A226/data!$L$2</f>
        <v>0.17899761336515513</v>
      </c>
      <c r="N226">
        <f t="shared" si="18"/>
        <v>1.7471410736579276</v>
      </c>
    </row>
    <row r="227" spans="1:14" x14ac:dyDescent="0.2">
      <c r="A227">
        <v>226</v>
      </c>
      <c r="B227">
        <f>LARGE(data!F:F,A227)</f>
        <v>0.63247090139999995</v>
      </c>
      <c r="C227">
        <f>COUNTIFS(data!D:D,data!$I$2,data!F:F,"&gt;="&amp;B227)</f>
        <v>167</v>
      </c>
      <c r="D227">
        <f>COUNTIFS(data!D:D,data!$J$2,data!F:F,"&gt;="&amp;B227)</f>
        <v>59</v>
      </c>
      <c r="E227">
        <f>COUNTIFS(data!D:D,data!$J$2,data!F:F,"&lt;"&amp;B227)</f>
        <v>664</v>
      </c>
      <c r="F227">
        <f>COUNTIFS(data!D:D,data!$I$2,data!F:F,"&lt;"&amp;B227)</f>
        <v>367</v>
      </c>
      <c r="G227">
        <f t="shared" si="19"/>
        <v>8.1604426002766253E-2</v>
      </c>
      <c r="H227">
        <f t="shared" si="20"/>
        <v>0.31273408239700373</v>
      </c>
      <c r="I227">
        <f t="shared" si="21"/>
        <v>4.3255059805947805E-4</v>
      </c>
      <c r="J227">
        <f t="shared" si="22"/>
        <v>0.73893805309734517</v>
      </c>
      <c r="K227">
        <f t="shared" si="23"/>
        <v>0.43947368421052629</v>
      </c>
      <c r="L227">
        <f>A227*COUNTIF(data!D:D,data!$I$2)/data!$L$2</f>
        <v>96.009546539379471</v>
      </c>
      <c r="M227" s="1">
        <f>A227/data!$L$2</f>
        <v>0.17979315831344472</v>
      </c>
      <c r="N227">
        <f t="shared" si="18"/>
        <v>1.739410360942627</v>
      </c>
    </row>
    <row r="228" spans="1:14" x14ac:dyDescent="0.2">
      <c r="A228">
        <v>227</v>
      </c>
      <c r="B228">
        <f>LARGE(data!F:F,A228)</f>
        <v>0.6323282911</v>
      </c>
      <c r="C228">
        <f>COUNTIFS(data!D:D,data!$I$2,data!F:F,"&gt;="&amp;B228)</f>
        <v>167</v>
      </c>
      <c r="D228">
        <f>COUNTIFS(data!D:D,data!$J$2,data!F:F,"&gt;="&amp;B228)</f>
        <v>60</v>
      </c>
      <c r="E228">
        <f>COUNTIFS(data!D:D,data!$J$2,data!F:F,"&lt;"&amp;B228)</f>
        <v>663</v>
      </c>
      <c r="F228">
        <f>COUNTIFS(data!D:D,data!$I$2,data!F:F,"&lt;"&amp;B228)</f>
        <v>367</v>
      </c>
      <c r="G228">
        <f t="shared" si="19"/>
        <v>8.2987551867219914E-2</v>
      </c>
      <c r="H228">
        <f t="shared" si="20"/>
        <v>0.31273408239700373</v>
      </c>
      <c r="I228">
        <f t="shared" si="21"/>
        <v>4.3255059805947805E-4</v>
      </c>
      <c r="J228">
        <f t="shared" si="22"/>
        <v>0.73568281938325997</v>
      </c>
      <c r="K228">
        <f t="shared" si="23"/>
        <v>0.4388961892247043</v>
      </c>
      <c r="L228">
        <f>A228*COUNTIF(data!D:D,data!$I$2)/data!$L$2</f>
        <v>96.434367541766107</v>
      </c>
      <c r="M228" s="1">
        <f>A228/data!$L$2</f>
        <v>0.18058870326173429</v>
      </c>
      <c r="N228">
        <f t="shared" si="18"/>
        <v>1.7317477602336286</v>
      </c>
    </row>
    <row r="229" spans="1:14" x14ac:dyDescent="0.2">
      <c r="A229">
        <v>228</v>
      </c>
      <c r="B229">
        <f>LARGE(data!F:F,A229)</f>
        <v>0.63175922039999999</v>
      </c>
      <c r="C229">
        <f>COUNTIFS(data!D:D,data!$I$2,data!F:F,"&gt;="&amp;B229)</f>
        <v>168</v>
      </c>
      <c r="D229">
        <f>COUNTIFS(data!D:D,data!$J$2,data!F:F,"&gt;="&amp;B229)</f>
        <v>60</v>
      </c>
      <c r="E229">
        <f>COUNTIFS(data!D:D,data!$J$2,data!F:F,"&lt;"&amp;B229)</f>
        <v>663</v>
      </c>
      <c r="F229">
        <f>COUNTIFS(data!D:D,data!$I$2,data!F:F,"&lt;"&amp;B229)</f>
        <v>366</v>
      </c>
      <c r="G229">
        <f t="shared" si="19"/>
        <v>8.2987551867219914E-2</v>
      </c>
      <c r="H229">
        <f t="shared" si="20"/>
        <v>0.3146067415730337</v>
      </c>
      <c r="I229">
        <f t="shared" si="21"/>
        <v>0</v>
      </c>
      <c r="J229">
        <f t="shared" si="22"/>
        <v>0.73684210526315785</v>
      </c>
      <c r="K229">
        <f t="shared" si="23"/>
        <v>0.44094488188976372</v>
      </c>
      <c r="L229">
        <f>A229*COUNTIF(data!D:D,data!$I$2)/data!$L$2</f>
        <v>96.859188544152744</v>
      </c>
      <c r="M229" s="1">
        <f>A229/data!$L$2</f>
        <v>0.18138424821002386</v>
      </c>
      <c r="N229">
        <f t="shared" si="18"/>
        <v>1.7344766410408043</v>
      </c>
    </row>
    <row r="230" spans="1:14" x14ac:dyDescent="0.2">
      <c r="A230">
        <v>229</v>
      </c>
      <c r="B230">
        <f>LARGE(data!F:F,A230)</f>
        <v>0.63139846379999998</v>
      </c>
      <c r="C230">
        <f>COUNTIFS(data!D:D,data!$I$2,data!F:F,"&gt;="&amp;B230)</f>
        <v>169</v>
      </c>
      <c r="D230">
        <f>COUNTIFS(data!D:D,data!$J$2,data!F:F,"&gt;="&amp;B230)</f>
        <v>60</v>
      </c>
      <c r="E230">
        <f>COUNTIFS(data!D:D,data!$J$2,data!F:F,"&lt;"&amp;B230)</f>
        <v>663</v>
      </c>
      <c r="F230">
        <f>COUNTIFS(data!D:D,data!$I$2,data!F:F,"&lt;"&amp;B230)</f>
        <v>365</v>
      </c>
      <c r="G230">
        <f t="shared" si="19"/>
        <v>8.2987551867219914E-2</v>
      </c>
      <c r="H230">
        <f t="shared" si="20"/>
        <v>0.31647940074906367</v>
      </c>
      <c r="I230">
        <f t="shared" si="21"/>
        <v>0</v>
      </c>
      <c r="J230">
        <f t="shared" si="22"/>
        <v>0.73799126637554591</v>
      </c>
      <c r="K230">
        <f t="shared" si="23"/>
        <v>0.44298820445609438</v>
      </c>
      <c r="L230">
        <f>A230*COUNTIF(data!D:D,data!$I$2)/data!$L$2</f>
        <v>97.28400954653938</v>
      </c>
      <c r="M230" s="1">
        <f>A230/data!$L$2</f>
        <v>0.18217979315831345</v>
      </c>
      <c r="N230">
        <f t="shared" si="18"/>
        <v>1.7371816888278298</v>
      </c>
    </row>
    <row r="231" spans="1:14" x14ac:dyDescent="0.2">
      <c r="A231">
        <v>230</v>
      </c>
      <c r="B231">
        <f>LARGE(data!F:F,A231)</f>
        <v>0.63061990359999998</v>
      </c>
      <c r="C231">
        <f>COUNTIFS(data!D:D,data!$I$2,data!F:F,"&gt;="&amp;B231)</f>
        <v>169</v>
      </c>
      <c r="D231">
        <f>COUNTIFS(data!D:D,data!$J$2,data!F:F,"&gt;="&amp;B231)</f>
        <v>61</v>
      </c>
      <c r="E231">
        <f>COUNTIFS(data!D:D,data!$J$2,data!F:F,"&lt;"&amp;B231)</f>
        <v>662</v>
      </c>
      <c r="F231">
        <f>COUNTIFS(data!D:D,data!$I$2,data!F:F,"&lt;"&amp;B231)</f>
        <v>365</v>
      </c>
      <c r="G231">
        <f t="shared" si="19"/>
        <v>8.4370677731673588E-2</v>
      </c>
      <c r="H231">
        <f t="shared" si="20"/>
        <v>0.31647940074906367</v>
      </c>
      <c r="I231">
        <f t="shared" si="21"/>
        <v>4.377308447428295E-4</v>
      </c>
      <c r="J231">
        <f t="shared" si="22"/>
        <v>0.73478260869565215</v>
      </c>
      <c r="K231">
        <f t="shared" si="23"/>
        <v>0.44240837696335078</v>
      </c>
      <c r="L231">
        <f>A231*COUNTIF(data!D:D,data!$I$2)/data!$L$2</f>
        <v>97.708830548926016</v>
      </c>
      <c r="M231" s="1">
        <f>A231/data!$L$2</f>
        <v>0.18297533810660302</v>
      </c>
      <c r="N231">
        <f t="shared" si="18"/>
        <v>1.7296287249633611</v>
      </c>
    </row>
    <row r="232" spans="1:14" x14ac:dyDescent="0.2">
      <c r="A232">
        <v>231</v>
      </c>
      <c r="B232">
        <f>LARGE(data!F:F,A232)</f>
        <v>0.62970230739999999</v>
      </c>
      <c r="C232">
        <f>COUNTIFS(data!D:D,data!$I$2,data!F:F,"&gt;="&amp;B232)</f>
        <v>170</v>
      </c>
      <c r="D232">
        <f>COUNTIFS(data!D:D,data!$J$2,data!F:F,"&gt;="&amp;B232)</f>
        <v>61</v>
      </c>
      <c r="E232">
        <f>COUNTIFS(data!D:D,data!$J$2,data!F:F,"&lt;"&amp;B232)</f>
        <v>662</v>
      </c>
      <c r="F232">
        <f>COUNTIFS(data!D:D,data!$I$2,data!F:F,"&lt;"&amp;B232)</f>
        <v>364</v>
      </c>
      <c r="G232">
        <f t="shared" si="19"/>
        <v>8.4370677731673588E-2</v>
      </c>
      <c r="H232">
        <f t="shared" si="20"/>
        <v>0.31835205992509363</v>
      </c>
      <c r="I232">
        <f t="shared" si="21"/>
        <v>0</v>
      </c>
      <c r="J232">
        <f t="shared" si="22"/>
        <v>0.73593073593073588</v>
      </c>
      <c r="K232">
        <f t="shared" si="23"/>
        <v>0.44444444444444448</v>
      </c>
      <c r="L232">
        <f>A232*COUNTIF(data!D:D,data!$I$2)/data!$L$2</f>
        <v>98.133651551312653</v>
      </c>
      <c r="M232" s="1">
        <f>A232/data!$L$2</f>
        <v>0.18377088305489261</v>
      </c>
      <c r="N232">
        <f t="shared" si="18"/>
        <v>1.732331339072912</v>
      </c>
    </row>
    <row r="233" spans="1:14" x14ac:dyDescent="0.2">
      <c r="A233">
        <v>232</v>
      </c>
      <c r="B233">
        <f>LARGE(data!F:F,A233)</f>
        <v>0.62967028319999996</v>
      </c>
      <c r="C233">
        <f>COUNTIFS(data!D:D,data!$I$2,data!F:F,"&gt;="&amp;B233)</f>
        <v>170</v>
      </c>
      <c r="D233">
        <f>COUNTIFS(data!D:D,data!$J$2,data!F:F,"&gt;="&amp;B233)</f>
        <v>62</v>
      </c>
      <c r="E233">
        <f>COUNTIFS(data!D:D,data!$J$2,data!F:F,"&lt;"&amp;B233)</f>
        <v>661</v>
      </c>
      <c r="F233">
        <f>COUNTIFS(data!D:D,data!$I$2,data!F:F,"&lt;"&amp;B233)</f>
        <v>364</v>
      </c>
      <c r="G233">
        <f t="shared" si="19"/>
        <v>8.5753803596127248E-2</v>
      </c>
      <c r="H233">
        <f t="shared" si="20"/>
        <v>0.31835205992509363</v>
      </c>
      <c r="I233">
        <f t="shared" si="21"/>
        <v>4.4032096808449865E-4</v>
      </c>
      <c r="J233">
        <f t="shared" si="22"/>
        <v>0.73275862068965514</v>
      </c>
      <c r="K233">
        <f t="shared" si="23"/>
        <v>0.44386422976501305</v>
      </c>
      <c r="L233">
        <f>A233*COUNTIF(data!D:D,data!$I$2)/data!$L$2</f>
        <v>98.558472553699289</v>
      </c>
      <c r="M233" s="1">
        <f>A233/data!$L$2</f>
        <v>0.18456642800318218</v>
      </c>
      <c r="N233">
        <f t="shared" si="18"/>
        <v>1.7248643936458736</v>
      </c>
    </row>
    <row r="234" spans="1:14" x14ac:dyDescent="0.2">
      <c r="A234">
        <v>233</v>
      </c>
      <c r="B234">
        <f>LARGE(data!F:F,A234)</f>
        <v>0.62757609520000002</v>
      </c>
      <c r="C234">
        <f>COUNTIFS(data!D:D,data!$I$2,data!F:F,"&gt;="&amp;B234)</f>
        <v>170</v>
      </c>
      <c r="D234">
        <f>COUNTIFS(data!D:D,data!$J$2,data!F:F,"&gt;="&amp;B234)</f>
        <v>63</v>
      </c>
      <c r="E234">
        <f>COUNTIFS(data!D:D,data!$J$2,data!F:F,"&lt;"&amp;B234)</f>
        <v>660</v>
      </c>
      <c r="F234">
        <f>COUNTIFS(data!D:D,data!$I$2,data!F:F,"&lt;"&amp;B234)</f>
        <v>364</v>
      </c>
      <c r="G234">
        <f t="shared" si="19"/>
        <v>8.7136929460580909E-2</v>
      </c>
      <c r="H234">
        <f t="shared" si="20"/>
        <v>0.31835205992509363</v>
      </c>
      <c r="I234">
        <f t="shared" si="21"/>
        <v>4.4032096808449865E-4</v>
      </c>
      <c r="J234">
        <f t="shared" si="22"/>
        <v>0.72961373390557938</v>
      </c>
      <c r="K234">
        <f t="shared" si="23"/>
        <v>0.44328552803129073</v>
      </c>
      <c r="L234">
        <f>A234*COUNTIF(data!D:D,data!$I$2)/data!$L$2</f>
        <v>98.983293556085926</v>
      </c>
      <c r="M234" s="1">
        <f>A234/data!$L$2</f>
        <v>0.18536197295147175</v>
      </c>
      <c r="N234">
        <f t="shared" si="18"/>
        <v>1.7174615421709987</v>
      </c>
    </row>
    <row r="235" spans="1:14" x14ac:dyDescent="0.2">
      <c r="A235">
        <v>234</v>
      </c>
      <c r="B235">
        <f>LARGE(data!F:F,A235)</f>
        <v>0.62668335269999997</v>
      </c>
      <c r="C235">
        <f>COUNTIFS(data!D:D,data!$I$2,data!F:F,"&gt;="&amp;B235)</f>
        <v>171</v>
      </c>
      <c r="D235">
        <f>COUNTIFS(data!D:D,data!$J$2,data!F:F,"&gt;="&amp;B235)</f>
        <v>63</v>
      </c>
      <c r="E235">
        <f>COUNTIFS(data!D:D,data!$J$2,data!F:F,"&lt;"&amp;B235)</f>
        <v>660</v>
      </c>
      <c r="F235">
        <f>COUNTIFS(data!D:D,data!$I$2,data!F:F,"&lt;"&amp;B235)</f>
        <v>363</v>
      </c>
      <c r="G235">
        <f t="shared" si="19"/>
        <v>8.7136929460580909E-2</v>
      </c>
      <c r="H235">
        <f t="shared" si="20"/>
        <v>0.3202247191011236</v>
      </c>
      <c r="I235">
        <f t="shared" si="21"/>
        <v>0</v>
      </c>
      <c r="J235">
        <f t="shared" si="22"/>
        <v>0.73076923076923073</v>
      </c>
      <c r="K235">
        <f t="shared" si="23"/>
        <v>0.44531249999999994</v>
      </c>
      <c r="L235">
        <f>A235*COUNTIF(data!D:D,data!$I$2)/data!$L$2</f>
        <v>99.408114558472548</v>
      </c>
      <c r="M235" s="1">
        <f>A235/data!$L$2</f>
        <v>0.18615751789976134</v>
      </c>
      <c r="N235">
        <f t="shared" si="18"/>
        <v>1.7201815038893691</v>
      </c>
    </row>
    <row r="236" spans="1:14" x14ac:dyDescent="0.2">
      <c r="A236">
        <v>235</v>
      </c>
      <c r="B236">
        <f>LARGE(data!F:F,A236)</f>
        <v>0.62573378099999999</v>
      </c>
      <c r="C236">
        <f>COUNTIFS(data!D:D,data!$I$2,data!F:F,"&gt;="&amp;B236)</f>
        <v>171</v>
      </c>
      <c r="D236">
        <f>COUNTIFS(data!D:D,data!$J$2,data!F:F,"&gt;="&amp;B236)</f>
        <v>64</v>
      </c>
      <c r="E236">
        <f>COUNTIFS(data!D:D,data!$J$2,data!F:F,"&lt;"&amp;B236)</f>
        <v>659</v>
      </c>
      <c r="F236">
        <f>COUNTIFS(data!D:D,data!$I$2,data!F:F,"&lt;"&amp;B236)</f>
        <v>363</v>
      </c>
      <c r="G236">
        <f t="shared" si="19"/>
        <v>8.8520055325034583E-2</v>
      </c>
      <c r="H236">
        <f t="shared" si="20"/>
        <v>0.3202247191011236</v>
      </c>
      <c r="I236">
        <f t="shared" si="21"/>
        <v>4.4291109142617657E-4</v>
      </c>
      <c r="J236">
        <f t="shared" si="22"/>
        <v>0.72765957446808516</v>
      </c>
      <c r="K236">
        <f t="shared" si="23"/>
        <v>0.4447334200260078</v>
      </c>
      <c r="L236">
        <f>A236*COUNTIF(data!D:D,data!$I$2)/data!$L$2</f>
        <v>99.832935560859184</v>
      </c>
      <c r="M236" s="1">
        <f>A236/data!$L$2</f>
        <v>0.18695306284805091</v>
      </c>
      <c r="N236">
        <f t="shared" si="18"/>
        <v>1.7128615825962228</v>
      </c>
    </row>
    <row r="237" spans="1:14" x14ac:dyDescent="0.2">
      <c r="A237">
        <v>236</v>
      </c>
      <c r="B237">
        <f>LARGE(data!F:F,A237)</f>
        <v>0.62368562859999999</v>
      </c>
      <c r="C237">
        <f>COUNTIFS(data!D:D,data!$I$2,data!F:F,"&gt;="&amp;B237)</f>
        <v>172</v>
      </c>
      <c r="D237">
        <f>COUNTIFS(data!D:D,data!$J$2,data!F:F,"&gt;="&amp;B237)</f>
        <v>64</v>
      </c>
      <c r="E237">
        <f>COUNTIFS(data!D:D,data!$J$2,data!F:F,"&lt;"&amp;B237)</f>
        <v>659</v>
      </c>
      <c r="F237">
        <f>COUNTIFS(data!D:D,data!$I$2,data!F:F,"&lt;"&amp;B237)</f>
        <v>362</v>
      </c>
      <c r="G237">
        <f t="shared" si="19"/>
        <v>8.8520055325034583E-2</v>
      </c>
      <c r="H237">
        <f t="shared" si="20"/>
        <v>0.32209737827715357</v>
      </c>
      <c r="I237">
        <f t="shared" si="21"/>
        <v>0</v>
      </c>
      <c r="J237">
        <f t="shared" si="22"/>
        <v>0.72881355932203384</v>
      </c>
      <c r="K237">
        <f t="shared" si="23"/>
        <v>0.44675324675324674</v>
      </c>
      <c r="L237">
        <f>A237*COUNTIF(data!D:D,data!$I$2)/data!$L$2</f>
        <v>100.25775656324582</v>
      </c>
      <c r="M237" s="1">
        <f>A237/data!$L$2</f>
        <v>0.18774860779634051</v>
      </c>
      <c r="N237">
        <f t="shared" si="18"/>
        <v>1.7155779851456865</v>
      </c>
    </row>
    <row r="238" spans="1:14" x14ac:dyDescent="0.2">
      <c r="A238">
        <v>237</v>
      </c>
      <c r="B238">
        <f>LARGE(data!F:F,A238)</f>
        <v>0.62332564550000003</v>
      </c>
      <c r="C238">
        <f>COUNTIFS(data!D:D,data!$I$2,data!F:F,"&gt;="&amp;B238)</f>
        <v>172</v>
      </c>
      <c r="D238">
        <f>COUNTIFS(data!D:D,data!$J$2,data!F:F,"&gt;="&amp;B238)</f>
        <v>65</v>
      </c>
      <c r="E238">
        <f>COUNTIFS(data!D:D,data!$J$2,data!F:F,"&lt;"&amp;B238)</f>
        <v>658</v>
      </c>
      <c r="F238">
        <f>COUNTIFS(data!D:D,data!$I$2,data!F:F,"&lt;"&amp;B238)</f>
        <v>362</v>
      </c>
      <c r="G238">
        <f t="shared" si="19"/>
        <v>8.9903181189488243E-2</v>
      </c>
      <c r="H238">
        <f t="shared" si="20"/>
        <v>0.32209737827715357</v>
      </c>
      <c r="I238">
        <f t="shared" si="21"/>
        <v>4.4550121476784565E-4</v>
      </c>
      <c r="J238">
        <f t="shared" si="22"/>
        <v>0.72573839662447259</v>
      </c>
      <c r="K238">
        <f t="shared" si="23"/>
        <v>0.4461738002594034</v>
      </c>
      <c r="L238">
        <f>A238*COUNTIF(data!D:D,data!$I$2)/data!$L$2</f>
        <v>100.68257756563246</v>
      </c>
      <c r="M238" s="1">
        <f>A238/data!$L$2</f>
        <v>0.18854415274463007</v>
      </c>
      <c r="N238">
        <f t="shared" si="18"/>
        <v>1.7083392594699665</v>
      </c>
    </row>
    <row r="239" spans="1:14" x14ac:dyDescent="0.2">
      <c r="A239">
        <v>238</v>
      </c>
      <c r="B239">
        <f>LARGE(data!F:F,A239)</f>
        <v>0.62317399279999997</v>
      </c>
      <c r="C239">
        <f>COUNTIFS(data!D:D,data!$I$2,data!F:F,"&gt;="&amp;B239)</f>
        <v>172</v>
      </c>
      <c r="D239">
        <f>COUNTIFS(data!D:D,data!$J$2,data!F:F,"&gt;="&amp;B239)</f>
        <v>66</v>
      </c>
      <c r="E239">
        <f>COUNTIFS(data!D:D,data!$J$2,data!F:F,"&lt;"&amp;B239)</f>
        <v>657</v>
      </c>
      <c r="F239">
        <f>COUNTIFS(data!D:D,data!$I$2,data!F:F,"&lt;"&amp;B239)</f>
        <v>362</v>
      </c>
      <c r="G239">
        <f t="shared" si="19"/>
        <v>9.1286307053941904E-2</v>
      </c>
      <c r="H239">
        <f t="shared" si="20"/>
        <v>0.32209737827715357</v>
      </c>
      <c r="I239">
        <f t="shared" si="21"/>
        <v>4.4550121476784565E-4</v>
      </c>
      <c r="J239">
        <f t="shared" si="22"/>
        <v>0.72268907563025209</v>
      </c>
      <c r="K239">
        <f t="shared" si="23"/>
        <v>0.44559585492227982</v>
      </c>
      <c r="L239">
        <f>A239*COUNTIF(data!D:D,data!$I$2)/data!$L$2</f>
        <v>101.10739856801909</v>
      </c>
      <c r="M239" s="1">
        <f>A239/data!$L$2</f>
        <v>0.18933969769291964</v>
      </c>
      <c r="N239">
        <f t="shared" si="18"/>
        <v>1.7011613634217733</v>
      </c>
    </row>
    <row r="240" spans="1:14" x14ac:dyDescent="0.2">
      <c r="A240">
        <v>239</v>
      </c>
      <c r="B240">
        <f>LARGE(data!F:F,A240)</f>
        <v>0.62288853129999999</v>
      </c>
      <c r="C240">
        <f>COUNTIFS(data!D:D,data!$I$2,data!F:F,"&gt;="&amp;B240)</f>
        <v>172</v>
      </c>
      <c r="D240">
        <f>COUNTIFS(data!D:D,data!$J$2,data!F:F,"&gt;="&amp;B240)</f>
        <v>67</v>
      </c>
      <c r="E240">
        <f>COUNTIFS(data!D:D,data!$J$2,data!F:F,"&lt;"&amp;B240)</f>
        <v>656</v>
      </c>
      <c r="F240">
        <f>COUNTIFS(data!D:D,data!$I$2,data!F:F,"&lt;"&amp;B240)</f>
        <v>362</v>
      </c>
      <c r="G240">
        <f t="shared" si="19"/>
        <v>9.2669432918395578E-2</v>
      </c>
      <c r="H240">
        <f t="shared" si="20"/>
        <v>0.32209737827715357</v>
      </c>
      <c r="I240">
        <f t="shared" si="21"/>
        <v>4.4550121476785015E-4</v>
      </c>
      <c r="J240">
        <f t="shared" si="22"/>
        <v>0.71966527196652719</v>
      </c>
      <c r="K240">
        <f t="shared" si="23"/>
        <v>0.44501940491591202</v>
      </c>
      <c r="L240">
        <f>A240*COUNTIF(data!D:D,data!$I$2)/data!$L$2</f>
        <v>101.53221957040573</v>
      </c>
      <c r="M240" s="1">
        <f>A240/data!$L$2</f>
        <v>0.19013524264120923</v>
      </c>
      <c r="N240">
        <f t="shared" si="18"/>
        <v>1.6940435334492971</v>
      </c>
    </row>
    <row r="241" spans="1:14" x14ac:dyDescent="0.2">
      <c r="A241">
        <v>240</v>
      </c>
      <c r="B241">
        <f>LARGE(data!F:F,A241)</f>
        <v>0.62191728430000004</v>
      </c>
      <c r="C241">
        <f>COUNTIFS(data!D:D,data!$I$2,data!F:F,"&gt;="&amp;B241)</f>
        <v>172</v>
      </c>
      <c r="D241">
        <f>COUNTIFS(data!D:D,data!$J$2,data!F:F,"&gt;="&amp;B241)</f>
        <v>68</v>
      </c>
      <c r="E241">
        <f>COUNTIFS(data!D:D,data!$J$2,data!F:F,"&lt;"&amp;B241)</f>
        <v>655</v>
      </c>
      <c r="F241">
        <f>COUNTIFS(data!D:D,data!$I$2,data!F:F,"&lt;"&amp;B241)</f>
        <v>362</v>
      </c>
      <c r="G241">
        <f t="shared" si="19"/>
        <v>9.4052558782849238E-2</v>
      </c>
      <c r="H241">
        <f t="shared" si="20"/>
        <v>0.32209737827715357</v>
      </c>
      <c r="I241">
        <f t="shared" si="21"/>
        <v>4.4550121476784565E-4</v>
      </c>
      <c r="J241">
        <f t="shared" si="22"/>
        <v>0.71666666666666667</v>
      </c>
      <c r="K241">
        <f t="shared" si="23"/>
        <v>0.44444444444444442</v>
      </c>
      <c r="L241">
        <f>A241*COUNTIF(data!D:D,data!$I$2)/data!$L$2</f>
        <v>101.95704057279237</v>
      </c>
      <c r="M241" s="1">
        <f>A241/data!$L$2</f>
        <v>0.1909307875894988</v>
      </c>
      <c r="N241">
        <f t="shared" si="18"/>
        <v>1.6869850187265918</v>
      </c>
    </row>
    <row r="242" spans="1:14" x14ac:dyDescent="0.2">
      <c r="A242">
        <v>241</v>
      </c>
      <c r="B242">
        <f>LARGE(data!F:F,A242)</f>
        <v>0.62136464550000003</v>
      </c>
      <c r="C242">
        <f>COUNTIFS(data!D:D,data!$I$2,data!F:F,"&gt;="&amp;B242)</f>
        <v>172</v>
      </c>
      <c r="D242">
        <f>COUNTIFS(data!D:D,data!$J$2,data!F:F,"&gt;="&amp;B242)</f>
        <v>69</v>
      </c>
      <c r="E242">
        <f>COUNTIFS(data!D:D,data!$J$2,data!F:F,"&lt;"&amp;B242)</f>
        <v>654</v>
      </c>
      <c r="F242">
        <f>COUNTIFS(data!D:D,data!$I$2,data!F:F,"&lt;"&amp;B242)</f>
        <v>362</v>
      </c>
      <c r="G242">
        <f t="shared" si="19"/>
        <v>9.5435684647302899E-2</v>
      </c>
      <c r="H242">
        <f t="shared" si="20"/>
        <v>0.32209737827715357</v>
      </c>
      <c r="I242">
        <f t="shared" si="21"/>
        <v>4.4550121476784565E-4</v>
      </c>
      <c r="J242">
        <f t="shared" si="22"/>
        <v>0.7136929460580913</v>
      </c>
      <c r="K242">
        <f t="shared" si="23"/>
        <v>0.44387096774193546</v>
      </c>
      <c r="L242">
        <f>A242*COUNTIF(data!D:D,data!$I$2)/data!$L$2</f>
        <v>102.381861575179</v>
      </c>
      <c r="M242" s="1">
        <f>A242/data!$L$2</f>
        <v>0.1917263325377884</v>
      </c>
      <c r="N242">
        <f t="shared" si="18"/>
        <v>1.6799850808895518</v>
      </c>
    </row>
    <row r="243" spans="1:14" x14ac:dyDescent="0.2">
      <c r="A243">
        <v>242</v>
      </c>
      <c r="B243">
        <f>LARGE(data!F:F,A243)</f>
        <v>0.62117681660000001</v>
      </c>
      <c r="C243">
        <f>COUNTIFS(data!D:D,data!$I$2,data!F:F,"&gt;="&amp;B243)</f>
        <v>172</v>
      </c>
      <c r="D243">
        <f>COUNTIFS(data!D:D,data!$J$2,data!F:F,"&gt;="&amp;B243)</f>
        <v>70</v>
      </c>
      <c r="E243">
        <f>COUNTIFS(data!D:D,data!$J$2,data!F:F,"&lt;"&amp;B243)</f>
        <v>653</v>
      </c>
      <c r="F243">
        <f>COUNTIFS(data!D:D,data!$I$2,data!F:F,"&lt;"&amp;B243)</f>
        <v>362</v>
      </c>
      <c r="G243">
        <f t="shared" si="19"/>
        <v>9.6818810511756573E-2</v>
      </c>
      <c r="H243">
        <f t="shared" si="20"/>
        <v>0.32209737827715357</v>
      </c>
      <c r="I243">
        <f t="shared" si="21"/>
        <v>4.4550121476785015E-4</v>
      </c>
      <c r="J243">
        <f t="shared" si="22"/>
        <v>0.71074380165289253</v>
      </c>
      <c r="K243">
        <f t="shared" si="23"/>
        <v>0.44329896907216493</v>
      </c>
      <c r="L243">
        <f>A243*COUNTIF(data!D:D,data!$I$2)/data!$L$2</f>
        <v>102.80668257756564</v>
      </c>
      <c r="M243" s="1">
        <f>A243/data!$L$2</f>
        <v>0.19252187748607796</v>
      </c>
      <c r="N243">
        <f t="shared" si="18"/>
        <v>1.6730429937784379</v>
      </c>
    </row>
    <row r="244" spans="1:14" x14ac:dyDescent="0.2">
      <c r="A244">
        <v>243</v>
      </c>
      <c r="B244">
        <f>LARGE(data!F:F,A244)</f>
        <v>0.62083517389999998</v>
      </c>
      <c r="C244">
        <f>COUNTIFS(data!D:D,data!$I$2,data!F:F,"&gt;="&amp;B244)</f>
        <v>173</v>
      </c>
      <c r="D244">
        <f>COUNTIFS(data!D:D,data!$J$2,data!F:F,"&gt;="&amp;B244)</f>
        <v>70</v>
      </c>
      <c r="E244">
        <f>COUNTIFS(data!D:D,data!$J$2,data!F:F,"&lt;"&amp;B244)</f>
        <v>653</v>
      </c>
      <c r="F244">
        <f>COUNTIFS(data!D:D,data!$I$2,data!F:F,"&lt;"&amp;B244)</f>
        <v>361</v>
      </c>
      <c r="G244">
        <f t="shared" si="19"/>
        <v>9.6818810511756573E-2</v>
      </c>
      <c r="H244">
        <f t="shared" si="20"/>
        <v>0.32397003745318353</v>
      </c>
      <c r="I244">
        <f t="shared" si="21"/>
        <v>0</v>
      </c>
      <c r="J244">
        <f t="shared" si="22"/>
        <v>0.7119341563786008</v>
      </c>
      <c r="K244">
        <f t="shared" si="23"/>
        <v>0.44530244530244534</v>
      </c>
      <c r="L244">
        <f>A244*COUNTIF(data!D:D,data!$I$2)/data!$L$2</f>
        <v>103.23150357995226</v>
      </c>
      <c r="M244" s="1">
        <f>A244/data!$L$2</f>
        <v>0.19331742243436753</v>
      </c>
      <c r="N244">
        <f t="shared" si="18"/>
        <v>1.6758450085541223</v>
      </c>
    </row>
    <row r="245" spans="1:14" x14ac:dyDescent="0.2">
      <c r="A245">
        <v>244</v>
      </c>
      <c r="B245">
        <f>LARGE(data!F:F,A245)</f>
        <v>0.61700492979999999</v>
      </c>
      <c r="C245">
        <f>COUNTIFS(data!D:D,data!$I$2,data!F:F,"&gt;="&amp;B245)</f>
        <v>175</v>
      </c>
      <c r="D245">
        <f>COUNTIFS(data!D:D,data!$J$2,data!F:F,"&gt;="&amp;B245)</f>
        <v>70</v>
      </c>
      <c r="E245">
        <f>COUNTIFS(data!D:D,data!$J$2,data!F:F,"&lt;"&amp;B245)</f>
        <v>653</v>
      </c>
      <c r="F245">
        <f>COUNTIFS(data!D:D,data!$I$2,data!F:F,"&lt;"&amp;B245)</f>
        <v>359</v>
      </c>
      <c r="G245">
        <f t="shared" si="19"/>
        <v>9.6818810511756573E-2</v>
      </c>
      <c r="H245">
        <f t="shared" si="20"/>
        <v>0.32771535580524347</v>
      </c>
      <c r="I245">
        <f t="shared" si="21"/>
        <v>0</v>
      </c>
      <c r="J245">
        <f t="shared" si="22"/>
        <v>0.7142857142857143</v>
      </c>
      <c r="K245">
        <f t="shared" si="23"/>
        <v>0.44929396662387672</v>
      </c>
      <c r="L245">
        <f>A245*COUNTIF(data!D:D,data!$I$2)/data!$L$2</f>
        <v>103.6563245823389</v>
      </c>
      <c r="M245" s="1">
        <f>A245/data!$L$2</f>
        <v>0.19411296738265713</v>
      </c>
      <c r="N245">
        <f t="shared" si="18"/>
        <v>1.6882713206852091</v>
      </c>
    </row>
    <row r="246" spans="1:14" x14ac:dyDescent="0.2">
      <c r="A246">
        <v>245</v>
      </c>
      <c r="B246">
        <f>LARGE(data!F:F,A246)</f>
        <v>0.61700492979999999</v>
      </c>
      <c r="C246">
        <f>COUNTIFS(data!D:D,data!$I$2,data!F:F,"&gt;="&amp;B246)</f>
        <v>175</v>
      </c>
      <c r="D246">
        <f>COUNTIFS(data!D:D,data!$J$2,data!F:F,"&gt;="&amp;B246)</f>
        <v>70</v>
      </c>
      <c r="E246">
        <f>COUNTIFS(data!D:D,data!$J$2,data!F:F,"&lt;"&amp;B246)</f>
        <v>653</v>
      </c>
      <c r="F246">
        <f>COUNTIFS(data!D:D,data!$I$2,data!F:F,"&lt;"&amp;B246)</f>
        <v>359</v>
      </c>
      <c r="G246">
        <f t="shared" si="19"/>
        <v>9.6818810511756573E-2</v>
      </c>
      <c r="H246">
        <f t="shared" si="20"/>
        <v>0.32771535580524347</v>
      </c>
      <c r="I246">
        <f t="shared" si="21"/>
        <v>0</v>
      </c>
      <c r="J246">
        <f t="shared" si="22"/>
        <v>0.7142857142857143</v>
      </c>
      <c r="K246">
        <f t="shared" si="23"/>
        <v>0.44929396662387672</v>
      </c>
      <c r="L246">
        <f>A246*COUNTIF(data!D:D,data!$I$2)/data!$L$2</f>
        <v>104.08114558472553</v>
      </c>
      <c r="M246" s="1">
        <f>A246/data!$L$2</f>
        <v>0.19490851233094669</v>
      </c>
      <c r="N246">
        <f t="shared" si="18"/>
        <v>1.6813804173354736</v>
      </c>
    </row>
    <row r="247" spans="1:14" x14ac:dyDescent="0.2">
      <c r="A247">
        <v>246</v>
      </c>
      <c r="B247">
        <f>LARGE(data!F:F,A247)</f>
        <v>0.61656430309999999</v>
      </c>
      <c r="C247">
        <f>COUNTIFS(data!D:D,data!$I$2,data!F:F,"&gt;="&amp;B247)</f>
        <v>175</v>
      </c>
      <c r="D247">
        <f>COUNTIFS(data!D:D,data!$J$2,data!F:F,"&gt;="&amp;B247)</f>
        <v>71</v>
      </c>
      <c r="E247">
        <f>COUNTIFS(data!D:D,data!$J$2,data!F:F,"&lt;"&amp;B247)</f>
        <v>652</v>
      </c>
      <c r="F247">
        <f>COUNTIFS(data!D:D,data!$I$2,data!F:F,"&lt;"&amp;B247)</f>
        <v>359</v>
      </c>
      <c r="G247">
        <f t="shared" si="19"/>
        <v>9.8201936376210233E-2</v>
      </c>
      <c r="H247">
        <f t="shared" si="20"/>
        <v>0.32771535580524347</v>
      </c>
      <c r="I247">
        <f t="shared" si="21"/>
        <v>4.5327158479286625E-4</v>
      </c>
      <c r="J247">
        <f t="shared" si="22"/>
        <v>0.71138211382113825</v>
      </c>
      <c r="K247">
        <f t="shared" si="23"/>
        <v>0.44871794871794873</v>
      </c>
      <c r="L247">
        <f>A247*COUNTIF(data!D:D,data!$I$2)/data!$L$2</f>
        <v>104.50596658711217</v>
      </c>
      <c r="M247" s="1">
        <f>A247/data!$L$2</f>
        <v>0.19570405727923629</v>
      </c>
      <c r="N247">
        <f t="shared" si="18"/>
        <v>1.6745455375902074</v>
      </c>
    </row>
    <row r="248" spans="1:14" x14ac:dyDescent="0.2">
      <c r="A248">
        <v>247</v>
      </c>
      <c r="B248">
        <f>LARGE(data!F:F,A248)</f>
        <v>0.61642299779999998</v>
      </c>
      <c r="C248">
        <f>COUNTIFS(data!D:D,data!$I$2,data!F:F,"&gt;="&amp;B248)</f>
        <v>175</v>
      </c>
      <c r="D248">
        <f>COUNTIFS(data!D:D,data!$J$2,data!F:F,"&gt;="&amp;B248)</f>
        <v>72</v>
      </c>
      <c r="E248">
        <f>COUNTIFS(data!D:D,data!$J$2,data!F:F,"&lt;"&amp;B248)</f>
        <v>651</v>
      </c>
      <c r="F248">
        <f>COUNTIFS(data!D:D,data!$I$2,data!F:F,"&lt;"&amp;B248)</f>
        <v>359</v>
      </c>
      <c r="G248">
        <f t="shared" si="19"/>
        <v>9.9585062240663894E-2</v>
      </c>
      <c r="H248">
        <f t="shared" si="20"/>
        <v>0.32771535580524347</v>
      </c>
      <c r="I248">
        <f t="shared" si="21"/>
        <v>4.5327158479286625E-4</v>
      </c>
      <c r="J248">
        <f t="shared" si="22"/>
        <v>0.708502024291498</v>
      </c>
      <c r="K248">
        <f t="shared" si="23"/>
        <v>0.44814340588988483</v>
      </c>
      <c r="L248">
        <f>A248*COUNTIF(data!D:D,data!$I$2)/data!$L$2</f>
        <v>104.93078758949881</v>
      </c>
      <c r="M248" s="1">
        <f>A248/data!$L$2</f>
        <v>0.19649960222752585</v>
      </c>
      <c r="N248">
        <f t="shared" si="18"/>
        <v>1.6677660010007733</v>
      </c>
    </row>
    <row r="249" spans="1:14" x14ac:dyDescent="0.2">
      <c r="A249">
        <v>248</v>
      </c>
      <c r="B249">
        <f>LARGE(data!F:F,A249)</f>
        <v>0.61616889190000002</v>
      </c>
      <c r="C249">
        <f>COUNTIFS(data!D:D,data!$I$2,data!F:F,"&gt;="&amp;B249)</f>
        <v>178</v>
      </c>
      <c r="D249">
        <f>COUNTIFS(data!D:D,data!$J$2,data!F:F,"&gt;="&amp;B249)</f>
        <v>72</v>
      </c>
      <c r="E249">
        <f>COUNTIFS(data!D:D,data!$J$2,data!F:F,"&lt;"&amp;B249)</f>
        <v>651</v>
      </c>
      <c r="F249">
        <f>COUNTIFS(data!D:D,data!$I$2,data!F:F,"&lt;"&amp;B249)</f>
        <v>356</v>
      </c>
      <c r="G249">
        <f t="shared" si="19"/>
        <v>9.9585062240663894E-2</v>
      </c>
      <c r="H249">
        <f t="shared" si="20"/>
        <v>0.33333333333333331</v>
      </c>
      <c r="I249">
        <f t="shared" si="21"/>
        <v>0</v>
      </c>
      <c r="J249">
        <f t="shared" si="22"/>
        <v>0.71199999999999997</v>
      </c>
      <c r="K249">
        <f t="shared" si="23"/>
        <v>0.45408163265306123</v>
      </c>
      <c r="L249">
        <f>A249*COUNTIF(data!D:D,data!$I$2)/data!$L$2</f>
        <v>105.35560859188544</v>
      </c>
      <c r="M249" s="1">
        <f>A249/data!$L$2</f>
        <v>0.19729514717581542</v>
      </c>
      <c r="N249">
        <f t="shared" si="18"/>
        <v>1.689516129032258</v>
      </c>
    </row>
    <row r="250" spans="1:14" x14ac:dyDescent="0.2">
      <c r="A250">
        <v>249</v>
      </c>
      <c r="B250">
        <f>LARGE(data!F:F,A250)</f>
        <v>0.61616889190000002</v>
      </c>
      <c r="C250">
        <f>COUNTIFS(data!D:D,data!$I$2,data!F:F,"&gt;="&amp;B250)</f>
        <v>178</v>
      </c>
      <c r="D250">
        <f>COUNTIFS(data!D:D,data!$J$2,data!F:F,"&gt;="&amp;B250)</f>
        <v>72</v>
      </c>
      <c r="E250">
        <f>COUNTIFS(data!D:D,data!$J$2,data!F:F,"&lt;"&amp;B250)</f>
        <v>651</v>
      </c>
      <c r="F250">
        <f>COUNTIFS(data!D:D,data!$I$2,data!F:F,"&lt;"&amp;B250)</f>
        <v>356</v>
      </c>
      <c r="G250">
        <f t="shared" si="19"/>
        <v>9.9585062240663894E-2</v>
      </c>
      <c r="H250">
        <f t="shared" si="20"/>
        <v>0.33333333333333331</v>
      </c>
      <c r="I250">
        <f t="shared" si="21"/>
        <v>0</v>
      </c>
      <c r="J250">
        <f t="shared" si="22"/>
        <v>0.71199999999999997</v>
      </c>
      <c r="K250">
        <f t="shared" si="23"/>
        <v>0.45408163265306123</v>
      </c>
      <c r="L250">
        <f>A250*COUNTIF(data!D:D,data!$I$2)/data!$L$2</f>
        <v>105.78042959427208</v>
      </c>
      <c r="M250" s="1">
        <f>A250/data!$L$2</f>
        <v>0.19809069212410502</v>
      </c>
      <c r="N250">
        <f t="shared" si="18"/>
        <v>1.6827309236947792</v>
      </c>
    </row>
    <row r="251" spans="1:14" x14ac:dyDescent="0.2">
      <c r="A251">
        <v>250</v>
      </c>
      <c r="B251">
        <f>LARGE(data!F:F,A251)</f>
        <v>0.61616889190000002</v>
      </c>
      <c r="C251">
        <f>COUNTIFS(data!D:D,data!$I$2,data!F:F,"&gt;="&amp;B251)</f>
        <v>178</v>
      </c>
      <c r="D251">
        <f>COUNTIFS(data!D:D,data!$J$2,data!F:F,"&gt;="&amp;B251)</f>
        <v>72</v>
      </c>
      <c r="E251">
        <f>COUNTIFS(data!D:D,data!$J$2,data!F:F,"&lt;"&amp;B251)</f>
        <v>651</v>
      </c>
      <c r="F251">
        <f>COUNTIFS(data!D:D,data!$I$2,data!F:F,"&lt;"&amp;B251)</f>
        <v>356</v>
      </c>
      <c r="G251">
        <f t="shared" si="19"/>
        <v>9.9585062240663894E-2</v>
      </c>
      <c r="H251">
        <f t="shared" si="20"/>
        <v>0.33333333333333331</v>
      </c>
      <c r="I251">
        <f t="shared" si="21"/>
        <v>0</v>
      </c>
      <c r="J251">
        <f t="shared" si="22"/>
        <v>0.71199999999999997</v>
      </c>
      <c r="K251">
        <f t="shared" si="23"/>
        <v>0.45408163265306123</v>
      </c>
      <c r="L251">
        <f>A251*COUNTIF(data!D:D,data!$I$2)/data!$L$2</f>
        <v>106.20525059665871</v>
      </c>
      <c r="M251" s="1">
        <f>A251/data!$L$2</f>
        <v>0.19888623707239458</v>
      </c>
      <c r="N251">
        <f t="shared" si="18"/>
        <v>1.6759999999999999</v>
      </c>
    </row>
    <row r="252" spans="1:14" x14ac:dyDescent="0.2">
      <c r="A252">
        <v>251</v>
      </c>
      <c r="B252">
        <f>LARGE(data!F:F,A252)</f>
        <v>0.61600794039999995</v>
      </c>
      <c r="C252">
        <f>COUNTIFS(data!D:D,data!$I$2,data!F:F,"&gt;="&amp;B252)</f>
        <v>183</v>
      </c>
      <c r="D252">
        <f>COUNTIFS(data!D:D,data!$J$2,data!F:F,"&gt;="&amp;B252)</f>
        <v>72</v>
      </c>
      <c r="E252">
        <f>COUNTIFS(data!D:D,data!$J$2,data!F:F,"&lt;"&amp;B252)</f>
        <v>651</v>
      </c>
      <c r="F252">
        <f>COUNTIFS(data!D:D,data!$I$2,data!F:F,"&lt;"&amp;B252)</f>
        <v>351</v>
      </c>
      <c r="G252">
        <f t="shared" si="19"/>
        <v>9.9585062240663894E-2</v>
      </c>
      <c r="H252">
        <f t="shared" si="20"/>
        <v>0.34269662921348315</v>
      </c>
      <c r="I252">
        <f t="shared" si="21"/>
        <v>0</v>
      </c>
      <c r="J252">
        <f t="shared" si="22"/>
        <v>0.71764705882352942</v>
      </c>
      <c r="K252">
        <f t="shared" si="23"/>
        <v>0.46387832699619774</v>
      </c>
      <c r="L252">
        <f>A252*COUNTIF(data!D:D,data!$I$2)/data!$L$2</f>
        <v>106.63007159904535</v>
      </c>
      <c r="M252" s="1">
        <f>A252/data!$L$2</f>
        <v>0.19968178202068418</v>
      </c>
      <c r="N252">
        <f t="shared" si="18"/>
        <v>1.7162137964993955</v>
      </c>
    </row>
    <row r="253" spans="1:14" x14ac:dyDescent="0.2">
      <c r="A253">
        <v>252</v>
      </c>
      <c r="B253">
        <f>LARGE(data!F:F,A253)</f>
        <v>0.61600794039999995</v>
      </c>
      <c r="C253">
        <f>COUNTIFS(data!D:D,data!$I$2,data!F:F,"&gt;="&amp;B253)</f>
        <v>183</v>
      </c>
      <c r="D253">
        <f>COUNTIFS(data!D:D,data!$J$2,data!F:F,"&gt;="&amp;B253)</f>
        <v>72</v>
      </c>
      <c r="E253">
        <f>COUNTIFS(data!D:D,data!$J$2,data!F:F,"&lt;"&amp;B253)</f>
        <v>651</v>
      </c>
      <c r="F253">
        <f>COUNTIFS(data!D:D,data!$I$2,data!F:F,"&lt;"&amp;B253)</f>
        <v>351</v>
      </c>
      <c r="G253">
        <f t="shared" si="19"/>
        <v>9.9585062240663894E-2</v>
      </c>
      <c r="H253">
        <f t="shared" si="20"/>
        <v>0.34269662921348315</v>
      </c>
      <c r="I253">
        <f t="shared" si="21"/>
        <v>0</v>
      </c>
      <c r="J253">
        <f t="shared" si="22"/>
        <v>0.71764705882352942</v>
      </c>
      <c r="K253">
        <f t="shared" si="23"/>
        <v>0.46387832699619774</v>
      </c>
      <c r="L253">
        <f>A253*COUNTIF(data!D:D,data!$I$2)/data!$L$2</f>
        <v>107.05489260143199</v>
      </c>
      <c r="M253" s="1">
        <f>A253/data!$L$2</f>
        <v>0.20047732696897375</v>
      </c>
      <c r="N253">
        <f t="shared" si="18"/>
        <v>1.7094034242910647</v>
      </c>
    </row>
    <row r="254" spans="1:14" x14ac:dyDescent="0.2">
      <c r="A254">
        <v>253</v>
      </c>
      <c r="B254">
        <f>LARGE(data!F:F,A254)</f>
        <v>0.61600794039999995</v>
      </c>
      <c r="C254">
        <f>COUNTIFS(data!D:D,data!$I$2,data!F:F,"&gt;="&amp;B254)</f>
        <v>183</v>
      </c>
      <c r="D254">
        <f>COUNTIFS(data!D:D,data!$J$2,data!F:F,"&gt;="&amp;B254)</f>
        <v>72</v>
      </c>
      <c r="E254">
        <f>COUNTIFS(data!D:D,data!$J$2,data!F:F,"&lt;"&amp;B254)</f>
        <v>651</v>
      </c>
      <c r="F254">
        <f>COUNTIFS(data!D:D,data!$I$2,data!F:F,"&lt;"&amp;B254)</f>
        <v>351</v>
      </c>
      <c r="G254">
        <f t="shared" si="19"/>
        <v>9.9585062240663894E-2</v>
      </c>
      <c r="H254">
        <f t="shared" si="20"/>
        <v>0.34269662921348315</v>
      </c>
      <c r="I254">
        <f t="shared" si="21"/>
        <v>0</v>
      </c>
      <c r="J254">
        <f t="shared" si="22"/>
        <v>0.71764705882352942</v>
      </c>
      <c r="K254">
        <f t="shared" si="23"/>
        <v>0.46387832699619774</v>
      </c>
      <c r="L254">
        <f>A254*COUNTIF(data!D:D,data!$I$2)/data!$L$2</f>
        <v>107.47971360381861</v>
      </c>
      <c r="M254" s="1">
        <f>A254/data!$L$2</f>
        <v>0.20127287191726331</v>
      </c>
      <c r="N254">
        <f t="shared" si="18"/>
        <v>1.7026468890171871</v>
      </c>
    </row>
    <row r="255" spans="1:14" x14ac:dyDescent="0.2">
      <c r="A255">
        <v>254</v>
      </c>
      <c r="B255">
        <f>LARGE(data!F:F,A255)</f>
        <v>0.61600794039999995</v>
      </c>
      <c r="C255">
        <f>COUNTIFS(data!D:D,data!$I$2,data!F:F,"&gt;="&amp;B255)</f>
        <v>183</v>
      </c>
      <c r="D255">
        <f>COUNTIFS(data!D:D,data!$J$2,data!F:F,"&gt;="&amp;B255)</f>
        <v>72</v>
      </c>
      <c r="E255">
        <f>COUNTIFS(data!D:D,data!$J$2,data!F:F,"&lt;"&amp;B255)</f>
        <v>651</v>
      </c>
      <c r="F255">
        <f>COUNTIFS(data!D:D,data!$I$2,data!F:F,"&lt;"&amp;B255)</f>
        <v>351</v>
      </c>
      <c r="G255">
        <f t="shared" si="19"/>
        <v>9.9585062240663894E-2</v>
      </c>
      <c r="H255">
        <f t="shared" si="20"/>
        <v>0.34269662921348315</v>
      </c>
      <c r="I255">
        <f t="shared" si="21"/>
        <v>0</v>
      </c>
      <c r="J255">
        <f t="shared" si="22"/>
        <v>0.71764705882352942</v>
      </c>
      <c r="K255">
        <f t="shared" si="23"/>
        <v>0.46387832699619774</v>
      </c>
      <c r="L255">
        <f>A255*COUNTIF(data!D:D,data!$I$2)/data!$L$2</f>
        <v>107.90453460620525</v>
      </c>
      <c r="M255" s="1">
        <f>A255/data!$L$2</f>
        <v>0.20206841686555291</v>
      </c>
      <c r="N255">
        <f t="shared" si="18"/>
        <v>1.695943554808458</v>
      </c>
    </row>
    <row r="256" spans="1:14" x14ac:dyDescent="0.2">
      <c r="A256">
        <v>255</v>
      </c>
      <c r="B256">
        <f>LARGE(data!F:F,A256)</f>
        <v>0.61600794039999995</v>
      </c>
      <c r="C256">
        <f>COUNTIFS(data!D:D,data!$I$2,data!F:F,"&gt;="&amp;B256)</f>
        <v>183</v>
      </c>
      <c r="D256">
        <f>COUNTIFS(data!D:D,data!$J$2,data!F:F,"&gt;="&amp;B256)</f>
        <v>72</v>
      </c>
      <c r="E256">
        <f>COUNTIFS(data!D:D,data!$J$2,data!F:F,"&lt;"&amp;B256)</f>
        <v>651</v>
      </c>
      <c r="F256">
        <f>COUNTIFS(data!D:D,data!$I$2,data!F:F,"&lt;"&amp;B256)</f>
        <v>351</v>
      </c>
      <c r="G256">
        <f t="shared" si="19"/>
        <v>9.9585062240663894E-2</v>
      </c>
      <c r="H256">
        <f t="shared" si="20"/>
        <v>0.34269662921348315</v>
      </c>
      <c r="I256">
        <f t="shared" si="21"/>
        <v>0</v>
      </c>
      <c r="J256">
        <f t="shared" si="22"/>
        <v>0.71764705882352942</v>
      </c>
      <c r="K256">
        <f t="shared" si="23"/>
        <v>0.46387832699619774</v>
      </c>
      <c r="L256">
        <f>A256*COUNTIF(data!D:D,data!$I$2)/data!$L$2</f>
        <v>108.32935560859188</v>
      </c>
      <c r="M256" s="1">
        <f>A256/data!$L$2</f>
        <v>0.20286396181384247</v>
      </c>
      <c r="N256">
        <f t="shared" si="18"/>
        <v>1.6892927957699935</v>
      </c>
    </row>
    <row r="257" spans="1:14" x14ac:dyDescent="0.2">
      <c r="A257">
        <v>256</v>
      </c>
      <c r="B257">
        <f>LARGE(data!F:F,A257)</f>
        <v>0.6152180384</v>
      </c>
      <c r="C257">
        <f>COUNTIFS(data!D:D,data!$I$2,data!F:F,"&gt;="&amp;B257)</f>
        <v>183</v>
      </c>
      <c r="D257">
        <f>COUNTIFS(data!D:D,data!$J$2,data!F:F,"&gt;="&amp;B257)</f>
        <v>73</v>
      </c>
      <c r="E257">
        <f>COUNTIFS(data!D:D,data!$J$2,data!F:F,"&lt;"&amp;B257)</f>
        <v>650</v>
      </c>
      <c r="F257">
        <f>COUNTIFS(data!D:D,data!$I$2,data!F:F,"&lt;"&amp;B257)</f>
        <v>351</v>
      </c>
      <c r="G257">
        <f t="shared" si="19"/>
        <v>0.10096818810511757</v>
      </c>
      <c r="H257">
        <f t="shared" si="20"/>
        <v>0.34269662921348315</v>
      </c>
      <c r="I257">
        <f t="shared" si="21"/>
        <v>4.7399257152625916E-4</v>
      </c>
      <c r="J257">
        <f t="shared" si="22"/>
        <v>0.71484375</v>
      </c>
      <c r="K257">
        <f t="shared" si="23"/>
        <v>0.4632911392405063</v>
      </c>
      <c r="L257">
        <f>A257*COUNTIF(data!D:D,data!$I$2)/data!$L$2</f>
        <v>108.75417661097852</v>
      </c>
      <c r="M257" s="1">
        <f>A257/data!$L$2</f>
        <v>0.20365950676213207</v>
      </c>
      <c r="N257">
        <f t="shared" si="18"/>
        <v>1.6826939957865168</v>
      </c>
    </row>
    <row r="258" spans="1:14" x14ac:dyDescent="0.2">
      <c r="A258">
        <v>257</v>
      </c>
      <c r="B258">
        <f>LARGE(data!F:F,A258)</f>
        <v>0.6145055304</v>
      </c>
      <c r="C258">
        <f>COUNTIFS(data!D:D,data!$I$2,data!F:F,"&gt;="&amp;B258)</f>
        <v>184</v>
      </c>
      <c r="D258">
        <f>COUNTIFS(data!D:D,data!$J$2,data!F:F,"&gt;="&amp;B258)</f>
        <v>73</v>
      </c>
      <c r="E258">
        <f>COUNTIFS(data!D:D,data!$J$2,data!F:F,"&lt;"&amp;B258)</f>
        <v>650</v>
      </c>
      <c r="F258">
        <f>COUNTIFS(data!D:D,data!$I$2,data!F:F,"&lt;"&amp;B258)</f>
        <v>350</v>
      </c>
      <c r="G258">
        <f t="shared" si="19"/>
        <v>0.10096818810511757</v>
      </c>
      <c r="H258">
        <f t="shared" si="20"/>
        <v>0.34456928838951312</v>
      </c>
      <c r="I258">
        <f t="shared" si="21"/>
        <v>0</v>
      </c>
      <c r="J258">
        <f t="shared" si="22"/>
        <v>0.71595330739299612</v>
      </c>
      <c r="K258">
        <f t="shared" si="23"/>
        <v>0.46523388116308467</v>
      </c>
      <c r="L258">
        <f>A258*COUNTIF(data!D:D,data!$I$2)/data!$L$2</f>
        <v>109.17899761336515</v>
      </c>
      <c r="M258" s="1">
        <f>A258/data!$L$2</f>
        <v>0.20445505171042164</v>
      </c>
      <c r="N258">
        <f t="shared" ref="N258:N321" si="24">C258/L258</f>
        <v>1.6853058190880077</v>
      </c>
    </row>
    <row r="259" spans="1:14" x14ac:dyDescent="0.2">
      <c r="A259">
        <v>258</v>
      </c>
      <c r="B259">
        <f>LARGE(data!F:F,A259)</f>
        <v>0.61316158249999997</v>
      </c>
      <c r="C259">
        <f>COUNTIFS(data!D:D,data!$I$2,data!F:F,"&gt;="&amp;B259)</f>
        <v>185</v>
      </c>
      <c r="D259">
        <f>COUNTIFS(data!D:D,data!$J$2,data!F:F,"&gt;="&amp;B259)</f>
        <v>73</v>
      </c>
      <c r="E259">
        <f>COUNTIFS(data!D:D,data!$J$2,data!F:F,"&lt;"&amp;B259)</f>
        <v>650</v>
      </c>
      <c r="F259">
        <f>COUNTIFS(data!D:D,data!$I$2,data!F:F,"&lt;"&amp;B259)</f>
        <v>349</v>
      </c>
      <c r="G259">
        <f t="shared" ref="G259:G310" si="25">D259/(E259+D259)</f>
        <v>0.10096818810511757</v>
      </c>
      <c r="H259">
        <f t="shared" ref="H259:H310" si="26">C259/(C259+F259)</f>
        <v>0.34644194756554308</v>
      </c>
      <c r="I259">
        <f t="shared" ref="I259:I322" si="27">(G259-G258)*(H259+H258)*0.5</f>
        <v>0</v>
      </c>
      <c r="J259">
        <f t="shared" ref="J259:J310" si="28">C259/(C259+D259)</f>
        <v>0.71705426356589153</v>
      </c>
      <c r="K259">
        <f t="shared" ref="K259:K310" si="29">2*J259*H259/(J259+H259)</f>
        <v>0.46717171717171724</v>
      </c>
      <c r="L259">
        <f>A259*COUNTIF(data!D:D,data!$I$2)/data!$L$2</f>
        <v>109.60381861575179</v>
      </c>
      <c r="M259" s="1">
        <f>A259/data!$L$2</f>
        <v>0.2052505966587112</v>
      </c>
      <c r="N259">
        <f t="shared" si="24"/>
        <v>1.687897395697239</v>
      </c>
    </row>
    <row r="260" spans="1:14" x14ac:dyDescent="0.2">
      <c r="A260">
        <v>259</v>
      </c>
      <c r="B260">
        <f>LARGE(data!F:F,A260)</f>
        <v>0.61159042279999998</v>
      </c>
      <c r="C260">
        <f>COUNTIFS(data!D:D,data!$I$2,data!F:F,"&gt;="&amp;B260)</f>
        <v>187</v>
      </c>
      <c r="D260">
        <f>COUNTIFS(data!D:D,data!$J$2,data!F:F,"&gt;="&amp;B260)</f>
        <v>73</v>
      </c>
      <c r="E260">
        <f>COUNTIFS(data!D:D,data!$J$2,data!F:F,"&lt;"&amp;B260)</f>
        <v>650</v>
      </c>
      <c r="F260">
        <f>COUNTIFS(data!D:D,data!$I$2,data!F:F,"&lt;"&amp;B260)</f>
        <v>347</v>
      </c>
      <c r="G260">
        <f t="shared" si="25"/>
        <v>0.10096818810511757</v>
      </c>
      <c r="H260">
        <f t="shared" si="26"/>
        <v>0.35018726591760302</v>
      </c>
      <c r="I260">
        <f t="shared" si="27"/>
        <v>0</v>
      </c>
      <c r="J260">
        <f t="shared" si="28"/>
        <v>0.71923076923076923</v>
      </c>
      <c r="K260">
        <f t="shared" si="29"/>
        <v>0.47103274559193958</v>
      </c>
      <c r="L260">
        <f>A260*COUNTIF(data!D:D,data!$I$2)/data!$L$2</f>
        <v>110.02863961813843</v>
      </c>
      <c r="M260" s="1">
        <f>A260/data!$L$2</f>
        <v>0.2060461416070008</v>
      </c>
      <c r="N260">
        <f t="shared" si="24"/>
        <v>1.6995575029282894</v>
      </c>
    </row>
    <row r="261" spans="1:14" x14ac:dyDescent="0.2">
      <c r="A261">
        <v>260</v>
      </c>
      <c r="B261">
        <f>LARGE(data!F:F,A261)</f>
        <v>0.61159042279999998</v>
      </c>
      <c r="C261">
        <f>COUNTIFS(data!D:D,data!$I$2,data!F:F,"&gt;="&amp;B261)</f>
        <v>187</v>
      </c>
      <c r="D261">
        <f>COUNTIFS(data!D:D,data!$J$2,data!F:F,"&gt;="&amp;B261)</f>
        <v>73</v>
      </c>
      <c r="E261">
        <f>COUNTIFS(data!D:D,data!$J$2,data!F:F,"&lt;"&amp;B261)</f>
        <v>650</v>
      </c>
      <c r="F261">
        <f>COUNTIFS(data!D:D,data!$I$2,data!F:F,"&lt;"&amp;B261)</f>
        <v>347</v>
      </c>
      <c r="G261">
        <f t="shared" si="25"/>
        <v>0.10096818810511757</v>
      </c>
      <c r="H261">
        <f t="shared" si="26"/>
        <v>0.35018726591760302</v>
      </c>
      <c r="I261">
        <f t="shared" si="27"/>
        <v>0</v>
      </c>
      <c r="J261">
        <f t="shared" si="28"/>
        <v>0.71923076923076923</v>
      </c>
      <c r="K261">
        <f t="shared" si="29"/>
        <v>0.47103274559193958</v>
      </c>
      <c r="L261">
        <f>A261*COUNTIF(data!D:D,data!$I$2)/data!$L$2</f>
        <v>110.45346062052506</v>
      </c>
      <c r="M261" s="1">
        <f>A261/data!$L$2</f>
        <v>0.20684168655529037</v>
      </c>
      <c r="N261">
        <f t="shared" si="24"/>
        <v>1.6930207433016422</v>
      </c>
    </row>
    <row r="262" spans="1:14" x14ac:dyDescent="0.2">
      <c r="A262">
        <v>261</v>
      </c>
      <c r="B262">
        <f>LARGE(data!F:F,A262)</f>
        <v>0.61033109519999995</v>
      </c>
      <c r="C262">
        <f>COUNTIFS(data!D:D,data!$I$2,data!F:F,"&gt;="&amp;B262)</f>
        <v>187</v>
      </c>
      <c r="D262">
        <f>COUNTIFS(data!D:D,data!$J$2,data!F:F,"&gt;="&amp;B262)</f>
        <v>74</v>
      </c>
      <c r="E262">
        <f>COUNTIFS(data!D:D,data!$J$2,data!F:F,"&lt;"&amp;B262)</f>
        <v>649</v>
      </c>
      <c r="F262">
        <f>COUNTIFS(data!D:D,data!$I$2,data!F:F,"&lt;"&amp;B262)</f>
        <v>347</v>
      </c>
      <c r="G262">
        <f t="shared" si="25"/>
        <v>0.10235131396957123</v>
      </c>
      <c r="H262">
        <f t="shared" si="26"/>
        <v>0.35018726591760302</v>
      </c>
      <c r="I262">
        <f t="shared" si="27"/>
        <v>4.8435306489294852E-4</v>
      </c>
      <c r="J262">
        <f t="shared" si="28"/>
        <v>0.71647509578544066</v>
      </c>
      <c r="K262">
        <f t="shared" si="29"/>
        <v>0.47044025157232705</v>
      </c>
      <c r="L262">
        <f>A262*COUNTIF(data!D:D,data!$I$2)/data!$L$2</f>
        <v>110.8782816229117</v>
      </c>
      <c r="M262" s="1">
        <f>A262/data!$L$2</f>
        <v>0.20763723150357996</v>
      </c>
      <c r="N262">
        <f t="shared" si="24"/>
        <v>1.6865340737870764</v>
      </c>
    </row>
    <row r="263" spans="1:14" x14ac:dyDescent="0.2">
      <c r="A263">
        <v>262</v>
      </c>
      <c r="B263">
        <f>LARGE(data!F:F,A263)</f>
        <v>0.60997677279999996</v>
      </c>
      <c r="C263">
        <f>COUNTIFS(data!D:D,data!$I$2,data!F:F,"&gt;="&amp;B263)</f>
        <v>191</v>
      </c>
      <c r="D263">
        <f>COUNTIFS(data!D:D,data!$J$2,data!F:F,"&gt;="&amp;B263)</f>
        <v>74</v>
      </c>
      <c r="E263">
        <f>COUNTIFS(data!D:D,data!$J$2,data!F:F,"&lt;"&amp;B263)</f>
        <v>649</v>
      </c>
      <c r="F263">
        <f>COUNTIFS(data!D:D,data!$I$2,data!F:F,"&lt;"&amp;B263)</f>
        <v>343</v>
      </c>
      <c r="G263">
        <f t="shared" si="25"/>
        <v>0.10235131396957123</v>
      </c>
      <c r="H263">
        <f t="shared" si="26"/>
        <v>0.35767790262172283</v>
      </c>
      <c r="I263">
        <f t="shared" si="27"/>
        <v>0</v>
      </c>
      <c r="J263">
        <f t="shared" si="28"/>
        <v>0.72075471698113203</v>
      </c>
      <c r="K263">
        <f t="shared" si="29"/>
        <v>0.47809762202753436</v>
      </c>
      <c r="L263">
        <f>A263*COUNTIF(data!D:D,data!$I$2)/data!$L$2</f>
        <v>111.30310262529832</v>
      </c>
      <c r="M263" s="1">
        <f>A263/data!$L$2</f>
        <v>0.20843277645186953</v>
      </c>
      <c r="N263">
        <f t="shared" si="24"/>
        <v>1.7160348228836093</v>
      </c>
    </row>
    <row r="264" spans="1:14" x14ac:dyDescent="0.2">
      <c r="A264">
        <v>263</v>
      </c>
      <c r="B264">
        <f>LARGE(data!F:F,A264)</f>
        <v>0.60997677279999996</v>
      </c>
      <c r="C264">
        <f>COUNTIFS(data!D:D,data!$I$2,data!F:F,"&gt;="&amp;B264)</f>
        <v>191</v>
      </c>
      <c r="D264">
        <f>COUNTIFS(data!D:D,data!$J$2,data!F:F,"&gt;="&amp;B264)</f>
        <v>74</v>
      </c>
      <c r="E264">
        <f>COUNTIFS(data!D:D,data!$J$2,data!F:F,"&lt;"&amp;B264)</f>
        <v>649</v>
      </c>
      <c r="F264">
        <f>COUNTIFS(data!D:D,data!$I$2,data!F:F,"&lt;"&amp;B264)</f>
        <v>343</v>
      </c>
      <c r="G264">
        <f t="shared" si="25"/>
        <v>0.10235131396957123</v>
      </c>
      <c r="H264">
        <f t="shared" si="26"/>
        <v>0.35767790262172283</v>
      </c>
      <c r="I264">
        <f t="shared" si="27"/>
        <v>0</v>
      </c>
      <c r="J264">
        <f t="shared" si="28"/>
        <v>0.72075471698113203</v>
      </c>
      <c r="K264">
        <f t="shared" si="29"/>
        <v>0.47809762202753436</v>
      </c>
      <c r="L264">
        <f>A264*COUNTIF(data!D:D,data!$I$2)/data!$L$2</f>
        <v>111.72792362768496</v>
      </c>
      <c r="M264" s="1">
        <f>A264/data!$L$2</f>
        <v>0.2092283214001591</v>
      </c>
      <c r="N264">
        <f t="shared" si="24"/>
        <v>1.7095099756483103</v>
      </c>
    </row>
    <row r="265" spans="1:14" x14ac:dyDescent="0.2">
      <c r="A265">
        <v>264</v>
      </c>
      <c r="B265">
        <f>LARGE(data!F:F,A265)</f>
        <v>0.60997677279999996</v>
      </c>
      <c r="C265">
        <f>COUNTIFS(data!D:D,data!$I$2,data!F:F,"&gt;="&amp;B265)</f>
        <v>191</v>
      </c>
      <c r="D265">
        <f>COUNTIFS(data!D:D,data!$J$2,data!F:F,"&gt;="&amp;B265)</f>
        <v>74</v>
      </c>
      <c r="E265">
        <f>COUNTIFS(data!D:D,data!$J$2,data!F:F,"&lt;"&amp;B265)</f>
        <v>649</v>
      </c>
      <c r="F265">
        <f>COUNTIFS(data!D:D,data!$I$2,data!F:F,"&lt;"&amp;B265)</f>
        <v>343</v>
      </c>
      <c r="G265">
        <f t="shared" si="25"/>
        <v>0.10235131396957123</v>
      </c>
      <c r="H265">
        <f t="shared" si="26"/>
        <v>0.35767790262172283</v>
      </c>
      <c r="I265">
        <f t="shared" si="27"/>
        <v>0</v>
      </c>
      <c r="J265">
        <f t="shared" si="28"/>
        <v>0.72075471698113203</v>
      </c>
      <c r="K265">
        <f t="shared" si="29"/>
        <v>0.47809762202753436</v>
      </c>
      <c r="L265">
        <f>A265*COUNTIF(data!D:D,data!$I$2)/data!$L$2</f>
        <v>112.1527446300716</v>
      </c>
      <c r="M265" s="1">
        <f>A265/data!$L$2</f>
        <v>0.21002386634844869</v>
      </c>
      <c r="N265">
        <f t="shared" si="24"/>
        <v>1.7030345590738849</v>
      </c>
    </row>
    <row r="266" spans="1:14" x14ac:dyDescent="0.2">
      <c r="A266">
        <v>265</v>
      </c>
      <c r="B266">
        <f>LARGE(data!F:F,A266)</f>
        <v>0.60997677279999996</v>
      </c>
      <c r="C266">
        <f>COUNTIFS(data!D:D,data!$I$2,data!F:F,"&gt;="&amp;B266)</f>
        <v>191</v>
      </c>
      <c r="D266">
        <f>COUNTIFS(data!D:D,data!$J$2,data!F:F,"&gt;="&amp;B266)</f>
        <v>74</v>
      </c>
      <c r="E266">
        <f>COUNTIFS(data!D:D,data!$J$2,data!F:F,"&lt;"&amp;B266)</f>
        <v>649</v>
      </c>
      <c r="F266">
        <f>COUNTIFS(data!D:D,data!$I$2,data!F:F,"&lt;"&amp;B266)</f>
        <v>343</v>
      </c>
      <c r="G266">
        <f t="shared" si="25"/>
        <v>0.10235131396957123</v>
      </c>
      <c r="H266">
        <f t="shared" si="26"/>
        <v>0.35767790262172283</v>
      </c>
      <c r="I266">
        <f t="shared" si="27"/>
        <v>0</v>
      </c>
      <c r="J266">
        <f t="shared" si="28"/>
        <v>0.72075471698113203</v>
      </c>
      <c r="K266">
        <f t="shared" si="29"/>
        <v>0.47809762202753436</v>
      </c>
      <c r="L266">
        <f>A266*COUNTIF(data!D:D,data!$I$2)/data!$L$2</f>
        <v>112.57756563245823</v>
      </c>
      <c r="M266" s="1">
        <f>A266/data!$L$2</f>
        <v>0.21081941129673826</v>
      </c>
      <c r="N266">
        <f t="shared" si="24"/>
        <v>1.6966080135679458</v>
      </c>
    </row>
    <row r="267" spans="1:14" x14ac:dyDescent="0.2">
      <c r="A267">
        <v>266</v>
      </c>
      <c r="B267">
        <f>LARGE(data!F:F,A267)</f>
        <v>0.60963580510000004</v>
      </c>
      <c r="C267">
        <f>COUNTIFS(data!D:D,data!$I$2,data!F:F,"&gt;="&amp;B267)</f>
        <v>193</v>
      </c>
      <c r="D267">
        <f>COUNTIFS(data!D:D,data!$J$2,data!F:F,"&gt;="&amp;B267)</f>
        <v>74</v>
      </c>
      <c r="E267">
        <f>COUNTIFS(data!D:D,data!$J$2,data!F:F,"&lt;"&amp;B267)</f>
        <v>649</v>
      </c>
      <c r="F267">
        <f>COUNTIFS(data!D:D,data!$I$2,data!F:F,"&lt;"&amp;B267)</f>
        <v>341</v>
      </c>
      <c r="G267">
        <f t="shared" si="25"/>
        <v>0.10235131396957123</v>
      </c>
      <c r="H267">
        <f t="shared" si="26"/>
        <v>0.36142322097378277</v>
      </c>
      <c r="I267">
        <f t="shared" si="27"/>
        <v>0</v>
      </c>
      <c r="J267">
        <f t="shared" si="28"/>
        <v>0.72284644194756553</v>
      </c>
      <c r="K267">
        <f t="shared" si="29"/>
        <v>0.48189762796504371</v>
      </c>
      <c r="L267">
        <f>A267*COUNTIF(data!D:D,data!$I$2)/data!$L$2</f>
        <v>113.00238663484487</v>
      </c>
      <c r="M267" s="1">
        <f>A267/data!$L$2</f>
        <v>0.21161495624502785</v>
      </c>
      <c r="N267">
        <f t="shared" si="24"/>
        <v>1.707928529188139</v>
      </c>
    </row>
    <row r="268" spans="1:14" x14ac:dyDescent="0.2">
      <c r="A268">
        <v>267</v>
      </c>
      <c r="B268">
        <f>LARGE(data!F:F,A268)</f>
        <v>0.60963580510000004</v>
      </c>
      <c r="C268">
        <f>COUNTIFS(data!D:D,data!$I$2,data!F:F,"&gt;="&amp;B268)</f>
        <v>193</v>
      </c>
      <c r="D268">
        <f>COUNTIFS(data!D:D,data!$J$2,data!F:F,"&gt;="&amp;B268)</f>
        <v>74</v>
      </c>
      <c r="E268">
        <f>COUNTIFS(data!D:D,data!$J$2,data!F:F,"&lt;"&amp;B268)</f>
        <v>649</v>
      </c>
      <c r="F268">
        <f>COUNTIFS(data!D:D,data!$I$2,data!F:F,"&lt;"&amp;B268)</f>
        <v>341</v>
      </c>
      <c r="G268">
        <f t="shared" si="25"/>
        <v>0.10235131396957123</v>
      </c>
      <c r="H268">
        <f t="shared" si="26"/>
        <v>0.36142322097378277</v>
      </c>
      <c r="I268">
        <f t="shared" si="27"/>
        <v>0</v>
      </c>
      <c r="J268">
        <f t="shared" si="28"/>
        <v>0.72284644194756553</v>
      </c>
      <c r="K268">
        <f t="shared" si="29"/>
        <v>0.48189762796504371</v>
      </c>
      <c r="L268">
        <f>A268*COUNTIF(data!D:D,data!$I$2)/data!$L$2</f>
        <v>113.4272076372315</v>
      </c>
      <c r="M268" s="1">
        <f>A268/data!$L$2</f>
        <v>0.21241050119331742</v>
      </c>
      <c r="N268">
        <f t="shared" si="24"/>
        <v>1.7015317931237639</v>
      </c>
    </row>
    <row r="269" spans="1:14" x14ac:dyDescent="0.2">
      <c r="A269">
        <v>268</v>
      </c>
      <c r="B269">
        <f>LARGE(data!F:F,A269)</f>
        <v>0.60889569799999999</v>
      </c>
      <c r="C269">
        <f>COUNTIFS(data!D:D,data!$I$2,data!F:F,"&gt;="&amp;B269)</f>
        <v>193</v>
      </c>
      <c r="D269">
        <f>COUNTIFS(data!D:D,data!$J$2,data!F:F,"&gt;="&amp;B269)</f>
        <v>75</v>
      </c>
      <c r="E269">
        <f>COUNTIFS(data!D:D,data!$J$2,data!F:F,"&lt;"&amp;B269)</f>
        <v>648</v>
      </c>
      <c r="F269">
        <f>COUNTIFS(data!D:D,data!$I$2,data!F:F,"&lt;"&amp;B269)</f>
        <v>341</v>
      </c>
      <c r="G269">
        <f t="shared" si="25"/>
        <v>0.1037344398340249</v>
      </c>
      <c r="H269">
        <f t="shared" si="26"/>
        <v>0.36142322097378277</v>
      </c>
      <c r="I269">
        <f t="shared" si="27"/>
        <v>4.9989380494299459E-4</v>
      </c>
      <c r="J269">
        <f t="shared" si="28"/>
        <v>0.72014925373134331</v>
      </c>
      <c r="K269">
        <f t="shared" si="29"/>
        <v>0.48129675810473815</v>
      </c>
      <c r="L269">
        <f>A269*COUNTIF(data!D:D,data!$I$2)/data!$L$2</f>
        <v>113.85202863961814</v>
      </c>
      <c r="M269" s="1">
        <f>A269/data!$L$2</f>
        <v>0.21320604614160701</v>
      </c>
      <c r="N269">
        <f t="shared" si="24"/>
        <v>1.69518279389569</v>
      </c>
    </row>
    <row r="270" spans="1:14" x14ac:dyDescent="0.2">
      <c r="A270">
        <v>269</v>
      </c>
      <c r="B270">
        <f>LARGE(data!F:F,A270)</f>
        <v>0.60871092979999997</v>
      </c>
      <c r="C270">
        <f>COUNTIFS(data!D:D,data!$I$2,data!F:F,"&gt;="&amp;B270)</f>
        <v>193</v>
      </c>
      <c r="D270">
        <f>COUNTIFS(data!D:D,data!$J$2,data!F:F,"&gt;="&amp;B270)</f>
        <v>76</v>
      </c>
      <c r="E270">
        <f>COUNTIFS(data!D:D,data!$J$2,data!F:F,"&lt;"&amp;B270)</f>
        <v>647</v>
      </c>
      <c r="F270">
        <f>COUNTIFS(data!D:D,data!$I$2,data!F:F,"&lt;"&amp;B270)</f>
        <v>341</v>
      </c>
      <c r="G270">
        <f t="shared" si="25"/>
        <v>0.10511756569847856</v>
      </c>
      <c r="H270">
        <f t="shared" si="26"/>
        <v>0.36142322097378277</v>
      </c>
      <c r="I270">
        <f t="shared" si="27"/>
        <v>4.998938049429896E-4</v>
      </c>
      <c r="J270">
        <f t="shared" si="28"/>
        <v>0.71747211895910779</v>
      </c>
      <c r="K270">
        <f t="shared" si="29"/>
        <v>0.48069738480697394</v>
      </c>
      <c r="L270">
        <f>A270*COUNTIF(data!D:D,data!$I$2)/data!$L$2</f>
        <v>114.27684964200478</v>
      </c>
      <c r="M270" s="1">
        <f>A270/data!$L$2</f>
        <v>0.21400159108989658</v>
      </c>
      <c r="N270">
        <f t="shared" si="24"/>
        <v>1.6888809991228435</v>
      </c>
    </row>
    <row r="271" spans="1:14" x14ac:dyDescent="0.2">
      <c r="A271">
        <v>270</v>
      </c>
      <c r="B271">
        <f>LARGE(data!F:F,A271)</f>
        <v>0.60734809909999998</v>
      </c>
      <c r="C271">
        <f>COUNTIFS(data!D:D,data!$I$2,data!F:F,"&gt;="&amp;B271)</f>
        <v>193</v>
      </c>
      <c r="D271">
        <f>COUNTIFS(data!D:D,data!$J$2,data!F:F,"&gt;="&amp;B271)</f>
        <v>77</v>
      </c>
      <c r="E271">
        <f>COUNTIFS(data!D:D,data!$J$2,data!F:F,"&lt;"&amp;B271)</f>
        <v>646</v>
      </c>
      <c r="F271">
        <f>COUNTIFS(data!D:D,data!$I$2,data!F:F,"&lt;"&amp;B271)</f>
        <v>341</v>
      </c>
      <c r="G271">
        <f t="shared" si="25"/>
        <v>0.10650069156293222</v>
      </c>
      <c r="H271">
        <f t="shared" si="26"/>
        <v>0.36142322097378277</v>
      </c>
      <c r="I271">
        <f t="shared" si="27"/>
        <v>4.998938049429896E-4</v>
      </c>
      <c r="J271">
        <f t="shared" si="28"/>
        <v>0.71481481481481479</v>
      </c>
      <c r="K271">
        <f t="shared" si="29"/>
        <v>0.48009950248756217</v>
      </c>
      <c r="L271">
        <f>A271*COUNTIF(data!D:D,data!$I$2)/data!$L$2</f>
        <v>114.70167064439141</v>
      </c>
      <c r="M271" s="1">
        <f>A271/data!$L$2</f>
        <v>0.21479713603818615</v>
      </c>
      <c r="N271">
        <f t="shared" si="24"/>
        <v>1.6826258843112776</v>
      </c>
    </row>
    <row r="272" spans="1:14" x14ac:dyDescent="0.2">
      <c r="A272">
        <v>271</v>
      </c>
      <c r="B272">
        <f>LARGE(data!F:F,A272)</f>
        <v>0.60712316830000002</v>
      </c>
      <c r="C272">
        <f>COUNTIFS(data!D:D,data!$I$2,data!F:F,"&gt;="&amp;B272)</f>
        <v>195</v>
      </c>
      <c r="D272">
        <f>COUNTIFS(data!D:D,data!$J$2,data!F:F,"&gt;="&amp;B272)</f>
        <v>77</v>
      </c>
      <c r="E272">
        <f>COUNTIFS(data!D:D,data!$J$2,data!F:F,"&lt;"&amp;B272)</f>
        <v>646</v>
      </c>
      <c r="F272">
        <f>COUNTIFS(data!D:D,data!$I$2,data!F:F,"&lt;"&amp;B272)</f>
        <v>339</v>
      </c>
      <c r="G272">
        <f t="shared" si="25"/>
        <v>0.10650069156293222</v>
      </c>
      <c r="H272">
        <f t="shared" si="26"/>
        <v>0.3651685393258427</v>
      </c>
      <c r="I272">
        <f t="shared" si="27"/>
        <v>0</v>
      </c>
      <c r="J272">
        <f t="shared" si="28"/>
        <v>0.71691176470588236</v>
      </c>
      <c r="K272">
        <f t="shared" si="29"/>
        <v>0.4838709677419355</v>
      </c>
      <c r="L272">
        <f>A272*COUNTIF(data!D:D,data!$I$2)/data!$L$2</f>
        <v>115.12649164677805</v>
      </c>
      <c r="M272" s="1">
        <f>A272/data!$L$2</f>
        <v>0.21559268098647574</v>
      </c>
      <c r="N272">
        <f t="shared" si="24"/>
        <v>1.6937891289025249</v>
      </c>
    </row>
    <row r="273" spans="1:14" x14ac:dyDescent="0.2">
      <c r="A273">
        <v>272</v>
      </c>
      <c r="B273">
        <f>LARGE(data!F:F,A273)</f>
        <v>0.60712316830000002</v>
      </c>
      <c r="C273">
        <f>COUNTIFS(data!D:D,data!$I$2,data!F:F,"&gt;="&amp;B273)</f>
        <v>195</v>
      </c>
      <c r="D273">
        <f>COUNTIFS(data!D:D,data!$J$2,data!F:F,"&gt;="&amp;B273)</f>
        <v>77</v>
      </c>
      <c r="E273">
        <f>COUNTIFS(data!D:D,data!$J$2,data!F:F,"&lt;"&amp;B273)</f>
        <v>646</v>
      </c>
      <c r="F273">
        <f>COUNTIFS(data!D:D,data!$I$2,data!F:F,"&lt;"&amp;B273)</f>
        <v>339</v>
      </c>
      <c r="G273">
        <f t="shared" si="25"/>
        <v>0.10650069156293222</v>
      </c>
      <c r="H273">
        <f t="shared" si="26"/>
        <v>0.3651685393258427</v>
      </c>
      <c r="I273">
        <f t="shared" si="27"/>
        <v>0</v>
      </c>
      <c r="J273">
        <f t="shared" si="28"/>
        <v>0.71691176470588236</v>
      </c>
      <c r="K273">
        <f t="shared" si="29"/>
        <v>0.4838709677419355</v>
      </c>
      <c r="L273">
        <f>A273*COUNTIF(data!D:D,data!$I$2)/data!$L$2</f>
        <v>115.55131264916467</v>
      </c>
      <c r="M273" s="1">
        <f>A273/data!$L$2</f>
        <v>0.21638822593476531</v>
      </c>
      <c r="N273">
        <f t="shared" si="24"/>
        <v>1.6875619629874423</v>
      </c>
    </row>
    <row r="274" spans="1:14" x14ac:dyDescent="0.2">
      <c r="A274">
        <v>273</v>
      </c>
      <c r="B274">
        <f>LARGE(data!F:F,A274)</f>
        <v>0.60666206359999997</v>
      </c>
      <c r="C274">
        <f>COUNTIFS(data!D:D,data!$I$2,data!F:F,"&gt;="&amp;B274)</f>
        <v>196</v>
      </c>
      <c r="D274">
        <f>COUNTIFS(data!D:D,data!$J$2,data!F:F,"&gt;="&amp;B274)</f>
        <v>77</v>
      </c>
      <c r="E274">
        <f>COUNTIFS(data!D:D,data!$J$2,data!F:F,"&lt;"&amp;B274)</f>
        <v>646</v>
      </c>
      <c r="F274">
        <f>COUNTIFS(data!D:D,data!$I$2,data!F:F,"&lt;"&amp;B274)</f>
        <v>338</v>
      </c>
      <c r="G274">
        <f t="shared" si="25"/>
        <v>0.10650069156293222</v>
      </c>
      <c r="H274">
        <f t="shared" si="26"/>
        <v>0.36704119850187267</v>
      </c>
      <c r="I274">
        <f t="shared" si="27"/>
        <v>0</v>
      </c>
      <c r="J274">
        <f t="shared" si="28"/>
        <v>0.71794871794871795</v>
      </c>
      <c r="K274">
        <f t="shared" si="29"/>
        <v>0.48574969021065673</v>
      </c>
      <c r="L274">
        <f>A274*COUNTIF(data!D:D,data!$I$2)/data!$L$2</f>
        <v>115.97613365155131</v>
      </c>
      <c r="M274" s="1">
        <f>A274/data!$L$2</f>
        <v>0.21718377088305491</v>
      </c>
      <c r="N274">
        <f t="shared" si="24"/>
        <v>1.690002881014117</v>
      </c>
    </row>
    <row r="275" spans="1:14" x14ac:dyDescent="0.2">
      <c r="A275">
        <v>274</v>
      </c>
      <c r="B275">
        <f>LARGE(data!F:F,A275)</f>
        <v>0.60610557639999996</v>
      </c>
      <c r="C275">
        <f>COUNTIFS(data!D:D,data!$I$2,data!F:F,"&gt;="&amp;B275)</f>
        <v>196</v>
      </c>
      <c r="D275">
        <f>COUNTIFS(data!D:D,data!$J$2,data!F:F,"&gt;="&amp;B275)</f>
        <v>78</v>
      </c>
      <c r="E275">
        <f>COUNTIFS(data!D:D,data!$J$2,data!F:F,"&lt;"&amp;B275)</f>
        <v>645</v>
      </c>
      <c r="F275">
        <f>COUNTIFS(data!D:D,data!$I$2,data!F:F,"&lt;"&amp;B275)</f>
        <v>338</v>
      </c>
      <c r="G275">
        <f t="shared" si="25"/>
        <v>0.1078838174273859</v>
      </c>
      <c r="H275">
        <f t="shared" si="26"/>
        <v>0.36704119850187267</v>
      </c>
      <c r="I275">
        <f t="shared" si="27"/>
        <v>5.0766417496801524E-4</v>
      </c>
      <c r="J275">
        <f t="shared" si="28"/>
        <v>0.71532846715328469</v>
      </c>
      <c r="K275">
        <f t="shared" si="29"/>
        <v>0.48514851485148519</v>
      </c>
      <c r="L275">
        <f>A275*COUNTIF(data!D:D,data!$I$2)/data!$L$2</f>
        <v>116.40095465393794</v>
      </c>
      <c r="M275" s="1">
        <f>A275/data!$L$2</f>
        <v>0.21797931583134447</v>
      </c>
      <c r="N275">
        <f t="shared" si="24"/>
        <v>1.683834987287788</v>
      </c>
    </row>
    <row r="276" spans="1:14" x14ac:dyDescent="0.2">
      <c r="A276">
        <v>275</v>
      </c>
      <c r="B276">
        <f>LARGE(data!F:F,A276)</f>
        <v>0.60606324560000002</v>
      </c>
      <c r="C276">
        <f>COUNTIFS(data!D:D,data!$I$2,data!F:F,"&gt;="&amp;B276)</f>
        <v>197</v>
      </c>
      <c r="D276">
        <f>COUNTIFS(data!D:D,data!$J$2,data!F:F,"&gt;="&amp;B276)</f>
        <v>78</v>
      </c>
      <c r="E276">
        <f>COUNTIFS(data!D:D,data!$J$2,data!F:F,"&lt;"&amp;B276)</f>
        <v>645</v>
      </c>
      <c r="F276">
        <f>COUNTIFS(data!D:D,data!$I$2,data!F:F,"&lt;"&amp;B276)</f>
        <v>337</v>
      </c>
      <c r="G276">
        <f t="shared" si="25"/>
        <v>0.1078838174273859</v>
      </c>
      <c r="H276">
        <f t="shared" si="26"/>
        <v>0.36891385767790263</v>
      </c>
      <c r="I276">
        <f t="shared" si="27"/>
        <v>0</v>
      </c>
      <c r="J276">
        <f t="shared" si="28"/>
        <v>0.71636363636363631</v>
      </c>
      <c r="K276">
        <f t="shared" si="29"/>
        <v>0.48702101359703343</v>
      </c>
      <c r="L276">
        <f>A276*COUNTIF(data!D:D,data!$I$2)/data!$L$2</f>
        <v>116.82577565632458</v>
      </c>
      <c r="M276" s="1">
        <f>A276/data!$L$2</f>
        <v>0.21877486077963404</v>
      </c>
      <c r="N276">
        <f t="shared" si="24"/>
        <v>1.6862717058222676</v>
      </c>
    </row>
    <row r="277" spans="1:14" x14ac:dyDescent="0.2">
      <c r="A277">
        <v>276</v>
      </c>
      <c r="B277">
        <f>LARGE(data!F:F,A277)</f>
        <v>0.60558862979999994</v>
      </c>
      <c r="C277">
        <f>COUNTIFS(data!D:D,data!$I$2,data!F:F,"&gt;="&amp;B277)</f>
        <v>197</v>
      </c>
      <c r="D277">
        <f>COUNTIFS(data!D:D,data!$J$2,data!F:F,"&gt;="&amp;B277)</f>
        <v>79</v>
      </c>
      <c r="E277">
        <f>COUNTIFS(data!D:D,data!$J$2,data!F:F,"&lt;"&amp;B277)</f>
        <v>644</v>
      </c>
      <c r="F277">
        <f>COUNTIFS(data!D:D,data!$I$2,data!F:F,"&lt;"&amp;B277)</f>
        <v>337</v>
      </c>
      <c r="G277">
        <f t="shared" si="25"/>
        <v>0.10926694329183956</v>
      </c>
      <c r="H277">
        <f t="shared" si="26"/>
        <v>0.36891385767790263</v>
      </c>
      <c r="I277">
        <f t="shared" si="27"/>
        <v>5.1025429830968373E-4</v>
      </c>
      <c r="J277">
        <f t="shared" si="28"/>
        <v>0.71376811594202894</v>
      </c>
      <c r="K277">
        <f t="shared" si="29"/>
        <v>0.48641975308641971</v>
      </c>
      <c r="L277">
        <f>A277*COUNTIF(data!D:D,data!$I$2)/data!$L$2</f>
        <v>117.25059665871122</v>
      </c>
      <c r="M277" s="1">
        <f>A277/data!$L$2</f>
        <v>0.21957040572792363</v>
      </c>
      <c r="N277">
        <f t="shared" si="24"/>
        <v>1.6801620257287087</v>
      </c>
    </row>
    <row r="278" spans="1:14" x14ac:dyDescent="0.2">
      <c r="A278">
        <v>277</v>
      </c>
      <c r="B278">
        <f>LARGE(data!F:F,A278)</f>
        <v>0.60452225240000002</v>
      </c>
      <c r="C278">
        <f>COUNTIFS(data!D:D,data!$I$2,data!F:F,"&gt;="&amp;B278)</f>
        <v>198</v>
      </c>
      <c r="D278">
        <f>COUNTIFS(data!D:D,data!$J$2,data!F:F,"&gt;="&amp;B278)</f>
        <v>79</v>
      </c>
      <c r="E278">
        <f>COUNTIFS(data!D:D,data!$J$2,data!F:F,"&lt;"&amp;B278)</f>
        <v>644</v>
      </c>
      <c r="F278">
        <f>COUNTIFS(data!D:D,data!$I$2,data!F:F,"&lt;"&amp;B278)</f>
        <v>336</v>
      </c>
      <c r="G278">
        <f t="shared" si="25"/>
        <v>0.10926694329183956</v>
      </c>
      <c r="H278">
        <f t="shared" si="26"/>
        <v>0.3707865168539326</v>
      </c>
      <c r="I278">
        <f t="shared" si="27"/>
        <v>0</v>
      </c>
      <c r="J278">
        <f t="shared" si="28"/>
        <v>0.71480144404332135</v>
      </c>
      <c r="K278">
        <f t="shared" si="29"/>
        <v>0.48828606658446361</v>
      </c>
      <c r="L278">
        <f>A278*COUNTIF(data!D:D,data!$I$2)/data!$L$2</f>
        <v>117.67541766109785</v>
      </c>
      <c r="M278" s="1">
        <f>A278/data!$L$2</f>
        <v>0.2203659506762132</v>
      </c>
      <c r="N278">
        <f t="shared" si="24"/>
        <v>1.6825944104165822</v>
      </c>
    </row>
    <row r="279" spans="1:14" x14ac:dyDescent="0.2">
      <c r="A279">
        <v>278</v>
      </c>
      <c r="B279">
        <f>LARGE(data!F:F,A279)</f>
        <v>0.60294301189999999</v>
      </c>
      <c r="C279">
        <f>COUNTIFS(data!D:D,data!$I$2,data!F:F,"&gt;="&amp;B279)</f>
        <v>198</v>
      </c>
      <c r="D279">
        <f>COUNTIFS(data!D:D,data!$J$2,data!F:F,"&gt;="&amp;B279)</f>
        <v>80</v>
      </c>
      <c r="E279">
        <f>COUNTIFS(data!D:D,data!$J$2,data!F:F,"&lt;"&amp;B279)</f>
        <v>643</v>
      </c>
      <c r="F279">
        <f>COUNTIFS(data!D:D,data!$I$2,data!F:F,"&lt;"&amp;B279)</f>
        <v>336</v>
      </c>
      <c r="G279">
        <f t="shared" si="25"/>
        <v>0.11065006915629322</v>
      </c>
      <c r="H279">
        <f t="shared" si="26"/>
        <v>0.3707865168539326</v>
      </c>
      <c r="I279">
        <f t="shared" si="27"/>
        <v>5.1284442165135721E-4</v>
      </c>
      <c r="J279">
        <f t="shared" si="28"/>
        <v>0.71223021582733814</v>
      </c>
      <c r="K279">
        <f t="shared" si="29"/>
        <v>0.48768472906403948</v>
      </c>
      <c r="L279">
        <f>A279*COUNTIF(data!D:D,data!$I$2)/data!$L$2</f>
        <v>118.10023866348449</v>
      </c>
      <c r="M279" s="1">
        <f>A279/data!$L$2</f>
        <v>0.2211614956245028</v>
      </c>
      <c r="N279">
        <f t="shared" si="24"/>
        <v>1.6765419125373857</v>
      </c>
    </row>
    <row r="280" spans="1:14" x14ac:dyDescent="0.2">
      <c r="A280">
        <v>279</v>
      </c>
      <c r="B280">
        <f>LARGE(data!F:F,A280)</f>
        <v>0.60204263059999996</v>
      </c>
      <c r="C280">
        <f>COUNTIFS(data!D:D,data!$I$2,data!F:F,"&gt;="&amp;B280)</f>
        <v>198</v>
      </c>
      <c r="D280">
        <f>COUNTIFS(data!D:D,data!$J$2,data!F:F,"&gt;="&amp;B280)</f>
        <v>81</v>
      </c>
      <c r="E280">
        <f>COUNTIFS(data!D:D,data!$J$2,data!F:F,"&lt;"&amp;B280)</f>
        <v>642</v>
      </c>
      <c r="F280">
        <f>COUNTIFS(data!D:D,data!$I$2,data!F:F,"&lt;"&amp;B280)</f>
        <v>336</v>
      </c>
      <c r="G280">
        <f t="shared" si="25"/>
        <v>0.11203319502074689</v>
      </c>
      <c r="H280">
        <f t="shared" si="26"/>
        <v>0.3707865168539326</v>
      </c>
      <c r="I280">
        <f t="shared" si="27"/>
        <v>5.1284442165136241E-4</v>
      </c>
      <c r="J280">
        <f t="shared" si="28"/>
        <v>0.70967741935483875</v>
      </c>
      <c r="K280">
        <f t="shared" si="29"/>
        <v>0.48708487084870855</v>
      </c>
      <c r="L280">
        <f>A280*COUNTIF(data!D:D,data!$I$2)/data!$L$2</f>
        <v>118.52505966587113</v>
      </c>
      <c r="M280" s="1">
        <f>A280/data!$L$2</f>
        <v>0.22195704057279236</v>
      </c>
      <c r="N280">
        <f t="shared" si="24"/>
        <v>1.6705328017397607</v>
      </c>
    </row>
    <row r="281" spans="1:14" x14ac:dyDescent="0.2">
      <c r="A281">
        <v>280</v>
      </c>
      <c r="B281">
        <f>LARGE(data!F:F,A281)</f>
        <v>0.59955978570000001</v>
      </c>
      <c r="C281">
        <f>COUNTIFS(data!D:D,data!$I$2,data!F:F,"&gt;="&amp;B281)</f>
        <v>198</v>
      </c>
      <c r="D281">
        <f>COUNTIFS(data!D:D,data!$J$2,data!F:F,"&gt;="&amp;B281)</f>
        <v>82</v>
      </c>
      <c r="E281">
        <f>COUNTIFS(data!D:D,data!$J$2,data!F:F,"&lt;"&amp;B281)</f>
        <v>641</v>
      </c>
      <c r="F281">
        <f>COUNTIFS(data!D:D,data!$I$2,data!F:F,"&lt;"&amp;B281)</f>
        <v>336</v>
      </c>
      <c r="G281">
        <f t="shared" si="25"/>
        <v>0.11341632088520055</v>
      </c>
      <c r="H281">
        <f t="shared" si="26"/>
        <v>0.3707865168539326</v>
      </c>
      <c r="I281">
        <f t="shared" si="27"/>
        <v>5.1284442165135721E-4</v>
      </c>
      <c r="J281">
        <f t="shared" si="28"/>
        <v>0.70714285714285718</v>
      </c>
      <c r="K281">
        <f t="shared" si="29"/>
        <v>0.48648648648648657</v>
      </c>
      <c r="L281">
        <f>A281*COUNTIF(data!D:D,data!$I$2)/data!$L$2</f>
        <v>118.94988066825776</v>
      </c>
      <c r="M281" s="1">
        <f>A281/data!$L$2</f>
        <v>0.22275258552108193</v>
      </c>
      <c r="N281">
        <f t="shared" si="24"/>
        <v>1.6645666131621186</v>
      </c>
    </row>
    <row r="282" spans="1:14" x14ac:dyDescent="0.2">
      <c r="A282">
        <v>281</v>
      </c>
      <c r="B282">
        <f>LARGE(data!F:F,A282)</f>
        <v>0.59905908129999996</v>
      </c>
      <c r="C282">
        <f>COUNTIFS(data!D:D,data!$I$2,data!F:F,"&gt;="&amp;B282)</f>
        <v>199</v>
      </c>
      <c r="D282">
        <f>COUNTIFS(data!D:D,data!$J$2,data!F:F,"&gt;="&amp;B282)</f>
        <v>82</v>
      </c>
      <c r="E282">
        <f>COUNTIFS(data!D:D,data!$J$2,data!F:F,"&lt;"&amp;B282)</f>
        <v>641</v>
      </c>
      <c r="F282">
        <f>COUNTIFS(data!D:D,data!$I$2,data!F:F,"&lt;"&amp;B282)</f>
        <v>335</v>
      </c>
      <c r="G282">
        <f t="shared" si="25"/>
        <v>0.11341632088520055</v>
      </c>
      <c r="H282">
        <f t="shared" si="26"/>
        <v>0.37265917602996257</v>
      </c>
      <c r="I282">
        <f t="shared" si="27"/>
        <v>0</v>
      </c>
      <c r="J282">
        <f t="shared" si="28"/>
        <v>0.70818505338078297</v>
      </c>
      <c r="K282">
        <f t="shared" si="29"/>
        <v>0.4883435582822086</v>
      </c>
      <c r="L282">
        <f>A282*COUNTIF(data!D:D,data!$I$2)/data!$L$2</f>
        <v>119.37470167064438</v>
      </c>
      <c r="M282" s="1">
        <f>A282/data!$L$2</f>
        <v>0.22354813046937153</v>
      </c>
      <c r="N282">
        <f t="shared" si="24"/>
        <v>1.6670198728457757</v>
      </c>
    </row>
    <row r="283" spans="1:14" x14ac:dyDescent="0.2">
      <c r="A283">
        <v>282</v>
      </c>
      <c r="B283">
        <f>LARGE(data!F:F,A283)</f>
        <v>0.59834535330000005</v>
      </c>
      <c r="C283">
        <f>COUNTIFS(data!D:D,data!$I$2,data!F:F,"&gt;="&amp;B283)</f>
        <v>199</v>
      </c>
      <c r="D283">
        <f>COUNTIFS(data!D:D,data!$J$2,data!F:F,"&gt;="&amp;B283)</f>
        <v>83</v>
      </c>
      <c r="E283">
        <f>COUNTIFS(data!D:D,data!$J$2,data!F:F,"&lt;"&amp;B283)</f>
        <v>640</v>
      </c>
      <c r="F283">
        <f>COUNTIFS(data!D:D,data!$I$2,data!F:F,"&lt;"&amp;B283)</f>
        <v>335</v>
      </c>
      <c r="G283">
        <f t="shared" si="25"/>
        <v>0.11479944674965421</v>
      </c>
      <c r="H283">
        <f t="shared" si="26"/>
        <v>0.37265917602996257</v>
      </c>
      <c r="I283">
        <f t="shared" si="27"/>
        <v>5.1543454499303079E-4</v>
      </c>
      <c r="J283">
        <f t="shared" si="28"/>
        <v>0.70567375886524819</v>
      </c>
      <c r="K283">
        <f t="shared" si="29"/>
        <v>0.48774509803921579</v>
      </c>
      <c r="L283">
        <f>A283*COUNTIF(data!D:D,data!$I$2)/data!$L$2</f>
        <v>119.79952267303102</v>
      </c>
      <c r="M283" s="1">
        <f>A283/data!$L$2</f>
        <v>0.22434367541766109</v>
      </c>
      <c r="N283">
        <f t="shared" si="24"/>
        <v>1.6611084548569608</v>
      </c>
    </row>
    <row r="284" spans="1:14" x14ac:dyDescent="0.2">
      <c r="A284">
        <v>283</v>
      </c>
      <c r="B284">
        <f>LARGE(data!F:F,A284)</f>
        <v>0.59812568570000002</v>
      </c>
      <c r="C284">
        <f>COUNTIFS(data!D:D,data!$I$2,data!F:F,"&gt;="&amp;B284)</f>
        <v>201</v>
      </c>
      <c r="D284">
        <f>COUNTIFS(data!D:D,data!$J$2,data!F:F,"&gt;="&amp;B284)</f>
        <v>83</v>
      </c>
      <c r="E284">
        <f>COUNTIFS(data!D:D,data!$J$2,data!F:F,"&lt;"&amp;B284)</f>
        <v>640</v>
      </c>
      <c r="F284">
        <f>COUNTIFS(data!D:D,data!$I$2,data!F:F,"&lt;"&amp;B284)</f>
        <v>333</v>
      </c>
      <c r="G284">
        <f t="shared" si="25"/>
        <v>0.11479944674965421</v>
      </c>
      <c r="H284">
        <f t="shared" si="26"/>
        <v>0.37640449438202245</v>
      </c>
      <c r="I284">
        <f t="shared" si="27"/>
        <v>0</v>
      </c>
      <c r="J284">
        <f t="shared" si="28"/>
        <v>0.70774647887323938</v>
      </c>
      <c r="K284">
        <f t="shared" si="29"/>
        <v>0.491442542787286</v>
      </c>
      <c r="L284">
        <f>A284*COUNTIF(data!D:D,data!$I$2)/data!$L$2</f>
        <v>120.22434367541766</v>
      </c>
      <c r="M284" s="1">
        <f>A284/data!$L$2</f>
        <v>0.22513922036595069</v>
      </c>
      <c r="N284">
        <f t="shared" si="24"/>
        <v>1.6718743796402906</v>
      </c>
    </row>
    <row r="285" spans="1:14" x14ac:dyDescent="0.2">
      <c r="A285">
        <v>284</v>
      </c>
      <c r="B285">
        <f>LARGE(data!F:F,A285)</f>
        <v>0.59812568570000002</v>
      </c>
      <c r="C285">
        <f>COUNTIFS(data!D:D,data!$I$2,data!F:F,"&gt;="&amp;B285)</f>
        <v>201</v>
      </c>
      <c r="D285">
        <f>COUNTIFS(data!D:D,data!$J$2,data!F:F,"&gt;="&amp;B285)</f>
        <v>83</v>
      </c>
      <c r="E285">
        <f>COUNTIFS(data!D:D,data!$J$2,data!F:F,"&lt;"&amp;B285)</f>
        <v>640</v>
      </c>
      <c r="F285">
        <f>COUNTIFS(data!D:D,data!$I$2,data!F:F,"&lt;"&amp;B285)</f>
        <v>333</v>
      </c>
      <c r="G285">
        <f t="shared" si="25"/>
        <v>0.11479944674965421</v>
      </c>
      <c r="H285">
        <f t="shared" si="26"/>
        <v>0.37640449438202245</v>
      </c>
      <c r="I285">
        <f t="shared" si="27"/>
        <v>0</v>
      </c>
      <c r="J285">
        <f t="shared" si="28"/>
        <v>0.70774647887323938</v>
      </c>
      <c r="K285">
        <f t="shared" si="29"/>
        <v>0.491442542787286</v>
      </c>
      <c r="L285">
        <f>A285*COUNTIF(data!D:D,data!$I$2)/data!$L$2</f>
        <v>120.64916467780429</v>
      </c>
      <c r="M285" s="1">
        <f>A285/data!$L$2</f>
        <v>0.22593476531424025</v>
      </c>
      <c r="N285">
        <f t="shared" si="24"/>
        <v>1.665987498021839</v>
      </c>
    </row>
    <row r="286" spans="1:14" x14ac:dyDescent="0.2">
      <c r="A286">
        <v>285</v>
      </c>
      <c r="B286">
        <f>LARGE(data!F:F,A286)</f>
        <v>0.59764079290000005</v>
      </c>
      <c r="C286">
        <f>COUNTIFS(data!D:D,data!$I$2,data!F:F,"&gt;="&amp;B286)</f>
        <v>202</v>
      </c>
      <c r="D286">
        <f>COUNTIFS(data!D:D,data!$J$2,data!F:F,"&gt;="&amp;B286)</f>
        <v>83</v>
      </c>
      <c r="E286">
        <f>COUNTIFS(data!D:D,data!$J$2,data!F:F,"&lt;"&amp;B286)</f>
        <v>640</v>
      </c>
      <c r="F286">
        <f>COUNTIFS(data!D:D,data!$I$2,data!F:F,"&lt;"&amp;B286)</f>
        <v>332</v>
      </c>
      <c r="G286">
        <f t="shared" si="25"/>
        <v>0.11479944674965421</v>
      </c>
      <c r="H286">
        <f t="shared" si="26"/>
        <v>0.37827715355805241</v>
      </c>
      <c r="I286">
        <f t="shared" si="27"/>
        <v>0</v>
      </c>
      <c r="J286">
        <f t="shared" si="28"/>
        <v>0.70877192982456139</v>
      </c>
      <c r="K286">
        <f t="shared" si="29"/>
        <v>0.49328449328449325</v>
      </c>
      <c r="L286">
        <f>A286*COUNTIF(data!D:D,data!$I$2)/data!$L$2</f>
        <v>121.07398568019093</v>
      </c>
      <c r="M286" s="1">
        <f>A286/data!$L$2</f>
        <v>0.22673031026252982</v>
      </c>
      <c r="N286">
        <f t="shared" si="24"/>
        <v>1.668401340429726</v>
      </c>
    </row>
    <row r="287" spans="1:14" x14ac:dyDescent="0.2">
      <c r="A287">
        <v>286</v>
      </c>
      <c r="B287">
        <f>LARGE(data!F:F,A287)</f>
        <v>0.59641763709999995</v>
      </c>
      <c r="C287">
        <f>COUNTIFS(data!D:D,data!$I$2,data!F:F,"&gt;="&amp;B287)</f>
        <v>202</v>
      </c>
      <c r="D287">
        <f>COUNTIFS(data!D:D,data!$J$2,data!F:F,"&gt;="&amp;B287)</f>
        <v>84</v>
      </c>
      <c r="E287">
        <f>COUNTIFS(data!D:D,data!$J$2,data!F:F,"&lt;"&amp;B287)</f>
        <v>639</v>
      </c>
      <c r="F287">
        <f>COUNTIFS(data!D:D,data!$I$2,data!F:F,"&lt;"&amp;B287)</f>
        <v>332</v>
      </c>
      <c r="G287">
        <f t="shared" si="25"/>
        <v>0.11618257261410789</v>
      </c>
      <c r="H287">
        <f t="shared" si="26"/>
        <v>0.37827715355805241</v>
      </c>
      <c r="I287">
        <f t="shared" si="27"/>
        <v>5.2320491501805654E-4</v>
      </c>
      <c r="J287">
        <f t="shared" si="28"/>
        <v>0.70629370629370625</v>
      </c>
      <c r="K287">
        <f t="shared" si="29"/>
        <v>0.49268292682926829</v>
      </c>
      <c r="L287">
        <f>A287*COUNTIF(data!D:D,data!$I$2)/data!$L$2</f>
        <v>121.49880668257757</v>
      </c>
      <c r="M287" s="1">
        <f>A287/data!$L$2</f>
        <v>0.22752585521081942</v>
      </c>
      <c r="N287">
        <f t="shared" si="24"/>
        <v>1.6625677693093424</v>
      </c>
    </row>
    <row r="288" spans="1:14" x14ac:dyDescent="0.2">
      <c r="A288">
        <v>287</v>
      </c>
      <c r="B288">
        <f>LARGE(data!F:F,A288)</f>
        <v>0.59546558449999998</v>
      </c>
      <c r="C288">
        <f>COUNTIFS(data!D:D,data!$I$2,data!F:F,"&gt;="&amp;B288)</f>
        <v>202</v>
      </c>
      <c r="D288">
        <f>COUNTIFS(data!D:D,data!$J$2,data!F:F,"&gt;="&amp;B288)</f>
        <v>85</v>
      </c>
      <c r="E288">
        <f>COUNTIFS(data!D:D,data!$J$2,data!F:F,"&lt;"&amp;B288)</f>
        <v>638</v>
      </c>
      <c r="F288">
        <f>COUNTIFS(data!D:D,data!$I$2,data!F:F,"&lt;"&amp;B288)</f>
        <v>332</v>
      </c>
      <c r="G288">
        <f t="shared" si="25"/>
        <v>0.11756569847856155</v>
      </c>
      <c r="H288">
        <f t="shared" si="26"/>
        <v>0.37827715355805241</v>
      </c>
      <c r="I288">
        <f t="shared" si="27"/>
        <v>5.2320491501805122E-4</v>
      </c>
      <c r="J288">
        <f t="shared" si="28"/>
        <v>0.70383275261324041</v>
      </c>
      <c r="K288">
        <f t="shared" si="29"/>
        <v>0.49208282582216806</v>
      </c>
      <c r="L288">
        <f>A288*COUNTIF(data!D:D,data!$I$2)/data!$L$2</f>
        <v>121.9236276849642</v>
      </c>
      <c r="M288" s="1">
        <f>A288/data!$L$2</f>
        <v>0.22832140015910898</v>
      </c>
      <c r="N288">
        <f t="shared" si="24"/>
        <v>1.6567748502525153</v>
      </c>
    </row>
    <row r="289" spans="1:14" x14ac:dyDescent="0.2">
      <c r="A289">
        <v>288</v>
      </c>
      <c r="B289">
        <f>LARGE(data!F:F,A289)</f>
        <v>0.594273049</v>
      </c>
      <c r="C289">
        <f>COUNTIFS(data!D:D,data!$I$2,data!F:F,"&gt;="&amp;B289)</f>
        <v>202</v>
      </c>
      <c r="D289">
        <f>COUNTIFS(data!D:D,data!$J$2,data!F:F,"&gt;="&amp;B289)</f>
        <v>86</v>
      </c>
      <c r="E289">
        <f>COUNTIFS(data!D:D,data!$J$2,data!F:F,"&lt;"&amp;B289)</f>
        <v>637</v>
      </c>
      <c r="F289">
        <f>COUNTIFS(data!D:D,data!$I$2,data!F:F,"&lt;"&amp;B289)</f>
        <v>332</v>
      </c>
      <c r="G289">
        <f t="shared" si="25"/>
        <v>0.11894882434301521</v>
      </c>
      <c r="H289">
        <f t="shared" si="26"/>
        <v>0.37827715355805241</v>
      </c>
      <c r="I289">
        <f t="shared" si="27"/>
        <v>5.2320491501805122E-4</v>
      </c>
      <c r="J289">
        <f t="shared" si="28"/>
        <v>0.70138888888888884</v>
      </c>
      <c r="K289">
        <f t="shared" si="29"/>
        <v>0.49148418491484175</v>
      </c>
      <c r="L289">
        <f>A289*COUNTIF(data!D:D,data!$I$2)/data!$L$2</f>
        <v>122.34844868735084</v>
      </c>
      <c r="M289" s="1">
        <f>A289/data!$L$2</f>
        <v>0.22911694510739858</v>
      </c>
      <c r="N289">
        <f t="shared" si="24"/>
        <v>1.6510221598002497</v>
      </c>
    </row>
    <row r="290" spans="1:14" x14ac:dyDescent="0.2">
      <c r="A290">
        <v>289</v>
      </c>
      <c r="B290">
        <f>LARGE(data!F:F,A290)</f>
        <v>0.59312402480000004</v>
      </c>
      <c r="C290">
        <f>COUNTIFS(data!D:D,data!$I$2,data!F:F,"&gt;="&amp;B290)</f>
        <v>203</v>
      </c>
      <c r="D290">
        <f>COUNTIFS(data!D:D,data!$J$2,data!F:F,"&gt;="&amp;B290)</f>
        <v>86</v>
      </c>
      <c r="E290">
        <f>COUNTIFS(data!D:D,data!$J$2,data!F:F,"&lt;"&amp;B290)</f>
        <v>637</v>
      </c>
      <c r="F290">
        <f>COUNTIFS(data!D:D,data!$I$2,data!F:F,"&lt;"&amp;B290)</f>
        <v>331</v>
      </c>
      <c r="G290">
        <f t="shared" si="25"/>
        <v>0.11894882434301521</v>
      </c>
      <c r="H290">
        <f t="shared" si="26"/>
        <v>0.38014981273408238</v>
      </c>
      <c r="I290">
        <f t="shared" si="27"/>
        <v>0</v>
      </c>
      <c r="J290">
        <f t="shared" si="28"/>
        <v>0.70242214532871972</v>
      </c>
      <c r="K290">
        <f t="shared" si="29"/>
        <v>0.49331713244228431</v>
      </c>
      <c r="L290">
        <f>A290*COUNTIF(data!D:D,data!$I$2)/data!$L$2</f>
        <v>122.77326968973748</v>
      </c>
      <c r="M290" s="1">
        <f>A290/data!$L$2</f>
        <v>0.22991249005568815</v>
      </c>
      <c r="N290">
        <f t="shared" si="24"/>
        <v>1.6534543758018738</v>
      </c>
    </row>
    <row r="291" spans="1:14" x14ac:dyDescent="0.2">
      <c r="A291">
        <v>290</v>
      </c>
      <c r="B291">
        <f>LARGE(data!F:F,A291)</f>
        <v>0.59259485300000003</v>
      </c>
      <c r="C291">
        <f>COUNTIFS(data!D:D,data!$I$2,data!F:F,"&gt;="&amp;B291)</f>
        <v>206</v>
      </c>
      <c r="D291">
        <f>COUNTIFS(data!D:D,data!$J$2,data!F:F,"&gt;="&amp;B291)</f>
        <v>86</v>
      </c>
      <c r="E291">
        <f>COUNTIFS(data!D:D,data!$J$2,data!F:F,"&lt;"&amp;B291)</f>
        <v>637</v>
      </c>
      <c r="F291">
        <f>COUNTIFS(data!D:D,data!$I$2,data!F:F,"&lt;"&amp;B291)</f>
        <v>328</v>
      </c>
      <c r="G291">
        <f t="shared" si="25"/>
        <v>0.11894882434301521</v>
      </c>
      <c r="H291">
        <f t="shared" si="26"/>
        <v>0.38576779026217228</v>
      </c>
      <c r="I291">
        <f t="shared" si="27"/>
        <v>0</v>
      </c>
      <c r="J291">
        <f t="shared" si="28"/>
        <v>0.70547945205479456</v>
      </c>
      <c r="K291">
        <f t="shared" si="29"/>
        <v>0.49878934624697335</v>
      </c>
      <c r="L291">
        <f>A291*COUNTIF(data!D:D,data!$I$2)/data!$L$2</f>
        <v>123.19809069212411</v>
      </c>
      <c r="M291" s="1">
        <f>A291/data!$L$2</f>
        <v>0.23070803500397771</v>
      </c>
      <c r="N291">
        <f t="shared" si="24"/>
        <v>1.6721038357225881</v>
      </c>
    </row>
    <row r="292" spans="1:14" x14ac:dyDescent="0.2">
      <c r="A292">
        <v>291</v>
      </c>
      <c r="B292">
        <f>LARGE(data!F:F,A292)</f>
        <v>0.59259485300000003</v>
      </c>
      <c r="C292">
        <f>COUNTIFS(data!D:D,data!$I$2,data!F:F,"&gt;="&amp;B292)</f>
        <v>206</v>
      </c>
      <c r="D292">
        <f>COUNTIFS(data!D:D,data!$J$2,data!F:F,"&gt;="&amp;B292)</f>
        <v>86</v>
      </c>
      <c r="E292">
        <f>COUNTIFS(data!D:D,data!$J$2,data!F:F,"&lt;"&amp;B292)</f>
        <v>637</v>
      </c>
      <c r="F292">
        <f>COUNTIFS(data!D:D,data!$I$2,data!F:F,"&lt;"&amp;B292)</f>
        <v>328</v>
      </c>
      <c r="G292">
        <f t="shared" si="25"/>
        <v>0.11894882434301521</v>
      </c>
      <c r="H292">
        <f t="shared" si="26"/>
        <v>0.38576779026217228</v>
      </c>
      <c r="I292">
        <f t="shared" si="27"/>
        <v>0</v>
      </c>
      <c r="J292">
        <f t="shared" si="28"/>
        <v>0.70547945205479456</v>
      </c>
      <c r="K292">
        <f t="shared" si="29"/>
        <v>0.49878934624697335</v>
      </c>
      <c r="L292">
        <f>A292*COUNTIF(data!D:D,data!$I$2)/data!$L$2</f>
        <v>123.62291169451073</v>
      </c>
      <c r="M292" s="1">
        <f>A292/data!$L$2</f>
        <v>0.23150357995226731</v>
      </c>
      <c r="N292">
        <f t="shared" si="24"/>
        <v>1.6663577744314453</v>
      </c>
    </row>
    <row r="293" spans="1:14" x14ac:dyDescent="0.2">
      <c r="A293">
        <v>292</v>
      </c>
      <c r="B293">
        <f>LARGE(data!F:F,A293)</f>
        <v>0.59259485300000003</v>
      </c>
      <c r="C293">
        <f>COUNTIFS(data!D:D,data!$I$2,data!F:F,"&gt;="&amp;B293)</f>
        <v>206</v>
      </c>
      <c r="D293">
        <f>COUNTIFS(data!D:D,data!$J$2,data!F:F,"&gt;="&amp;B293)</f>
        <v>86</v>
      </c>
      <c r="E293">
        <f>COUNTIFS(data!D:D,data!$J$2,data!F:F,"&lt;"&amp;B293)</f>
        <v>637</v>
      </c>
      <c r="F293">
        <f>COUNTIFS(data!D:D,data!$I$2,data!F:F,"&lt;"&amp;B293)</f>
        <v>328</v>
      </c>
      <c r="G293">
        <f t="shared" si="25"/>
        <v>0.11894882434301521</v>
      </c>
      <c r="H293">
        <f t="shared" si="26"/>
        <v>0.38576779026217228</v>
      </c>
      <c r="I293">
        <f t="shared" si="27"/>
        <v>0</v>
      </c>
      <c r="J293">
        <f t="shared" si="28"/>
        <v>0.70547945205479456</v>
      </c>
      <c r="K293">
        <f t="shared" si="29"/>
        <v>0.49878934624697335</v>
      </c>
      <c r="L293">
        <f>A293*COUNTIF(data!D:D,data!$I$2)/data!$L$2</f>
        <v>124.04773269689737</v>
      </c>
      <c r="M293" s="1">
        <f>A293/data!$L$2</f>
        <v>0.23229912490055687</v>
      </c>
      <c r="N293">
        <f t="shared" si="24"/>
        <v>1.6606510697244883</v>
      </c>
    </row>
    <row r="294" spans="1:14" x14ac:dyDescent="0.2">
      <c r="A294">
        <v>293</v>
      </c>
      <c r="B294">
        <f>LARGE(data!F:F,A294)</f>
        <v>0.58936258220000004</v>
      </c>
      <c r="C294">
        <f>COUNTIFS(data!D:D,data!$I$2,data!F:F,"&gt;="&amp;B294)</f>
        <v>207</v>
      </c>
      <c r="D294">
        <f>COUNTIFS(data!D:D,data!$J$2,data!F:F,"&gt;="&amp;B294)</f>
        <v>86</v>
      </c>
      <c r="E294">
        <f>COUNTIFS(data!D:D,data!$J$2,data!F:F,"&lt;"&amp;B294)</f>
        <v>637</v>
      </c>
      <c r="F294">
        <f>COUNTIFS(data!D:D,data!$I$2,data!F:F,"&lt;"&amp;B294)</f>
        <v>327</v>
      </c>
      <c r="G294">
        <f t="shared" si="25"/>
        <v>0.11894882434301521</v>
      </c>
      <c r="H294">
        <f t="shared" si="26"/>
        <v>0.38764044943820225</v>
      </c>
      <c r="I294">
        <f t="shared" si="27"/>
        <v>0</v>
      </c>
      <c r="J294">
        <f t="shared" si="28"/>
        <v>0.70648464163822522</v>
      </c>
      <c r="K294">
        <f t="shared" si="29"/>
        <v>0.50060459492140263</v>
      </c>
      <c r="L294">
        <f>A294*COUNTIF(data!D:D,data!$I$2)/data!$L$2</f>
        <v>124.47255369928401</v>
      </c>
      <c r="M294" s="1">
        <f>A294/data!$L$2</f>
        <v>0.23309466984884647</v>
      </c>
      <c r="N294">
        <f t="shared" si="24"/>
        <v>1.6630172182382943</v>
      </c>
    </row>
    <row r="295" spans="1:14" x14ac:dyDescent="0.2">
      <c r="A295">
        <v>294</v>
      </c>
      <c r="B295">
        <f>LARGE(data!F:F,A295)</f>
        <v>0.589088842</v>
      </c>
      <c r="C295">
        <f>COUNTIFS(data!D:D,data!$I$2,data!F:F,"&gt;="&amp;B295)</f>
        <v>207</v>
      </c>
      <c r="D295">
        <f>COUNTIFS(data!D:D,data!$J$2,data!F:F,"&gt;="&amp;B295)</f>
        <v>87</v>
      </c>
      <c r="E295">
        <f>COUNTIFS(data!D:D,data!$J$2,data!F:F,"&lt;"&amp;B295)</f>
        <v>636</v>
      </c>
      <c r="F295">
        <f>COUNTIFS(data!D:D,data!$I$2,data!F:F,"&lt;"&amp;B295)</f>
        <v>327</v>
      </c>
      <c r="G295">
        <f t="shared" si="25"/>
        <v>0.12033195020746888</v>
      </c>
      <c r="H295">
        <f t="shared" si="26"/>
        <v>0.38764044943820225</v>
      </c>
      <c r="I295">
        <f t="shared" si="27"/>
        <v>5.3615553172642425E-4</v>
      </c>
      <c r="J295">
        <f t="shared" si="28"/>
        <v>0.70408163265306123</v>
      </c>
      <c r="K295">
        <f t="shared" si="29"/>
        <v>0.5</v>
      </c>
      <c r="L295">
        <f>A295*COUNTIF(data!D:D,data!$I$2)/data!$L$2</f>
        <v>124.89737470167064</v>
      </c>
      <c r="M295" s="1">
        <f>A295/data!$L$2</f>
        <v>0.23389021479713604</v>
      </c>
      <c r="N295">
        <f t="shared" si="24"/>
        <v>1.6573606970878239</v>
      </c>
    </row>
    <row r="296" spans="1:14" x14ac:dyDescent="0.2">
      <c r="A296">
        <v>295</v>
      </c>
      <c r="B296">
        <f>LARGE(data!F:F,A296)</f>
        <v>0.58871920879999995</v>
      </c>
      <c r="C296">
        <f>COUNTIFS(data!D:D,data!$I$2,data!F:F,"&gt;="&amp;B296)</f>
        <v>208</v>
      </c>
      <c r="D296">
        <f>COUNTIFS(data!D:D,data!$J$2,data!F:F,"&gt;="&amp;B296)</f>
        <v>87</v>
      </c>
      <c r="E296">
        <f>COUNTIFS(data!D:D,data!$J$2,data!F:F,"&lt;"&amp;B296)</f>
        <v>636</v>
      </c>
      <c r="F296">
        <f>COUNTIFS(data!D:D,data!$I$2,data!F:F,"&lt;"&amp;B296)</f>
        <v>326</v>
      </c>
      <c r="G296">
        <f t="shared" si="25"/>
        <v>0.12033195020746888</v>
      </c>
      <c r="H296">
        <f t="shared" si="26"/>
        <v>0.38951310861423222</v>
      </c>
      <c r="I296">
        <f t="shared" si="27"/>
        <v>0</v>
      </c>
      <c r="J296">
        <f t="shared" si="28"/>
        <v>0.70508474576271185</v>
      </c>
      <c r="K296">
        <f t="shared" si="29"/>
        <v>0.50180940892641734</v>
      </c>
      <c r="L296">
        <f>A296*COUNTIF(data!D:D,data!$I$2)/data!$L$2</f>
        <v>125.32219570405728</v>
      </c>
      <c r="M296" s="1">
        <f>A296/data!$L$2</f>
        <v>0.2346857597454256</v>
      </c>
      <c r="N296">
        <f t="shared" si="24"/>
        <v>1.6597219577223385</v>
      </c>
    </row>
    <row r="297" spans="1:14" x14ac:dyDescent="0.2">
      <c r="A297">
        <v>296</v>
      </c>
      <c r="B297">
        <f>LARGE(data!F:F,A297)</f>
        <v>0.58819833509999997</v>
      </c>
      <c r="C297">
        <f>COUNTIFS(data!D:D,data!$I$2,data!F:F,"&gt;="&amp;B297)</f>
        <v>209</v>
      </c>
      <c r="D297">
        <f>COUNTIFS(data!D:D,data!$J$2,data!F:F,"&gt;="&amp;B297)</f>
        <v>87</v>
      </c>
      <c r="E297">
        <f>COUNTIFS(data!D:D,data!$J$2,data!F:F,"&lt;"&amp;B297)</f>
        <v>636</v>
      </c>
      <c r="F297">
        <f>COUNTIFS(data!D:D,data!$I$2,data!F:F,"&lt;"&amp;B297)</f>
        <v>325</v>
      </c>
      <c r="G297">
        <f t="shared" si="25"/>
        <v>0.12033195020746888</v>
      </c>
      <c r="H297">
        <f t="shared" si="26"/>
        <v>0.39138576779026218</v>
      </c>
      <c r="I297">
        <f t="shared" si="27"/>
        <v>0</v>
      </c>
      <c r="J297">
        <f t="shared" si="28"/>
        <v>0.70608108108108103</v>
      </c>
      <c r="K297">
        <f t="shared" si="29"/>
        <v>0.5036144578313253</v>
      </c>
      <c r="L297">
        <f>A297*COUNTIF(data!D:D,data!$I$2)/data!$L$2</f>
        <v>125.74701670644392</v>
      </c>
      <c r="M297" s="1">
        <f>A297/data!$L$2</f>
        <v>0.2354813046937152</v>
      </c>
      <c r="N297">
        <f t="shared" si="24"/>
        <v>1.6620672638931067</v>
      </c>
    </row>
    <row r="298" spans="1:14" x14ac:dyDescent="0.2">
      <c r="A298">
        <v>297</v>
      </c>
      <c r="B298">
        <f>LARGE(data!F:F,A298)</f>
        <v>0.58816044479999996</v>
      </c>
      <c r="C298">
        <f>COUNTIFS(data!D:D,data!$I$2,data!F:F,"&gt;="&amp;B298)</f>
        <v>210</v>
      </c>
      <c r="D298">
        <f>COUNTIFS(data!D:D,data!$J$2,data!F:F,"&gt;="&amp;B298)</f>
        <v>87</v>
      </c>
      <c r="E298">
        <f>COUNTIFS(data!D:D,data!$J$2,data!F:F,"&lt;"&amp;B298)</f>
        <v>636</v>
      </c>
      <c r="F298">
        <f>COUNTIFS(data!D:D,data!$I$2,data!F:F,"&lt;"&amp;B298)</f>
        <v>324</v>
      </c>
      <c r="G298">
        <f t="shared" si="25"/>
        <v>0.12033195020746888</v>
      </c>
      <c r="H298">
        <f t="shared" si="26"/>
        <v>0.39325842696629215</v>
      </c>
      <c r="I298">
        <f t="shared" si="27"/>
        <v>0</v>
      </c>
      <c r="J298">
        <f t="shared" si="28"/>
        <v>0.70707070707070707</v>
      </c>
      <c r="K298">
        <f t="shared" si="29"/>
        <v>0.50541516245487372</v>
      </c>
      <c r="L298">
        <f>A298*COUNTIF(data!D:D,data!$I$2)/data!$L$2</f>
        <v>126.17183770883055</v>
      </c>
      <c r="M298" s="1">
        <f>A298/data!$L$2</f>
        <v>0.23627684964200477</v>
      </c>
      <c r="N298">
        <f t="shared" si="24"/>
        <v>1.6643967767563272</v>
      </c>
    </row>
    <row r="299" spans="1:14" x14ac:dyDescent="0.2">
      <c r="A299">
        <v>298</v>
      </c>
      <c r="B299">
        <f>LARGE(data!F:F,A299)</f>
        <v>0.58649227559999995</v>
      </c>
      <c r="C299">
        <f>COUNTIFS(data!D:D,data!$I$2,data!F:F,"&gt;="&amp;B299)</f>
        <v>211</v>
      </c>
      <c r="D299">
        <f>COUNTIFS(data!D:D,data!$J$2,data!F:F,"&gt;="&amp;B299)</f>
        <v>88</v>
      </c>
      <c r="E299">
        <f>COUNTIFS(data!D:D,data!$J$2,data!F:F,"&lt;"&amp;B299)</f>
        <v>635</v>
      </c>
      <c r="F299">
        <f>COUNTIFS(data!D:D,data!$I$2,data!F:F,"&lt;"&amp;B299)</f>
        <v>323</v>
      </c>
      <c r="G299">
        <f t="shared" si="25"/>
        <v>0.12171507607192254</v>
      </c>
      <c r="H299">
        <f t="shared" si="26"/>
        <v>0.39513108614232212</v>
      </c>
      <c r="I299">
        <f t="shared" si="27"/>
        <v>5.4522096342227622E-4</v>
      </c>
      <c r="J299">
        <f t="shared" si="28"/>
        <v>0.70568561872909696</v>
      </c>
      <c r="K299">
        <f t="shared" si="29"/>
        <v>0.50660264105642261</v>
      </c>
      <c r="L299">
        <f>A299*COUNTIF(data!D:D,data!$I$2)/data!$L$2</f>
        <v>126.59665871121719</v>
      </c>
      <c r="M299" s="1">
        <f>A299/data!$L$2</f>
        <v>0.23707239459029436</v>
      </c>
      <c r="N299">
        <f t="shared" si="24"/>
        <v>1.6667106553050297</v>
      </c>
    </row>
    <row r="300" spans="1:14" x14ac:dyDescent="0.2">
      <c r="A300">
        <v>299</v>
      </c>
      <c r="B300">
        <f>LARGE(data!F:F,A300)</f>
        <v>0.58649227559999995</v>
      </c>
      <c r="C300">
        <f>COUNTIFS(data!D:D,data!$I$2,data!F:F,"&gt;="&amp;B300)</f>
        <v>211</v>
      </c>
      <c r="D300">
        <f>COUNTIFS(data!D:D,data!$J$2,data!F:F,"&gt;="&amp;B300)</f>
        <v>88</v>
      </c>
      <c r="E300">
        <f>COUNTIFS(data!D:D,data!$J$2,data!F:F,"&lt;"&amp;B300)</f>
        <v>635</v>
      </c>
      <c r="F300">
        <f>COUNTIFS(data!D:D,data!$I$2,data!F:F,"&lt;"&amp;B300)</f>
        <v>323</v>
      </c>
      <c r="G300">
        <f t="shared" si="25"/>
        <v>0.12171507607192254</v>
      </c>
      <c r="H300">
        <f t="shared" si="26"/>
        <v>0.39513108614232212</v>
      </c>
      <c r="I300">
        <f t="shared" si="27"/>
        <v>0</v>
      </c>
      <c r="J300">
        <f t="shared" si="28"/>
        <v>0.70568561872909696</v>
      </c>
      <c r="K300">
        <f t="shared" si="29"/>
        <v>0.50660264105642261</v>
      </c>
      <c r="L300">
        <f>A300*COUNTIF(data!D:D,data!$I$2)/data!$L$2</f>
        <v>127.02147971360382</v>
      </c>
      <c r="M300" s="1">
        <f>A300/data!$L$2</f>
        <v>0.23786793953858393</v>
      </c>
      <c r="N300">
        <f t="shared" si="24"/>
        <v>1.6611363721769192</v>
      </c>
    </row>
    <row r="301" spans="1:14" x14ac:dyDescent="0.2">
      <c r="A301">
        <v>300</v>
      </c>
      <c r="B301">
        <f>LARGE(data!F:F,A301)</f>
        <v>0.58612078320000005</v>
      </c>
      <c r="C301">
        <f>COUNTIFS(data!D:D,data!$I$2,data!F:F,"&gt;="&amp;B301)</f>
        <v>211</v>
      </c>
      <c r="D301">
        <f>COUNTIFS(data!D:D,data!$J$2,data!F:F,"&gt;="&amp;B301)</f>
        <v>89</v>
      </c>
      <c r="E301">
        <f>COUNTIFS(data!D:D,data!$J$2,data!F:F,"&lt;"&amp;B301)</f>
        <v>634</v>
      </c>
      <c r="F301">
        <f>COUNTIFS(data!D:D,data!$I$2,data!F:F,"&lt;"&amp;B301)</f>
        <v>323</v>
      </c>
      <c r="G301">
        <f t="shared" si="25"/>
        <v>0.12309820193637622</v>
      </c>
      <c r="H301">
        <f t="shared" si="26"/>
        <v>0.39513108614232212</v>
      </c>
      <c r="I301">
        <f t="shared" si="27"/>
        <v>5.4651602509311848E-4</v>
      </c>
      <c r="J301">
        <f t="shared" si="28"/>
        <v>0.70333333333333337</v>
      </c>
      <c r="K301">
        <f t="shared" si="29"/>
        <v>0.50599520383693053</v>
      </c>
      <c r="L301">
        <f>A301*COUNTIF(data!D:D,data!$I$2)/data!$L$2</f>
        <v>127.44630071599045</v>
      </c>
      <c r="M301" s="1">
        <f>A301/data!$L$2</f>
        <v>0.2386634844868735</v>
      </c>
      <c r="N301">
        <f t="shared" si="24"/>
        <v>1.6555992509363298</v>
      </c>
    </row>
    <row r="302" spans="1:14" x14ac:dyDescent="0.2">
      <c r="A302">
        <v>301</v>
      </c>
      <c r="B302">
        <f>LARGE(data!F:F,A302)</f>
        <v>0.58610997109999996</v>
      </c>
      <c r="C302">
        <f>COUNTIFS(data!D:D,data!$I$2,data!F:F,"&gt;="&amp;B302)</f>
        <v>212</v>
      </c>
      <c r="D302">
        <f>COUNTIFS(data!D:D,data!$J$2,data!F:F,"&gt;="&amp;B302)</f>
        <v>89</v>
      </c>
      <c r="E302">
        <f>COUNTIFS(data!D:D,data!$J$2,data!F:F,"&lt;"&amp;B302)</f>
        <v>634</v>
      </c>
      <c r="F302">
        <f>COUNTIFS(data!D:D,data!$I$2,data!F:F,"&lt;"&amp;B302)</f>
        <v>322</v>
      </c>
      <c r="G302">
        <f t="shared" si="25"/>
        <v>0.12309820193637622</v>
      </c>
      <c r="H302">
        <f t="shared" si="26"/>
        <v>0.39700374531835209</v>
      </c>
      <c r="I302">
        <f t="shared" si="27"/>
        <v>0</v>
      </c>
      <c r="J302">
        <f t="shared" si="28"/>
        <v>0.70431893687707636</v>
      </c>
      <c r="K302">
        <f t="shared" si="29"/>
        <v>0.50778443113772453</v>
      </c>
      <c r="L302">
        <f>A302*COUNTIF(data!D:D,data!$I$2)/data!$L$2</f>
        <v>127.87112171837708</v>
      </c>
      <c r="M302" s="1">
        <f>A302/data!$L$2</f>
        <v>0.23945902943516309</v>
      </c>
      <c r="N302">
        <f t="shared" si="24"/>
        <v>1.6579192952331181</v>
      </c>
    </row>
    <row r="303" spans="1:14" x14ac:dyDescent="0.2">
      <c r="A303">
        <v>302</v>
      </c>
      <c r="B303">
        <f>LARGE(data!F:F,A303)</f>
        <v>0.58584622919999996</v>
      </c>
      <c r="C303">
        <f>COUNTIFS(data!D:D,data!$I$2,data!F:F,"&gt;="&amp;B303)</f>
        <v>215</v>
      </c>
      <c r="D303">
        <f>COUNTIFS(data!D:D,data!$J$2,data!F:F,"&gt;="&amp;B303)</f>
        <v>89</v>
      </c>
      <c r="E303">
        <f>COUNTIFS(data!D:D,data!$J$2,data!F:F,"&lt;"&amp;B303)</f>
        <v>634</v>
      </c>
      <c r="F303">
        <f>COUNTIFS(data!D:D,data!$I$2,data!F:F,"&lt;"&amp;B303)</f>
        <v>319</v>
      </c>
      <c r="G303">
        <f t="shared" si="25"/>
        <v>0.12309820193637622</v>
      </c>
      <c r="H303">
        <f t="shared" si="26"/>
        <v>0.40262172284644193</v>
      </c>
      <c r="I303">
        <f t="shared" si="27"/>
        <v>0</v>
      </c>
      <c r="J303">
        <f t="shared" si="28"/>
        <v>0.70723684210526316</v>
      </c>
      <c r="K303">
        <f t="shared" si="29"/>
        <v>0.51312649164677804</v>
      </c>
      <c r="L303">
        <f>A303*COUNTIF(data!D:D,data!$I$2)/data!$L$2</f>
        <v>128.29594272076372</v>
      </c>
      <c r="M303" s="1">
        <f>A303/data!$L$2</f>
        <v>0.24025457438345266</v>
      </c>
      <c r="N303">
        <f t="shared" si="24"/>
        <v>1.6758129325098594</v>
      </c>
    </row>
    <row r="304" spans="1:14" x14ac:dyDescent="0.2">
      <c r="A304">
        <v>303</v>
      </c>
      <c r="B304">
        <f>LARGE(data!F:F,A304)</f>
        <v>0.58584622919999996</v>
      </c>
      <c r="C304">
        <f>COUNTIFS(data!D:D,data!$I$2,data!F:F,"&gt;="&amp;B304)</f>
        <v>215</v>
      </c>
      <c r="D304">
        <f>COUNTIFS(data!D:D,data!$J$2,data!F:F,"&gt;="&amp;B304)</f>
        <v>89</v>
      </c>
      <c r="E304">
        <f>COUNTIFS(data!D:D,data!$J$2,data!F:F,"&lt;"&amp;B304)</f>
        <v>634</v>
      </c>
      <c r="F304">
        <f>COUNTIFS(data!D:D,data!$I$2,data!F:F,"&lt;"&amp;B304)</f>
        <v>319</v>
      </c>
      <c r="G304">
        <f t="shared" si="25"/>
        <v>0.12309820193637622</v>
      </c>
      <c r="H304">
        <f t="shared" si="26"/>
        <v>0.40262172284644193</v>
      </c>
      <c r="I304">
        <f t="shared" si="27"/>
        <v>0</v>
      </c>
      <c r="J304">
        <f t="shared" si="28"/>
        <v>0.70723684210526316</v>
      </c>
      <c r="K304">
        <f t="shared" si="29"/>
        <v>0.51312649164677804</v>
      </c>
      <c r="L304">
        <f>A304*COUNTIF(data!D:D,data!$I$2)/data!$L$2</f>
        <v>128.72076372315036</v>
      </c>
      <c r="M304" s="1">
        <f>A304/data!$L$2</f>
        <v>0.24105011933174225</v>
      </c>
      <c r="N304">
        <f t="shared" si="24"/>
        <v>1.6702821967590018</v>
      </c>
    </row>
    <row r="305" spans="1:14" x14ac:dyDescent="0.2">
      <c r="A305">
        <v>304</v>
      </c>
      <c r="B305">
        <f>LARGE(data!F:F,A305)</f>
        <v>0.58584622919999996</v>
      </c>
      <c r="C305">
        <f>COUNTIFS(data!D:D,data!$I$2,data!F:F,"&gt;="&amp;B305)</f>
        <v>215</v>
      </c>
      <c r="D305">
        <f>COUNTIFS(data!D:D,data!$J$2,data!F:F,"&gt;="&amp;B305)</f>
        <v>89</v>
      </c>
      <c r="E305">
        <f>COUNTIFS(data!D:D,data!$J$2,data!F:F,"&lt;"&amp;B305)</f>
        <v>634</v>
      </c>
      <c r="F305">
        <f>COUNTIFS(data!D:D,data!$I$2,data!F:F,"&lt;"&amp;B305)</f>
        <v>319</v>
      </c>
      <c r="G305">
        <f t="shared" si="25"/>
        <v>0.12309820193637622</v>
      </c>
      <c r="H305">
        <f t="shared" si="26"/>
        <v>0.40262172284644193</v>
      </c>
      <c r="I305">
        <f t="shared" si="27"/>
        <v>0</v>
      </c>
      <c r="J305">
        <f t="shared" si="28"/>
        <v>0.70723684210526316</v>
      </c>
      <c r="K305">
        <f t="shared" si="29"/>
        <v>0.51312649164677804</v>
      </c>
      <c r="L305">
        <f>A305*COUNTIF(data!D:D,data!$I$2)/data!$L$2</f>
        <v>129.14558472553699</v>
      </c>
      <c r="M305" s="1">
        <f>A305/data!$L$2</f>
        <v>0.24184566428003182</v>
      </c>
      <c r="N305">
        <f t="shared" si="24"/>
        <v>1.6647878474275577</v>
      </c>
    </row>
    <row r="306" spans="1:14" x14ac:dyDescent="0.2">
      <c r="A306">
        <v>305</v>
      </c>
      <c r="B306">
        <f>LARGE(data!F:F,A306)</f>
        <v>0.58474844640000001</v>
      </c>
      <c r="C306">
        <f>COUNTIFS(data!D:D,data!$I$2,data!F:F,"&gt;="&amp;B306)</f>
        <v>215</v>
      </c>
      <c r="D306">
        <f>COUNTIFS(data!D:D,data!$J$2,data!F:F,"&gt;="&amp;B306)</f>
        <v>90</v>
      </c>
      <c r="E306">
        <f>COUNTIFS(data!D:D,data!$J$2,data!F:F,"&lt;"&amp;B306)</f>
        <v>633</v>
      </c>
      <c r="F306">
        <f>COUNTIFS(data!D:D,data!$I$2,data!F:F,"&lt;"&amp;B306)</f>
        <v>319</v>
      </c>
      <c r="G306">
        <f t="shared" si="25"/>
        <v>0.12448132780082988</v>
      </c>
      <c r="H306">
        <f t="shared" si="26"/>
        <v>0.40262172284644193</v>
      </c>
      <c r="I306">
        <f t="shared" si="27"/>
        <v>5.5687651845980708E-4</v>
      </c>
      <c r="J306">
        <f t="shared" si="28"/>
        <v>0.70491803278688525</v>
      </c>
      <c r="K306">
        <f t="shared" si="29"/>
        <v>0.51251489868891542</v>
      </c>
      <c r="L306">
        <f>A306*COUNTIF(data!D:D,data!$I$2)/data!$L$2</f>
        <v>129.57040572792363</v>
      </c>
      <c r="M306" s="1">
        <f>A306/data!$L$2</f>
        <v>0.24264120922832141</v>
      </c>
      <c r="N306">
        <f t="shared" si="24"/>
        <v>1.6593295266163197</v>
      </c>
    </row>
    <row r="307" spans="1:14" x14ac:dyDescent="0.2">
      <c r="A307">
        <v>306</v>
      </c>
      <c r="B307">
        <f>LARGE(data!F:F,A307)</f>
        <v>0.5846991064</v>
      </c>
      <c r="C307">
        <f>COUNTIFS(data!D:D,data!$I$2,data!F:F,"&gt;="&amp;B307)</f>
        <v>215</v>
      </c>
      <c r="D307">
        <f>COUNTIFS(data!D:D,data!$J$2,data!F:F,"&gt;="&amp;B307)</f>
        <v>91</v>
      </c>
      <c r="E307">
        <f>COUNTIFS(data!D:D,data!$J$2,data!F:F,"&lt;"&amp;B307)</f>
        <v>632</v>
      </c>
      <c r="F307">
        <f>COUNTIFS(data!D:D,data!$I$2,data!F:F,"&lt;"&amp;B307)</f>
        <v>319</v>
      </c>
      <c r="G307">
        <f t="shared" si="25"/>
        <v>0.12586445366528354</v>
      </c>
      <c r="H307">
        <f t="shared" si="26"/>
        <v>0.40262172284644193</v>
      </c>
      <c r="I307">
        <f t="shared" si="27"/>
        <v>5.5687651845980708E-4</v>
      </c>
      <c r="J307">
        <f t="shared" si="28"/>
        <v>0.70261437908496727</v>
      </c>
      <c r="K307">
        <f t="shared" si="29"/>
        <v>0.51190476190476186</v>
      </c>
      <c r="L307">
        <f>A307*COUNTIF(data!D:D,data!$I$2)/data!$L$2</f>
        <v>129.99522673031026</v>
      </c>
      <c r="M307" s="1">
        <f>A307/data!$L$2</f>
        <v>0.24343675417661098</v>
      </c>
      <c r="N307">
        <f t="shared" si="24"/>
        <v>1.6539068811045017</v>
      </c>
    </row>
    <row r="308" spans="1:14" x14ac:dyDescent="0.2">
      <c r="A308">
        <v>307</v>
      </c>
      <c r="B308">
        <f>LARGE(data!F:F,A308)</f>
        <v>0.58464977439999999</v>
      </c>
      <c r="C308">
        <f>COUNTIFS(data!D:D,data!$I$2,data!F:F,"&gt;="&amp;B308)</f>
        <v>215</v>
      </c>
      <c r="D308">
        <f>COUNTIFS(data!D:D,data!$J$2,data!F:F,"&gt;="&amp;B308)</f>
        <v>92</v>
      </c>
      <c r="E308">
        <f>COUNTIFS(data!D:D,data!$J$2,data!F:F,"&lt;"&amp;B308)</f>
        <v>631</v>
      </c>
      <c r="F308">
        <f>COUNTIFS(data!D:D,data!$I$2,data!F:F,"&lt;"&amp;B308)</f>
        <v>319</v>
      </c>
      <c r="G308">
        <f t="shared" si="25"/>
        <v>0.1272475795297372</v>
      </c>
      <c r="H308">
        <f t="shared" si="26"/>
        <v>0.40262172284644193</v>
      </c>
      <c r="I308">
        <f t="shared" si="27"/>
        <v>5.5687651845980708E-4</v>
      </c>
      <c r="J308">
        <f t="shared" si="28"/>
        <v>0.70032573289902278</v>
      </c>
      <c r="K308">
        <f t="shared" si="29"/>
        <v>0.51129607609988104</v>
      </c>
      <c r="L308">
        <f>A308*COUNTIF(data!D:D,data!$I$2)/data!$L$2</f>
        <v>130.4200477326969</v>
      </c>
      <c r="M308" s="1">
        <f>A308/data!$L$2</f>
        <v>0.24423229912490055</v>
      </c>
      <c r="N308">
        <f t="shared" si="24"/>
        <v>1.6485195622735425</v>
      </c>
    </row>
    <row r="309" spans="1:14" x14ac:dyDescent="0.2">
      <c r="A309">
        <v>308</v>
      </c>
      <c r="B309">
        <f>LARGE(data!F:F,A309)</f>
        <v>0.58418583690000003</v>
      </c>
      <c r="C309">
        <f>COUNTIFS(data!D:D,data!$I$2,data!F:F,"&gt;="&amp;B309)</f>
        <v>215</v>
      </c>
      <c r="D309">
        <f>COUNTIFS(data!D:D,data!$J$2,data!F:F,"&gt;="&amp;B309)</f>
        <v>93</v>
      </c>
      <c r="E309">
        <f>COUNTIFS(data!D:D,data!$J$2,data!F:F,"&lt;"&amp;B309)</f>
        <v>630</v>
      </c>
      <c r="F309">
        <f>COUNTIFS(data!D:D,data!$I$2,data!F:F,"&lt;"&amp;B309)</f>
        <v>319</v>
      </c>
      <c r="G309">
        <f t="shared" si="25"/>
        <v>0.12863070539419086</v>
      </c>
      <c r="H309">
        <f t="shared" si="26"/>
        <v>0.40262172284644193</v>
      </c>
      <c r="I309">
        <f t="shared" si="27"/>
        <v>5.5687651845980708E-4</v>
      </c>
      <c r="J309">
        <f t="shared" si="28"/>
        <v>0.69805194805194803</v>
      </c>
      <c r="K309">
        <f t="shared" si="29"/>
        <v>0.5106888361045131</v>
      </c>
      <c r="L309">
        <f>A309*COUNTIF(data!D:D,data!$I$2)/data!$L$2</f>
        <v>130.84486873508354</v>
      </c>
      <c r="M309" s="1">
        <f>A309/data!$L$2</f>
        <v>0.24502784407319014</v>
      </c>
      <c r="N309">
        <f t="shared" si="24"/>
        <v>1.6431672260323944</v>
      </c>
    </row>
    <row r="310" spans="1:14" x14ac:dyDescent="0.2">
      <c r="A310">
        <v>309</v>
      </c>
      <c r="B310">
        <f>LARGE(data!F:F,A310)</f>
        <v>0.58242494030000003</v>
      </c>
      <c r="C310">
        <f>COUNTIFS(data!D:D,data!$I$2,data!F:F,"&gt;="&amp;B310)</f>
        <v>216</v>
      </c>
      <c r="D310">
        <f>COUNTIFS(data!D:D,data!$J$2,data!F:F,"&gt;="&amp;B310)</f>
        <v>93</v>
      </c>
      <c r="E310">
        <f>COUNTIFS(data!D:D,data!$J$2,data!F:F,"&lt;"&amp;B310)</f>
        <v>630</v>
      </c>
      <c r="F310">
        <f>COUNTIFS(data!D:D,data!$I$2,data!F:F,"&lt;"&amp;B310)</f>
        <v>318</v>
      </c>
      <c r="G310">
        <f t="shared" si="25"/>
        <v>0.12863070539419086</v>
      </c>
      <c r="H310">
        <f t="shared" si="26"/>
        <v>0.4044943820224719</v>
      </c>
      <c r="I310">
        <f t="shared" si="27"/>
        <v>0</v>
      </c>
      <c r="J310">
        <f t="shared" si="28"/>
        <v>0.69902912621359226</v>
      </c>
      <c r="K310">
        <f t="shared" si="29"/>
        <v>0.51245551601423478</v>
      </c>
      <c r="L310">
        <f>A310*COUNTIF(data!D:D,data!$I$2)/data!$L$2</f>
        <v>131.26968973747017</v>
      </c>
      <c r="M310" s="1">
        <f>A310/data!$L$2</f>
        <v>0.24582338902147971</v>
      </c>
      <c r="N310">
        <f t="shared" si="24"/>
        <v>1.6454674375477254</v>
      </c>
    </row>
    <row r="311" spans="1:14" x14ac:dyDescent="0.2">
      <c r="A311">
        <v>310</v>
      </c>
      <c r="B311">
        <f>LARGE(data!F:F,A311)</f>
        <v>0.58227008199999997</v>
      </c>
      <c r="C311">
        <f>COUNTIFS(data!D:D,data!$I$2,data!F:F,"&gt;="&amp;B311)</f>
        <v>216</v>
      </c>
      <c r="D311">
        <f>COUNTIFS(data!D:D,data!$J$2,data!F:F,"&gt;="&amp;B311)</f>
        <v>94</v>
      </c>
      <c r="E311">
        <f>COUNTIFS(data!D:D,data!$J$2,data!F:F,"&lt;"&amp;B311)</f>
        <v>629</v>
      </c>
      <c r="F311">
        <f>COUNTIFS(data!D:D,data!$I$2,data!F:F,"&lt;"&amp;B311)</f>
        <v>318</v>
      </c>
      <c r="G311">
        <f t="shared" ref="G311:G374" si="30">D311/(E311+D311)</f>
        <v>0.13001383125864455</v>
      </c>
      <c r="H311">
        <f t="shared" ref="H311:H374" si="31">C311/(C311+F311)</f>
        <v>0.4044943820224719</v>
      </c>
      <c r="I311">
        <f t="shared" si="27"/>
        <v>5.5946664180149183E-4</v>
      </c>
      <c r="J311">
        <f t="shared" ref="J311:J374" si="32">C311/(C311+D311)</f>
        <v>0.6967741935483871</v>
      </c>
      <c r="K311">
        <f t="shared" ref="K311:K374" si="33">2*J311*H311/(J311+H311)</f>
        <v>0.51184834123222733</v>
      </c>
      <c r="L311">
        <f>A311*COUNTIF(data!D:D,data!$I$2)/data!$L$2</f>
        <v>131.69451073985681</v>
      </c>
      <c r="M311" s="1">
        <f>A311/data!$L$2</f>
        <v>0.24661893396976931</v>
      </c>
      <c r="N311">
        <f t="shared" si="24"/>
        <v>1.640159478071765</v>
      </c>
    </row>
    <row r="312" spans="1:14" x14ac:dyDescent="0.2">
      <c r="A312">
        <v>311</v>
      </c>
      <c r="B312">
        <f>LARGE(data!F:F,A312)</f>
        <v>0.58095540499999998</v>
      </c>
      <c r="C312">
        <f>COUNTIFS(data!D:D,data!$I$2,data!F:F,"&gt;="&amp;B312)</f>
        <v>216</v>
      </c>
      <c r="D312">
        <f>COUNTIFS(data!D:D,data!$J$2,data!F:F,"&gt;="&amp;B312)</f>
        <v>95</v>
      </c>
      <c r="E312">
        <f>COUNTIFS(data!D:D,data!$J$2,data!F:F,"&lt;"&amp;B312)</f>
        <v>628</v>
      </c>
      <c r="F312">
        <f>COUNTIFS(data!D:D,data!$I$2,data!F:F,"&lt;"&amp;B312)</f>
        <v>318</v>
      </c>
      <c r="G312">
        <f t="shared" si="30"/>
        <v>0.13139695712309821</v>
      </c>
      <c r="H312">
        <f t="shared" si="31"/>
        <v>0.4044943820224719</v>
      </c>
      <c r="I312">
        <f t="shared" si="27"/>
        <v>5.5946664180148056E-4</v>
      </c>
      <c r="J312">
        <f t="shared" si="32"/>
        <v>0.69453376205787787</v>
      </c>
      <c r="K312">
        <f t="shared" si="33"/>
        <v>0.51124260355029583</v>
      </c>
      <c r="L312">
        <f>A312*COUNTIF(data!D:D,data!$I$2)/data!$L$2</f>
        <v>132.11933174224345</v>
      </c>
      <c r="M312" s="1">
        <f>A312/data!$L$2</f>
        <v>0.24741447891805887</v>
      </c>
      <c r="N312">
        <f t="shared" si="24"/>
        <v>1.6348856533834313</v>
      </c>
    </row>
    <row r="313" spans="1:14" x14ac:dyDescent="0.2">
      <c r="A313">
        <v>312</v>
      </c>
      <c r="B313">
        <f>LARGE(data!F:F,A313)</f>
        <v>0.58028748050000001</v>
      </c>
      <c r="C313">
        <f>COUNTIFS(data!D:D,data!$I$2,data!F:F,"&gt;="&amp;B313)</f>
        <v>216</v>
      </c>
      <c r="D313">
        <f>COUNTIFS(data!D:D,data!$J$2,data!F:F,"&gt;="&amp;B313)</f>
        <v>96</v>
      </c>
      <c r="E313">
        <f>COUNTIFS(data!D:D,data!$J$2,data!F:F,"&lt;"&amp;B313)</f>
        <v>627</v>
      </c>
      <c r="F313">
        <f>COUNTIFS(data!D:D,data!$I$2,data!F:F,"&lt;"&amp;B313)</f>
        <v>318</v>
      </c>
      <c r="G313">
        <f t="shared" si="30"/>
        <v>0.13278008298755187</v>
      </c>
      <c r="H313">
        <f t="shared" si="31"/>
        <v>0.4044943820224719</v>
      </c>
      <c r="I313">
        <f t="shared" si="27"/>
        <v>5.5946664180148056E-4</v>
      </c>
      <c r="J313">
        <f t="shared" si="32"/>
        <v>0.69230769230769229</v>
      </c>
      <c r="K313">
        <f t="shared" si="33"/>
        <v>0.5106382978723405</v>
      </c>
      <c r="L313">
        <f>A313*COUNTIF(data!D:D,data!$I$2)/data!$L$2</f>
        <v>132.54415274463008</v>
      </c>
      <c r="M313" s="1">
        <f>A313/data!$L$2</f>
        <v>0.24821002386634844</v>
      </c>
      <c r="N313">
        <f t="shared" si="24"/>
        <v>1.6296456352636126</v>
      </c>
    </row>
    <row r="314" spans="1:14" x14ac:dyDescent="0.2">
      <c r="A314">
        <v>313</v>
      </c>
      <c r="B314">
        <f>LARGE(data!F:F,A314)</f>
        <v>0.58020328619999995</v>
      </c>
      <c r="C314">
        <f>COUNTIFS(data!D:D,data!$I$2,data!F:F,"&gt;="&amp;B314)</f>
        <v>216</v>
      </c>
      <c r="D314">
        <f>COUNTIFS(data!D:D,data!$J$2,data!F:F,"&gt;="&amp;B314)</f>
        <v>97</v>
      </c>
      <c r="E314">
        <f>COUNTIFS(data!D:D,data!$J$2,data!F:F,"&lt;"&amp;B314)</f>
        <v>626</v>
      </c>
      <c r="F314">
        <f>COUNTIFS(data!D:D,data!$I$2,data!F:F,"&lt;"&amp;B314)</f>
        <v>318</v>
      </c>
      <c r="G314">
        <f t="shared" si="30"/>
        <v>0.13416320885200553</v>
      </c>
      <c r="H314">
        <f t="shared" si="31"/>
        <v>0.4044943820224719</v>
      </c>
      <c r="I314">
        <f t="shared" si="27"/>
        <v>5.5946664180148056E-4</v>
      </c>
      <c r="J314">
        <f t="shared" si="32"/>
        <v>0.69009584664536738</v>
      </c>
      <c r="K314">
        <f t="shared" si="33"/>
        <v>0.51003541912632822</v>
      </c>
      <c r="L314">
        <f>A314*COUNTIF(data!D:D,data!$I$2)/data!$L$2</f>
        <v>132.96897374701672</v>
      </c>
      <c r="M314" s="1">
        <f>A314/data!$L$2</f>
        <v>0.24900556881463803</v>
      </c>
      <c r="N314">
        <f t="shared" si="24"/>
        <v>1.6244390996876905</v>
      </c>
    </row>
    <row r="315" spans="1:14" x14ac:dyDescent="0.2">
      <c r="A315">
        <v>314</v>
      </c>
      <c r="B315">
        <f>LARGE(data!F:F,A315)</f>
        <v>0.58011781200000001</v>
      </c>
      <c r="C315">
        <f>COUNTIFS(data!D:D,data!$I$2,data!F:F,"&gt;="&amp;B315)</f>
        <v>216</v>
      </c>
      <c r="D315">
        <f>COUNTIFS(data!D:D,data!$J$2,data!F:F,"&gt;="&amp;B315)</f>
        <v>98</v>
      </c>
      <c r="E315">
        <f>COUNTIFS(data!D:D,data!$J$2,data!F:F,"&lt;"&amp;B315)</f>
        <v>625</v>
      </c>
      <c r="F315">
        <f>COUNTIFS(data!D:D,data!$I$2,data!F:F,"&lt;"&amp;B315)</f>
        <v>318</v>
      </c>
      <c r="G315">
        <f t="shared" si="30"/>
        <v>0.13554633471645919</v>
      </c>
      <c r="H315">
        <f t="shared" si="31"/>
        <v>0.4044943820224719</v>
      </c>
      <c r="I315">
        <f t="shared" si="27"/>
        <v>5.5946664180148056E-4</v>
      </c>
      <c r="J315">
        <f t="shared" si="32"/>
        <v>0.68789808917197448</v>
      </c>
      <c r="K315">
        <f t="shared" si="33"/>
        <v>0.50943396226415094</v>
      </c>
      <c r="L315">
        <f>A315*COUNTIF(data!D:D,data!$I$2)/data!$L$2</f>
        <v>133.39379474940336</v>
      </c>
      <c r="M315" s="1">
        <f>A315/data!$L$2</f>
        <v>0.2498011137629276</v>
      </c>
      <c r="N315">
        <f t="shared" si="24"/>
        <v>1.6192657267587489</v>
      </c>
    </row>
    <row r="316" spans="1:14" x14ac:dyDescent="0.2">
      <c r="A316">
        <v>315</v>
      </c>
      <c r="B316">
        <f>LARGE(data!F:F,A316)</f>
        <v>0.57960975989999997</v>
      </c>
      <c r="C316">
        <f>COUNTIFS(data!D:D,data!$I$2,data!F:F,"&gt;="&amp;B316)</f>
        <v>217</v>
      </c>
      <c r="D316">
        <f>COUNTIFS(data!D:D,data!$J$2,data!F:F,"&gt;="&amp;B316)</f>
        <v>98</v>
      </c>
      <c r="E316">
        <f>COUNTIFS(data!D:D,data!$J$2,data!F:F,"&lt;"&amp;B316)</f>
        <v>625</v>
      </c>
      <c r="F316">
        <f>COUNTIFS(data!D:D,data!$I$2,data!F:F,"&lt;"&amp;B316)</f>
        <v>317</v>
      </c>
      <c r="G316">
        <f t="shared" si="30"/>
        <v>0.13554633471645919</v>
      </c>
      <c r="H316">
        <f t="shared" si="31"/>
        <v>0.40636704119850187</v>
      </c>
      <c r="I316">
        <f t="shared" si="27"/>
        <v>0</v>
      </c>
      <c r="J316">
        <f t="shared" si="32"/>
        <v>0.68888888888888888</v>
      </c>
      <c r="K316">
        <f t="shared" si="33"/>
        <v>0.51118963486454649</v>
      </c>
      <c r="L316">
        <f>A316*COUNTIF(data!D:D,data!$I$2)/data!$L$2</f>
        <v>133.81861575178996</v>
      </c>
      <c r="M316" s="1">
        <f>A316/data!$L$2</f>
        <v>0.25059665871121717</v>
      </c>
      <c r="N316">
        <f t="shared" si="24"/>
        <v>1.621598002496879</v>
      </c>
    </row>
    <row r="317" spans="1:14" x14ac:dyDescent="0.2">
      <c r="A317">
        <v>316</v>
      </c>
      <c r="B317">
        <f>LARGE(data!F:F,A317)</f>
        <v>0.57945307729999995</v>
      </c>
      <c r="C317">
        <f>COUNTIFS(data!D:D,data!$I$2,data!F:F,"&gt;="&amp;B317)</f>
        <v>218</v>
      </c>
      <c r="D317">
        <f>COUNTIFS(data!D:D,data!$J$2,data!F:F,"&gt;="&amp;B317)</f>
        <v>98</v>
      </c>
      <c r="E317">
        <f>COUNTIFS(data!D:D,data!$J$2,data!F:F,"&lt;"&amp;B317)</f>
        <v>625</v>
      </c>
      <c r="F317">
        <f>COUNTIFS(data!D:D,data!$I$2,data!F:F,"&lt;"&amp;B317)</f>
        <v>316</v>
      </c>
      <c r="G317">
        <f t="shared" si="30"/>
        <v>0.13554633471645919</v>
      </c>
      <c r="H317">
        <f t="shared" si="31"/>
        <v>0.40823970037453183</v>
      </c>
      <c r="I317">
        <f t="shared" si="27"/>
        <v>0</v>
      </c>
      <c r="J317">
        <f t="shared" si="32"/>
        <v>0.689873417721519</v>
      </c>
      <c r="K317">
        <f t="shared" si="33"/>
        <v>0.51294117647058823</v>
      </c>
      <c r="L317">
        <f>A317*COUNTIF(data!D:D,data!$I$2)/data!$L$2</f>
        <v>134.2434367541766</v>
      </c>
      <c r="M317" s="1">
        <f>A317/data!$L$2</f>
        <v>0.25139220365950676</v>
      </c>
      <c r="N317">
        <f t="shared" si="24"/>
        <v>1.6239155169961601</v>
      </c>
    </row>
    <row r="318" spans="1:14" x14ac:dyDescent="0.2">
      <c r="A318">
        <v>317</v>
      </c>
      <c r="B318">
        <f>LARGE(data!F:F,A318)</f>
        <v>0.5778449068</v>
      </c>
      <c r="C318">
        <f>COUNTIFS(data!D:D,data!$I$2,data!F:F,"&gt;="&amp;B318)</f>
        <v>218</v>
      </c>
      <c r="D318">
        <f>COUNTIFS(data!D:D,data!$J$2,data!F:F,"&gt;="&amp;B318)</f>
        <v>99</v>
      </c>
      <c r="E318">
        <f>COUNTIFS(data!D:D,data!$J$2,data!F:F,"&lt;"&amp;B318)</f>
        <v>624</v>
      </c>
      <c r="F318">
        <f>COUNTIFS(data!D:D,data!$I$2,data!F:F,"&lt;"&amp;B318)</f>
        <v>316</v>
      </c>
      <c r="G318">
        <f t="shared" si="30"/>
        <v>0.13692946058091288</v>
      </c>
      <c r="H318">
        <f t="shared" si="31"/>
        <v>0.40823970037453183</v>
      </c>
      <c r="I318">
        <f t="shared" si="27"/>
        <v>5.6464688848483901E-4</v>
      </c>
      <c r="J318">
        <f t="shared" si="32"/>
        <v>0.68769716088328081</v>
      </c>
      <c r="K318">
        <f t="shared" si="33"/>
        <v>0.51233842538190366</v>
      </c>
      <c r="L318">
        <f>A318*COUNTIF(data!D:D,data!$I$2)/data!$L$2</f>
        <v>134.66825775656324</v>
      </c>
      <c r="M318" s="1">
        <f>A318/data!$L$2</f>
        <v>0.25218774860779636</v>
      </c>
      <c r="N318">
        <f t="shared" si="24"/>
        <v>1.6187927551128913</v>
      </c>
    </row>
    <row r="319" spans="1:14" x14ac:dyDescent="0.2">
      <c r="A319">
        <v>318</v>
      </c>
      <c r="B319">
        <f>LARGE(data!F:F,A319)</f>
        <v>0.57768560960000004</v>
      </c>
      <c r="C319">
        <f>COUNTIFS(data!D:D,data!$I$2,data!F:F,"&gt;="&amp;B319)</f>
        <v>218</v>
      </c>
      <c r="D319">
        <f>COUNTIFS(data!D:D,data!$J$2,data!F:F,"&gt;="&amp;B319)</f>
        <v>100</v>
      </c>
      <c r="E319">
        <f>COUNTIFS(data!D:D,data!$J$2,data!F:F,"&lt;"&amp;B319)</f>
        <v>623</v>
      </c>
      <c r="F319">
        <f>COUNTIFS(data!D:D,data!$I$2,data!F:F,"&lt;"&amp;B319)</f>
        <v>316</v>
      </c>
      <c r="G319">
        <f t="shared" si="30"/>
        <v>0.13831258644536654</v>
      </c>
      <c r="H319">
        <f t="shared" si="31"/>
        <v>0.40823970037453183</v>
      </c>
      <c r="I319">
        <f t="shared" si="27"/>
        <v>5.6464688848482762E-4</v>
      </c>
      <c r="J319">
        <f t="shared" si="32"/>
        <v>0.68553459119496851</v>
      </c>
      <c r="K319">
        <f t="shared" si="33"/>
        <v>0.51173708920187799</v>
      </c>
      <c r="L319">
        <f>A319*COUNTIF(data!D:D,data!$I$2)/data!$L$2</f>
        <v>135.09307875894987</v>
      </c>
      <c r="M319" s="1">
        <f>A319/data!$L$2</f>
        <v>0.2529832935560859</v>
      </c>
      <c r="N319">
        <f t="shared" si="24"/>
        <v>1.6137022118578193</v>
      </c>
    </row>
    <row r="320" spans="1:14" x14ac:dyDescent="0.2">
      <c r="A320">
        <v>319</v>
      </c>
      <c r="B320">
        <f>LARGE(data!F:F,A320)</f>
        <v>0.57733992909999998</v>
      </c>
      <c r="C320">
        <f>COUNTIFS(data!D:D,data!$I$2,data!F:F,"&gt;="&amp;B320)</f>
        <v>218</v>
      </c>
      <c r="D320">
        <f>COUNTIFS(data!D:D,data!$J$2,data!F:F,"&gt;="&amp;B320)</f>
        <v>101</v>
      </c>
      <c r="E320">
        <f>COUNTIFS(data!D:D,data!$J$2,data!F:F,"&lt;"&amp;B320)</f>
        <v>622</v>
      </c>
      <c r="F320">
        <f>COUNTIFS(data!D:D,data!$I$2,data!F:F,"&lt;"&amp;B320)</f>
        <v>316</v>
      </c>
      <c r="G320">
        <f t="shared" si="30"/>
        <v>0.1396957123098202</v>
      </c>
      <c r="H320">
        <f t="shared" si="31"/>
        <v>0.40823970037453183</v>
      </c>
      <c r="I320">
        <f t="shared" si="27"/>
        <v>5.6464688848482762E-4</v>
      </c>
      <c r="J320">
        <f t="shared" si="32"/>
        <v>0.68338557993730409</v>
      </c>
      <c r="K320">
        <f t="shared" si="33"/>
        <v>0.51113716295427891</v>
      </c>
      <c r="L320">
        <f>A320*COUNTIF(data!D:D,data!$I$2)/data!$L$2</f>
        <v>135.51789976133651</v>
      </c>
      <c r="M320" s="1">
        <f>A320/data!$L$2</f>
        <v>0.25377883850437549</v>
      </c>
      <c r="N320">
        <f t="shared" si="24"/>
        <v>1.6086435842344406</v>
      </c>
    </row>
    <row r="321" spans="1:14" x14ac:dyDescent="0.2">
      <c r="A321">
        <v>320</v>
      </c>
      <c r="B321">
        <f>LARGE(data!F:F,A321)</f>
        <v>0.57712864419999998</v>
      </c>
      <c r="C321">
        <f>COUNTIFS(data!D:D,data!$I$2,data!F:F,"&gt;="&amp;B321)</f>
        <v>218</v>
      </c>
      <c r="D321">
        <f>COUNTIFS(data!D:D,data!$J$2,data!F:F,"&gt;="&amp;B321)</f>
        <v>102</v>
      </c>
      <c r="E321">
        <f>COUNTIFS(data!D:D,data!$J$2,data!F:F,"&lt;"&amp;B321)</f>
        <v>621</v>
      </c>
      <c r="F321">
        <f>COUNTIFS(data!D:D,data!$I$2,data!F:F,"&lt;"&amp;B321)</f>
        <v>316</v>
      </c>
      <c r="G321">
        <f t="shared" si="30"/>
        <v>0.14107883817427386</v>
      </c>
      <c r="H321">
        <f t="shared" si="31"/>
        <v>0.40823970037453183</v>
      </c>
      <c r="I321">
        <f t="shared" si="27"/>
        <v>5.6464688848482762E-4</v>
      </c>
      <c r="J321">
        <f t="shared" si="32"/>
        <v>0.68125000000000002</v>
      </c>
      <c r="K321">
        <f t="shared" si="33"/>
        <v>0.51053864168618268</v>
      </c>
      <c r="L321">
        <f>A321*COUNTIF(data!D:D,data!$I$2)/data!$L$2</f>
        <v>135.94272076372314</v>
      </c>
      <c r="M321" s="1">
        <f>A321/data!$L$2</f>
        <v>0.25457438345266509</v>
      </c>
      <c r="N321">
        <f t="shared" si="24"/>
        <v>1.603616573033708</v>
      </c>
    </row>
    <row r="322" spans="1:14" x14ac:dyDescent="0.2">
      <c r="A322">
        <v>321</v>
      </c>
      <c r="B322">
        <f>LARGE(data!F:F,A322)</f>
        <v>0.57707449070000005</v>
      </c>
      <c r="C322">
        <f>COUNTIFS(data!D:D,data!$I$2,data!F:F,"&gt;="&amp;B322)</f>
        <v>219</v>
      </c>
      <c r="D322">
        <f>COUNTIFS(data!D:D,data!$J$2,data!F:F,"&gt;="&amp;B322)</f>
        <v>102</v>
      </c>
      <c r="E322">
        <f>COUNTIFS(data!D:D,data!$J$2,data!F:F,"&lt;"&amp;B322)</f>
        <v>621</v>
      </c>
      <c r="F322">
        <f>COUNTIFS(data!D:D,data!$I$2,data!F:F,"&lt;"&amp;B322)</f>
        <v>315</v>
      </c>
      <c r="G322">
        <f t="shared" si="30"/>
        <v>0.14107883817427386</v>
      </c>
      <c r="H322">
        <f t="shared" si="31"/>
        <v>0.4101123595505618</v>
      </c>
      <c r="I322">
        <f t="shared" si="27"/>
        <v>0</v>
      </c>
      <c r="J322">
        <f t="shared" si="32"/>
        <v>0.68224299065420557</v>
      </c>
      <c r="K322">
        <f t="shared" si="33"/>
        <v>0.51228070175438589</v>
      </c>
      <c r="L322">
        <f>A322*COUNTIF(data!D:D,data!$I$2)/data!$L$2</f>
        <v>136.36754176610978</v>
      </c>
      <c r="M322" s="1">
        <f>A322/data!$L$2</f>
        <v>0.25536992840095463</v>
      </c>
      <c r="N322">
        <f t="shared" ref="N322:N385" si="34">C322/L322</f>
        <v>1.6059540060905177</v>
      </c>
    </row>
    <row r="323" spans="1:14" x14ac:dyDescent="0.2">
      <c r="A323">
        <v>322</v>
      </c>
      <c r="B323">
        <f>LARGE(data!F:F,A323)</f>
        <v>0.57609245730000003</v>
      </c>
      <c r="C323">
        <f>COUNTIFS(data!D:D,data!$I$2,data!F:F,"&gt;="&amp;B323)</f>
        <v>220</v>
      </c>
      <c r="D323">
        <f>COUNTIFS(data!D:D,data!$J$2,data!F:F,"&gt;="&amp;B323)</f>
        <v>102</v>
      </c>
      <c r="E323">
        <f>COUNTIFS(data!D:D,data!$J$2,data!F:F,"&lt;"&amp;B323)</f>
        <v>621</v>
      </c>
      <c r="F323">
        <f>COUNTIFS(data!D:D,data!$I$2,data!F:F,"&lt;"&amp;B323)</f>
        <v>314</v>
      </c>
      <c r="G323">
        <f t="shared" si="30"/>
        <v>0.14107883817427386</v>
      </c>
      <c r="H323">
        <f t="shared" si="31"/>
        <v>0.41198501872659177</v>
      </c>
      <c r="I323">
        <f t="shared" ref="I323:I386" si="35">(G323-G322)*(H323+H322)*0.5</f>
        <v>0</v>
      </c>
      <c r="J323">
        <f t="shared" si="32"/>
        <v>0.68322981366459623</v>
      </c>
      <c r="K323">
        <f t="shared" si="33"/>
        <v>0.5140186915887851</v>
      </c>
      <c r="L323">
        <f>A323*COUNTIF(data!D:D,data!$I$2)/data!$L$2</f>
        <v>136.79236276849642</v>
      </c>
      <c r="M323" s="1">
        <f>A323/data!$L$2</f>
        <v>0.25616547334924422</v>
      </c>
      <c r="N323">
        <f t="shared" si="34"/>
        <v>1.6082769209295833</v>
      </c>
    </row>
    <row r="324" spans="1:14" x14ac:dyDescent="0.2">
      <c r="A324">
        <v>323</v>
      </c>
      <c r="B324">
        <f>LARGE(data!F:F,A324)</f>
        <v>0.5752137678</v>
      </c>
      <c r="C324">
        <f>COUNTIFS(data!D:D,data!$I$2,data!F:F,"&gt;="&amp;B324)</f>
        <v>220</v>
      </c>
      <c r="D324">
        <f>COUNTIFS(data!D:D,data!$J$2,data!F:F,"&gt;="&amp;B324)</f>
        <v>103</v>
      </c>
      <c r="E324">
        <f>COUNTIFS(data!D:D,data!$J$2,data!F:F,"&lt;"&amp;B324)</f>
        <v>620</v>
      </c>
      <c r="F324">
        <f>COUNTIFS(data!D:D,data!$I$2,data!F:F,"&lt;"&amp;B324)</f>
        <v>314</v>
      </c>
      <c r="G324">
        <f t="shared" si="30"/>
        <v>0.14246196403872752</v>
      </c>
      <c r="H324">
        <f t="shared" si="31"/>
        <v>0.41198501872659177</v>
      </c>
      <c r="I324">
        <f t="shared" si="35"/>
        <v>5.6982713516817469E-4</v>
      </c>
      <c r="J324">
        <f t="shared" si="32"/>
        <v>0.68111455108359131</v>
      </c>
      <c r="K324">
        <f t="shared" si="33"/>
        <v>0.51341890315052507</v>
      </c>
      <c r="L324">
        <f>A324*COUNTIF(data!D:D,data!$I$2)/data!$L$2</f>
        <v>137.21718377088305</v>
      </c>
      <c r="M324" s="1">
        <f>A324/data!$L$2</f>
        <v>0.25696101829753382</v>
      </c>
      <c r="N324">
        <f t="shared" si="34"/>
        <v>1.6032977354158695</v>
      </c>
    </row>
    <row r="325" spans="1:14" x14ac:dyDescent="0.2">
      <c r="A325">
        <v>324</v>
      </c>
      <c r="B325">
        <f>LARGE(data!F:F,A325)</f>
        <v>0.57503463929999998</v>
      </c>
      <c r="C325">
        <f>COUNTIFS(data!D:D,data!$I$2,data!F:F,"&gt;="&amp;B325)</f>
        <v>222</v>
      </c>
      <c r="D325">
        <f>COUNTIFS(data!D:D,data!$J$2,data!F:F,"&gt;="&amp;B325)</f>
        <v>104</v>
      </c>
      <c r="E325">
        <f>COUNTIFS(data!D:D,data!$J$2,data!F:F,"&lt;"&amp;B325)</f>
        <v>619</v>
      </c>
      <c r="F325">
        <f>COUNTIFS(data!D:D,data!$I$2,data!F:F,"&lt;"&amp;B325)</f>
        <v>312</v>
      </c>
      <c r="G325">
        <f t="shared" si="30"/>
        <v>0.14384508990318118</v>
      </c>
      <c r="H325">
        <f t="shared" si="31"/>
        <v>0.4157303370786517</v>
      </c>
      <c r="I325">
        <f t="shared" si="35"/>
        <v>5.7241725850984827E-4</v>
      </c>
      <c r="J325">
        <f t="shared" si="32"/>
        <v>0.68098159509202449</v>
      </c>
      <c r="K325">
        <f t="shared" si="33"/>
        <v>0.51627906976744187</v>
      </c>
      <c r="L325">
        <f>A325*COUNTIF(data!D:D,data!$I$2)/data!$L$2</f>
        <v>137.64200477326969</v>
      </c>
      <c r="M325" s="1">
        <f>A325/data!$L$2</f>
        <v>0.25775656324582341</v>
      </c>
      <c r="N325">
        <f t="shared" si="34"/>
        <v>1.6128797336662506</v>
      </c>
    </row>
    <row r="326" spans="1:14" x14ac:dyDescent="0.2">
      <c r="A326">
        <v>325</v>
      </c>
      <c r="B326">
        <f>LARGE(data!F:F,A326)</f>
        <v>0.57503463929999998</v>
      </c>
      <c r="C326">
        <f>COUNTIFS(data!D:D,data!$I$2,data!F:F,"&gt;="&amp;B326)</f>
        <v>222</v>
      </c>
      <c r="D326">
        <f>COUNTIFS(data!D:D,data!$J$2,data!F:F,"&gt;="&amp;B326)</f>
        <v>104</v>
      </c>
      <c r="E326">
        <f>COUNTIFS(data!D:D,data!$J$2,data!F:F,"&lt;"&amp;B326)</f>
        <v>619</v>
      </c>
      <c r="F326">
        <f>COUNTIFS(data!D:D,data!$I$2,data!F:F,"&lt;"&amp;B326)</f>
        <v>312</v>
      </c>
      <c r="G326">
        <f t="shared" si="30"/>
        <v>0.14384508990318118</v>
      </c>
      <c r="H326">
        <f t="shared" si="31"/>
        <v>0.4157303370786517</v>
      </c>
      <c r="I326">
        <f t="shared" si="35"/>
        <v>0</v>
      </c>
      <c r="J326">
        <f t="shared" si="32"/>
        <v>0.68098159509202449</v>
      </c>
      <c r="K326">
        <f t="shared" si="33"/>
        <v>0.51627906976744187</v>
      </c>
      <c r="L326">
        <f>A326*COUNTIF(data!D:D,data!$I$2)/data!$L$2</f>
        <v>138.06682577565633</v>
      </c>
      <c r="M326" s="1">
        <f>A326/data!$L$2</f>
        <v>0.25855210819411295</v>
      </c>
      <c r="N326">
        <f t="shared" si="34"/>
        <v>1.6079170267934313</v>
      </c>
    </row>
    <row r="327" spans="1:14" x14ac:dyDescent="0.2">
      <c r="A327">
        <v>326</v>
      </c>
      <c r="B327">
        <f>LARGE(data!F:F,A327)</f>
        <v>0.57503463929999998</v>
      </c>
      <c r="C327">
        <f>COUNTIFS(data!D:D,data!$I$2,data!F:F,"&gt;="&amp;B327)</f>
        <v>222</v>
      </c>
      <c r="D327">
        <f>COUNTIFS(data!D:D,data!$J$2,data!F:F,"&gt;="&amp;B327)</f>
        <v>104</v>
      </c>
      <c r="E327">
        <f>COUNTIFS(data!D:D,data!$J$2,data!F:F,"&lt;"&amp;B327)</f>
        <v>619</v>
      </c>
      <c r="F327">
        <f>COUNTIFS(data!D:D,data!$I$2,data!F:F,"&lt;"&amp;B327)</f>
        <v>312</v>
      </c>
      <c r="G327">
        <f t="shared" si="30"/>
        <v>0.14384508990318118</v>
      </c>
      <c r="H327">
        <f t="shared" si="31"/>
        <v>0.4157303370786517</v>
      </c>
      <c r="I327">
        <f t="shared" si="35"/>
        <v>0</v>
      </c>
      <c r="J327">
        <f t="shared" si="32"/>
        <v>0.68098159509202449</v>
      </c>
      <c r="K327">
        <f t="shared" si="33"/>
        <v>0.51627906976744187</v>
      </c>
      <c r="L327">
        <f>A327*COUNTIF(data!D:D,data!$I$2)/data!$L$2</f>
        <v>138.49164677804296</v>
      </c>
      <c r="M327" s="1">
        <f>A327/data!$L$2</f>
        <v>0.25934765314240255</v>
      </c>
      <c r="N327">
        <f t="shared" si="34"/>
        <v>1.6029847659750465</v>
      </c>
    </row>
    <row r="328" spans="1:14" x14ac:dyDescent="0.2">
      <c r="A328">
        <v>327</v>
      </c>
      <c r="B328">
        <f>LARGE(data!F:F,A328)</f>
        <v>0.57453269870000001</v>
      </c>
      <c r="C328">
        <f>COUNTIFS(data!D:D,data!$I$2,data!F:F,"&gt;="&amp;B328)</f>
        <v>223</v>
      </c>
      <c r="D328">
        <f>COUNTIFS(data!D:D,data!$J$2,data!F:F,"&gt;="&amp;B328)</f>
        <v>104</v>
      </c>
      <c r="E328">
        <f>COUNTIFS(data!D:D,data!$J$2,data!F:F,"&lt;"&amp;B328)</f>
        <v>619</v>
      </c>
      <c r="F328">
        <f>COUNTIFS(data!D:D,data!$I$2,data!F:F,"&lt;"&amp;B328)</f>
        <v>311</v>
      </c>
      <c r="G328">
        <f t="shared" si="30"/>
        <v>0.14384508990318118</v>
      </c>
      <c r="H328">
        <f t="shared" si="31"/>
        <v>0.41760299625468167</v>
      </c>
      <c r="I328">
        <f t="shared" si="35"/>
        <v>0</v>
      </c>
      <c r="J328">
        <f t="shared" si="32"/>
        <v>0.68195718654434245</v>
      </c>
      <c r="K328">
        <f t="shared" si="33"/>
        <v>0.51800232288037162</v>
      </c>
      <c r="L328">
        <f>A328*COUNTIF(data!D:D,data!$I$2)/data!$L$2</f>
        <v>138.9164677804296</v>
      </c>
      <c r="M328" s="1">
        <f>A328/data!$L$2</f>
        <v>0.26014319809069214</v>
      </c>
      <c r="N328">
        <f t="shared" si="34"/>
        <v>1.6052812424835927</v>
      </c>
    </row>
    <row r="329" spans="1:14" x14ac:dyDescent="0.2">
      <c r="A329">
        <v>328</v>
      </c>
      <c r="B329">
        <f>LARGE(data!F:F,A329)</f>
        <v>0.57381122220000003</v>
      </c>
      <c r="C329">
        <f>COUNTIFS(data!D:D,data!$I$2,data!F:F,"&gt;="&amp;B329)</f>
        <v>224</v>
      </c>
      <c r="D329">
        <f>COUNTIFS(data!D:D,data!$J$2,data!F:F,"&gt;="&amp;B329)</f>
        <v>104</v>
      </c>
      <c r="E329">
        <f>COUNTIFS(data!D:D,data!$J$2,data!F:F,"&lt;"&amp;B329)</f>
        <v>619</v>
      </c>
      <c r="F329">
        <f>COUNTIFS(data!D:D,data!$I$2,data!F:F,"&lt;"&amp;B329)</f>
        <v>310</v>
      </c>
      <c r="G329">
        <f t="shared" si="30"/>
        <v>0.14384508990318118</v>
      </c>
      <c r="H329">
        <f t="shared" si="31"/>
        <v>0.41947565543071164</v>
      </c>
      <c r="I329">
        <f t="shared" si="35"/>
        <v>0</v>
      </c>
      <c r="J329">
        <f t="shared" si="32"/>
        <v>0.68292682926829273</v>
      </c>
      <c r="K329">
        <f t="shared" si="33"/>
        <v>0.51972157772621808</v>
      </c>
      <c r="L329">
        <f>A329*COUNTIF(data!D:D,data!$I$2)/data!$L$2</f>
        <v>139.34128878281624</v>
      </c>
      <c r="M329" s="1">
        <f>A329/data!$L$2</f>
        <v>0.26093874303898168</v>
      </c>
      <c r="N329">
        <f t="shared" si="34"/>
        <v>1.607563716086599</v>
      </c>
    </row>
    <row r="330" spans="1:14" x14ac:dyDescent="0.2">
      <c r="A330">
        <v>329</v>
      </c>
      <c r="B330">
        <f>LARGE(data!F:F,A330)</f>
        <v>0.57358182469999996</v>
      </c>
      <c r="C330">
        <f>COUNTIFS(data!D:D,data!$I$2,data!F:F,"&gt;="&amp;B330)</f>
        <v>224</v>
      </c>
      <c r="D330">
        <f>COUNTIFS(data!D:D,data!$J$2,data!F:F,"&gt;="&amp;B330)</f>
        <v>105</v>
      </c>
      <c r="E330">
        <f>COUNTIFS(data!D:D,data!$J$2,data!F:F,"&lt;"&amp;B330)</f>
        <v>618</v>
      </c>
      <c r="F330">
        <f>COUNTIFS(data!D:D,data!$I$2,data!F:F,"&lt;"&amp;B330)</f>
        <v>310</v>
      </c>
      <c r="G330">
        <f t="shared" si="30"/>
        <v>0.14522821576763487</v>
      </c>
      <c r="H330">
        <f t="shared" si="31"/>
        <v>0.41947565543071164</v>
      </c>
      <c r="I330">
        <f t="shared" si="35"/>
        <v>5.8018762853488041E-4</v>
      </c>
      <c r="J330">
        <f t="shared" si="32"/>
        <v>0.68085106382978722</v>
      </c>
      <c r="K330">
        <f t="shared" si="33"/>
        <v>0.5191193511008112</v>
      </c>
      <c r="L330">
        <f>A330*COUNTIF(data!D:D,data!$I$2)/data!$L$2</f>
        <v>139.76610978520287</v>
      </c>
      <c r="M330" s="1">
        <f>A330/data!$L$2</f>
        <v>0.26173428798727127</v>
      </c>
      <c r="N330">
        <f t="shared" si="34"/>
        <v>1.6026775041836001</v>
      </c>
    </row>
    <row r="331" spans="1:14" x14ac:dyDescent="0.2">
      <c r="A331">
        <v>330</v>
      </c>
      <c r="B331">
        <f>LARGE(data!F:F,A331)</f>
        <v>0.57276107890000005</v>
      </c>
      <c r="C331">
        <f>COUNTIFS(data!D:D,data!$I$2,data!F:F,"&gt;="&amp;B331)</f>
        <v>227</v>
      </c>
      <c r="D331">
        <f>COUNTIFS(data!D:D,data!$J$2,data!F:F,"&gt;="&amp;B331)</f>
        <v>105</v>
      </c>
      <c r="E331">
        <f>COUNTIFS(data!D:D,data!$J$2,data!F:F,"&lt;"&amp;B331)</f>
        <v>618</v>
      </c>
      <c r="F331">
        <f>COUNTIFS(data!D:D,data!$I$2,data!F:F,"&lt;"&amp;B331)</f>
        <v>307</v>
      </c>
      <c r="G331">
        <f t="shared" si="30"/>
        <v>0.14522821576763487</v>
      </c>
      <c r="H331">
        <f t="shared" si="31"/>
        <v>0.42509363295880148</v>
      </c>
      <c r="I331">
        <f t="shared" si="35"/>
        <v>0</v>
      </c>
      <c r="J331">
        <f t="shared" si="32"/>
        <v>0.6837349397590361</v>
      </c>
      <c r="K331">
        <f t="shared" si="33"/>
        <v>0.5242494226327945</v>
      </c>
      <c r="L331">
        <f>A331*COUNTIF(data!D:D,data!$I$2)/data!$L$2</f>
        <v>140.19093078758951</v>
      </c>
      <c r="M331" s="1">
        <f>A331/data!$L$2</f>
        <v>0.26252983293556087</v>
      </c>
      <c r="N331">
        <f t="shared" si="34"/>
        <v>1.6192202928157984</v>
      </c>
    </row>
    <row r="332" spans="1:14" x14ac:dyDescent="0.2">
      <c r="A332">
        <v>331</v>
      </c>
      <c r="B332">
        <f>LARGE(data!F:F,A332)</f>
        <v>0.57276107890000005</v>
      </c>
      <c r="C332">
        <f>COUNTIFS(data!D:D,data!$I$2,data!F:F,"&gt;="&amp;B332)</f>
        <v>227</v>
      </c>
      <c r="D332">
        <f>COUNTIFS(data!D:D,data!$J$2,data!F:F,"&gt;="&amp;B332)</f>
        <v>105</v>
      </c>
      <c r="E332">
        <f>COUNTIFS(data!D:D,data!$J$2,data!F:F,"&lt;"&amp;B332)</f>
        <v>618</v>
      </c>
      <c r="F332">
        <f>COUNTIFS(data!D:D,data!$I$2,data!F:F,"&lt;"&amp;B332)</f>
        <v>307</v>
      </c>
      <c r="G332">
        <f t="shared" si="30"/>
        <v>0.14522821576763487</v>
      </c>
      <c r="H332">
        <f t="shared" si="31"/>
        <v>0.42509363295880148</v>
      </c>
      <c r="I332">
        <f t="shared" si="35"/>
        <v>0</v>
      </c>
      <c r="J332">
        <f t="shared" si="32"/>
        <v>0.6837349397590361</v>
      </c>
      <c r="K332">
        <f t="shared" si="33"/>
        <v>0.5242494226327945</v>
      </c>
      <c r="L332">
        <f>A332*COUNTIF(data!D:D,data!$I$2)/data!$L$2</f>
        <v>140.61575178997614</v>
      </c>
      <c r="M332" s="1">
        <f>A332/data!$L$2</f>
        <v>0.26332537788385046</v>
      </c>
      <c r="N332">
        <f t="shared" si="34"/>
        <v>1.6143283886078956</v>
      </c>
    </row>
    <row r="333" spans="1:14" x14ac:dyDescent="0.2">
      <c r="A333">
        <v>332</v>
      </c>
      <c r="B333">
        <f>LARGE(data!F:F,A333)</f>
        <v>0.57276107890000005</v>
      </c>
      <c r="C333">
        <f>COUNTIFS(data!D:D,data!$I$2,data!F:F,"&gt;="&amp;B333)</f>
        <v>227</v>
      </c>
      <c r="D333">
        <f>COUNTIFS(data!D:D,data!$J$2,data!F:F,"&gt;="&amp;B333)</f>
        <v>105</v>
      </c>
      <c r="E333">
        <f>COUNTIFS(data!D:D,data!$J$2,data!F:F,"&lt;"&amp;B333)</f>
        <v>618</v>
      </c>
      <c r="F333">
        <f>COUNTIFS(data!D:D,data!$I$2,data!F:F,"&lt;"&amp;B333)</f>
        <v>307</v>
      </c>
      <c r="G333">
        <f t="shared" si="30"/>
        <v>0.14522821576763487</v>
      </c>
      <c r="H333">
        <f t="shared" si="31"/>
        <v>0.42509363295880148</v>
      </c>
      <c r="I333">
        <f t="shared" si="35"/>
        <v>0</v>
      </c>
      <c r="J333">
        <f t="shared" si="32"/>
        <v>0.6837349397590361</v>
      </c>
      <c r="K333">
        <f t="shared" si="33"/>
        <v>0.5242494226327945</v>
      </c>
      <c r="L333">
        <f>A333*COUNTIF(data!D:D,data!$I$2)/data!$L$2</f>
        <v>141.04057279236278</v>
      </c>
      <c r="M333" s="1">
        <f>A333/data!$L$2</f>
        <v>0.26412092283214</v>
      </c>
      <c r="N333">
        <f t="shared" si="34"/>
        <v>1.60946595370245</v>
      </c>
    </row>
    <row r="334" spans="1:14" x14ac:dyDescent="0.2">
      <c r="A334">
        <v>333</v>
      </c>
      <c r="B334">
        <f>LARGE(data!F:F,A334)</f>
        <v>0.57270484759999996</v>
      </c>
      <c r="C334">
        <f>COUNTIFS(data!D:D,data!$I$2,data!F:F,"&gt;="&amp;B334)</f>
        <v>228</v>
      </c>
      <c r="D334">
        <f>COUNTIFS(data!D:D,data!$J$2,data!F:F,"&gt;="&amp;B334)</f>
        <v>105</v>
      </c>
      <c r="E334">
        <f>COUNTIFS(data!D:D,data!$J$2,data!F:F,"&lt;"&amp;B334)</f>
        <v>618</v>
      </c>
      <c r="F334">
        <f>COUNTIFS(data!D:D,data!$I$2,data!F:F,"&lt;"&amp;B334)</f>
        <v>306</v>
      </c>
      <c r="G334">
        <f t="shared" si="30"/>
        <v>0.14522821576763487</v>
      </c>
      <c r="H334">
        <f t="shared" si="31"/>
        <v>0.42696629213483145</v>
      </c>
      <c r="I334">
        <f t="shared" si="35"/>
        <v>0</v>
      </c>
      <c r="J334">
        <f t="shared" si="32"/>
        <v>0.68468468468468469</v>
      </c>
      <c r="K334">
        <f t="shared" si="33"/>
        <v>0.52595155709342567</v>
      </c>
      <c r="L334">
        <f>A334*COUNTIF(data!D:D,data!$I$2)/data!$L$2</f>
        <v>141.46539379474942</v>
      </c>
      <c r="M334" s="1">
        <f>A334/data!$L$2</f>
        <v>0.2649164677804296</v>
      </c>
      <c r="N334">
        <f t="shared" si="34"/>
        <v>1.6117015892296789</v>
      </c>
    </row>
    <row r="335" spans="1:14" x14ac:dyDescent="0.2">
      <c r="A335">
        <v>334</v>
      </c>
      <c r="B335">
        <f>LARGE(data!F:F,A335)</f>
        <v>0.57257680389999999</v>
      </c>
      <c r="C335">
        <f>COUNTIFS(data!D:D,data!$I$2,data!F:F,"&gt;="&amp;B335)</f>
        <v>228</v>
      </c>
      <c r="D335">
        <f>COUNTIFS(data!D:D,data!$J$2,data!F:F,"&gt;="&amp;B335)</f>
        <v>106</v>
      </c>
      <c r="E335">
        <f>COUNTIFS(data!D:D,data!$J$2,data!F:F,"&lt;"&amp;B335)</f>
        <v>617</v>
      </c>
      <c r="F335">
        <f>COUNTIFS(data!D:D,data!$I$2,data!F:F,"&lt;"&amp;B335)</f>
        <v>306</v>
      </c>
      <c r="G335">
        <f t="shared" si="30"/>
        <v>0.14661134163208853</v>
      </c>
      <c r="H335">
        <f t="shared" si="31"/>
        <v>0.42696629213483145</v>
      </c>
      <c r="I335">
        <f t="shared" si="35"/>
        <v>5.9054812190156283E-4</v>
      </c>
      <c r="J335">
        <f t="shared" si="32"/>
        <v>0.68263473053892221</v>
      </c>
      <c r="K335">
        <f t="shared" si="33"/>
        <v>0.52534562211981561</v>
      </c>
      <c r="L335">
        <f>A335*COUNTIF(data!D:D,data!$I$2)/data!$L$2</f>
        <v>141.89021479713603</v>
      </c>
      <c r="M335" s="1">
        <f>A335/data!$L$2</f>
        <v>0.26571201272871919</v>
      </c>
      <c r="N335">
        <f t="shared" si="34"/>
        <v>1.6068761353697101</v>
      </c>
    </row>
    <row r="336" spans="1:14" x14ac:dyDescent="0.2">
      <c r="A336">
        <v>335</v>
      </c>
      <c r="B336">
        <f>LARGE(data!F:F,A336)</f>
        <v>0.57100278380000002</v>
      </c>
      <c r="C336">
        <f>COUNTIFS(data!D:D,data!$I$2,data!F:F,"&gt;="&amp;B336)</f>
        <v>228</v>
      </c>
      <c r="D336">
        <f>COUNTIFS(data!D:D,data!$J$2,data!F:F,"&gt;="&amp;B336)</f>
        <v>107</v>
      </c>
      <c r="E336">
        <f>COUNTIFS(data!D:D,data!$J$2,data!F:F,"&lt;"&amp;B336)</f>
        <v>616</v>
      </c>
      <c r="F336">
        <f>COUNTIFS(data!D:D,data!$I$2,data!F:F,"&lt;"&amp;B336)</f>
        <v>306</v>
      </c>
      <c r="G336">
        <f t="shared" si="30"/>
        <v>0.14799446749654219</v>
      </c>
      <c r="H336">
        <f t="shared" si="31"/>
        <v>0.42696629213483145</v>
      </c>
      <c r="I336">
        <f t="shared" si="35"/>
        <v>5.9054812190156283E-4</v>
      </c>
      <c r="J336">
        <f t="shared" si="32"/>
        <v>0.68059701492537317</v>
      </c>
      <c r="K336">
        <f t="shared" si="33"/>
        <v>0.52474108170310696</v>
      </c>
      <c r="L336">
        <f>A336*COUNTIF(data!D:D,data!$I$2)/data!$L$2</f>
        <v>142.31503579952266</v>
      </c>
      <c r="M336" s="1">
        <f>A336/data!$L$2</f>
        <v>0.26650755767700873</v>
      </c>
      <c r="N336">
        <f t="shared" si="34"/>
        <v>1.6020794901895021</v>
      </c>
    </row>
    <row r="337" spans="1:14" x14ac:dyDescent="0.2">
      <c r="A337">
        <v>336</v>
      </c>
      <c r="B337">
        <f>LARGE(data!F:F,A337)</f>
        <v>0.56956328410000001</v>
      </c>
      <c r="C337">
        <f>COUNTIFS(data!D:D,data!$I$2,data!F:F,"&gt;="&amp;B337)</f>
        <v>228</v>
      </c>
      <c r="D337">
        <f>COUNTIFS(data!D:D,data!$J$2,data!F:F,"&gt;="&amp;B337)</f>
        <v>108</v>
      </c>
      <c r="E337">
        <f>COUNTIFS(data!D:D,data!$J$2,data!F:F,"&lt;"&amp;B337)</f>
        <v>615</v>
      </c>
      <c r="F337">
        <f>COUNTIFS(data!D:D,data!$I$2,data!F:F,"&lt;"&amp;B337)</f>
        <v>306</v>
      </c>
      <c r="G337">
        <f t="shared" si="30"/>
        <v>0.14937759336099585</v>
      </c>
      <c r="H337">
        <f t="shared" si="31"/>
        <v>0.42696629213483145</v>
      </c>
      <c r="I337">
        <f t="shared" si="35"/>
        <v>5.9054812190156283E-4</v>
      </c>
      <c r="J337">
        <f t="shared" si="32"/>
        <v>0.6785714285714286</v>
      </c>
      <c r="K337">
        <f t="shared" si="33"/>
        <v>0.52413793103448281</v>
      </c>
      <c r="L337">
        <f>A337*COUNTIF(data!D:D,data!$I$2)/data!$L$2</f>
        <v>142.7398568019093</v>
      </c>
      <c r="M337" s="1">
        <f>A337/data!$L$2</f>
        <v>0.26730310262529833</v>
      </c>
      <c r="N337">
        <f t="shared" si="34"/>
        <v>1.5973113964687</v>
      </c>
    </row>
    <row r="338" spans="1:14" x14ac:dyDescent="0.2">
      <c r="A338">
        <v>337</v>
      </c>
      <c r="B338">
        <f>LARGE(data!F:F,A338)</f>
        <v>0.5695269704</v>
      </c>
      <c r="C338">
        <f>COUNTIFS(data!D:D,data!$I$2,data!F:F,"&gt;="&amp;B338)</f>
        <v>228</v>
      </c>
      <c r="D338">
        <f>COUNTIFS(data!D:D,data!$J$2,data!F:F,"&gt;="&amp;B338)</f>
        <v>109</v>
      </c>
      <c r="E338">
        <f>COUNTIFS(data!D:D,data!$J$2,data!F:F,"&lt;"&amp;B338)</f>
        <v>614</v>
      </c>
      <c r="F338">
        <f>COUNTIFS(data!D:D,data!$I$2,data!F:F,"&lt;"&amp;B338)</f>
        <v>306</v>
      </c>
      <c r="G338">
        <f t="shared" si="30"/>
        <v>0.15076071922544951</v>
      </c>
      <c r="H338">
        <f t="shared" si="31"/>
        <v>0.42696629213483145</v>
      </c>
      <c r="I338">
        <f t="shared" si="35"/>
        <v>5.9054812190156283E-4</v>
      </c>
      <c r="J338">
        <f t="shared" si="32"/>
        <v>0.67655786350148372</v>
      </c>
      <c r="K338">
        <f t="shared" si="33"/>
        <v>0.52353616532721015</v>
      </c>
      <c r="L338">
        <f>A338*COUNTIF(data!D:D,data!$I$2)/data!$L$2</f>
        <v>143.16467780429593</v>
      </c>
      <c r="M338" s="1">
        <f>A338/data!$L$2</f>
        <v>0.26809864757358792</v>
      </c>
      <c r="N338">
        <f t="shared" si="34"/>
        <v>1.5925716000400094</v>
      </c>
    </row>
    <row r="339" spans="1:14" x14ac:dyDescent="0.2">
      <c r="A339">
        <v>338</v>
      </c>
      <c r="B339">
        <f>LARGE(data!F:F,A339)</f>
        <v>0.56941930419999998</v>
      </c>
      <c r="C339">
        <f>COUNTIFS(data!D:D,data!$I$2,data!F:F,"&gt;="&amp;B339)</f>
        <v>229</v>
      </c>
      <c r="D339">
        <f>COUNTIFS(data!D:D,data!$J$2,data!F:F,"&gt;="&amp;B339)</f>
        <v>109</v>
      </c>
      <c r="E339">
        <f>COUNTIFS(data!D:D,data!$J$2,data!F:F,"&lt;"&amp;B339)</f>
        <v>614</v>
      </c>
      <c r="F339">
        <f>COUNTIFS(data!D:D,data!$I$2,data!F:F,"&lt;"&amp;B339)</f>
        <v>305</v>
      </c>
      <c r="G339">
        <f t="shared" si="30"/>
        <v>0.15076071922544951</v>
      </c>
      <c r="H339">
        <f t="shared" si="31"/>
        <v>0.42883895131086142</v>
      </c>
      <c r="I339">
        <f t="shared" si="35"/>
        <v>0</v>
      </c>
      <c r="J339">
        <f t="shared" si="32"/>
        <v>0.6775147928994083</v>
      </c>
      <c r="K339">
        <f t="shared" si="33"/>
        <v>0.52522935779816504</v>
      </c>
      <c r="L339">
        <f>A339*COUNTIF(data!D:D,data!$I$2)/data!$L$2</f>
        <v>143.58949880668257</v>
      </c>
      <c r="M339" s="1">
        <f>A339/data!$L$2</f>
        <v>0.26889419252187746</v>
      </c>
      <c r="N339">
        <f t="shared" si="34"/>
        <v>1.5948241473306297</v>
      </c>
    </row>
    <row r="340" spans="1:14" x14ac:dyDescent="0.2">
      <c r="A340">
        <v>339</v>
      </c>
      <c r="B340">
        <f>LARGE(data!F:F,A340)</f>
        <v>0.56907185859999998</v>
      </c>
      <c r="C340">
        <f>COUNTIFS(data!D:D,data!$I$2,data!F:F,"&gt;="&amp;B340)</f>
        <v>229</v>
      </c>
      <c r="D340">
        <f>COUNTIFS(data!D:D,data!$J$2,data!F:F,"&gt;="&amp;B340)</f>
        <v>110</v>
      </c>
      <c r="E340">
        <f>COUNTIFS(data!D:D,data!$J$2,data!F:F,"&lt;"&amp;B340)</f>
        <v>613</v>
      </c>
      <c r="F340">
        <f>COUNTIFS(data!D:D,data!$I$2,data!F:F,"&lt;"&amp;B340)</f>
        <v>305</v>
      </c>
      <c r="G340">
        <f t="shared" si="30"/>
        <v>0.15214384508990317</v>
      </c>
      <c r="H340">
        <f t="shared" si="31"/>
        <v>0.42883895131086142</v>
      </c>
      <c r="I340">
        <f t="shared" si="35"/>
        <v>5.9313824524323642E-4</v>
      </c>
      <c r="J340">
        <f t="shared" si="32"/>
        <v>0.67551622418879054</v>
      </c>
      <c r="K340">
        <f t="shared" si="33"/>
        <v>0.52462772050400919</v>
      </c>
      <c r="L340">
        <f>A340*COUNTIF(data!D:D,data!$I$2)/data!$L$2</f>
        <v>144.01431980906921</v>
      </c>
      <c r="M340" s="1">
        <f>A340/data!$L$2</f>
        <v>0.26968973747016706</v>
      </c>
      <c r="N340">
        <f t="shared" si="34"/>
        <v>1.5901196513208049</v>
      </c>
    </row>
    <row r="341" spans="1:14" x14ac:dyDescent="0.2">
      <c r="A341">
        <v>340</v>
      </c>
      <c r="B341">
        <f>LARGE(data!F:F,A341)</f>
        <v>0.56892595199999996</v>
      </c>
      <c r="C341">
        <f>COUNTIFS(data!D:D,data!$I$2,data!F:F,"&gt;="&amp;B341)</f>
        <v>232</v>
      </c>
      <c r="D341">
        <f>COUNTIFS(data!D:D,data!$J$2,data!F:F,"&gt;="&amp;B341)</f>
        <v>110</v>
      </c>
      <c r="E341">
        <f>COUNTIFS(data!D:D,data!$J$2,data!F:F,"&lt;"&amp;B341)</f>
        <v>613</v>
      </c>
      <c r="F341">
        <f>COUNTIFS(data!D:D,data!$I$2,data!F:F,"&lt;"&amp;B341)</f>
        <v>302</v>
      </c>
      <c r="G341">
        <f t="shared" si="30"/>
        <v>0.15214384508990317</v>
      </c>
      <c r="H341">
        <f t="shared" si="31"/>
        <v>0.43445692883895132</v>
      </c>
      <c r="I341">
        <f t="shared" si="35"/>
        <v>0</v>
      </c>
      <c r="J341">
        <f t="shared" si="32"/>
        <v>0.67836257309941517</v>
      </c>
      <c r="K341">
        <f t="shared" si="33"/>
        <v>0.52968036529680362</v>
      </c>
      <c r="L341">
        <f>A341*COUNTIF(data!D:D,data!$I$2)/data!$L$2</f>
        <v>144.43914081145584</v>
      </c>
      <c r="M341" s="1">
        <f>A341/data!$L$2</f>
        <v>0.27048528241845665</v>
      </c>
      <c r="N341">
        <f t="shared" si="34"/>
        <v>1.6062128222075347</v>
      </c>
    </row>
    <row r="342" spans="1:14" x14ac:dyDescent="0.2">
      <c r="A342">
        <v>341</v>
      </c>
      <c r="B342">
        <f>LARGE(data!F:F,A342)</f>
        <v>0.56892595199999996</v>
      </c>
      <c r="C342">
        <f>COUNTIFS(data!D:D,data!$I$2,data!F:F,"&gt;="&amp;B342)</f>
        <v>232</v>
      </c>
      <c r="D342">
        <f>COUNTIFS(data!D:D,data!$J$2,data!F:F,"&gt;="&amp;B342)</f>
        <v>110</v>
      </c>
      <c r="E342">
        <f>COUNTIFS(data!D:D,data!$J$2,data!F:F,"&lt;"&amp;B342)</f>
        <v>613</v>
      </c>
      <c r="F342">
        <f>COUNTIFS(data!D:D,data!$I$2,data!F:F,"&lt;"&amp;B342)</f>
        <v>302</v>
      </c>
      <c r="G342">
        <f t="shared" si="30"/>
        <v>0.15214384508990317</v>
      </c>
      <c r="H342">
        <f t="shared" si="31"/>
        <v>0.43445692883895132</v>
      </c>
      <c r="I342">
        <f t="shared" si="35"/>
        <v>0</v>
      </c>
      <c r="J342">
        <f t="shared" si="32"/>
        <v>0.67836257309941517</v>
      </c>
      <c r="K342">
        <f t="shared" si="33"/>
        <v>0.52968036529680362</v>
      </c>
      <c r="L342">
        <f>A342*COUNTIF(data!D:D,data!$I$2)/data!$L$2</f>
        <v>144.86396181384248</v>
      </c>
      <c r="M342" s="1">
        <f>A342/data!$L$2</f>
        <v>0.27128082736674625</v>
      </c>
      <c r="N342">
        <f t="shared" si="34"/>
        <v>1.6015025206761344</v>
      </c>
    </row>
    <row r="343" spans="1:14" x14ac:dyDescent="0.2">
      <c r="A343">
        <v>342</v>
      </c>
      <c r="B343">
        <f>LARGE(data!F:F,A343)</f>
        <v>0.56892595199999996</v>
      </c>
      <c r="C343">
        <f>COUNTIFS(data!D:D,data!$I$2,data!F:F,"&gt;="&amp;B343)</f>
        <v>232</v>
      </c>
      <c r="D343">
        <f>COUNTIFS(data!D:D,data!$J$2,data!F:F,"&gt;="&amp;B343)</f>
        <v>110</v>
      </c>
      <c r="E343">
        <f>COUNTIFS(data!D:D,data!$J$2,data!F:F,"&lt;"&amp;B343)</f>
        <v>613</v>
      </c>
      <c r="F343">
        <f>COUNTIFS(data!D:D,data!$I$2,data!F:F,"&lt;"&amp;B343)</f>
        <v>302</v>
      </c>
      <c r="G343">
        <f t="shared" si="30"/>
        <v>0.15214384508990317</v>
      </c>
      <c r="H343">
        <f t="shared" si="31"/>
        <v>0.43445692883895132</v>
      </c>
      <c r="I343">
        <f t="shared" si="35"/>
        <v>0</v>
      </c>
      <c r="J343">
        <f t="shared" si="32"/>
        <v>0.67836257309941517</v>
      </c>
      <c r="K343">
        <f t="shared" si="33"/>
        <v>0.52968036529680362</v>
      </c>
      <c r="L343">
        <f>A343*COUNTIF(data!D:D,data!$I$2)/data!$L$2</f>
        <v>145.28878281622912</v>
      </c>
      <c r="M343" s="1">
        <f>A343/data!$L$2</f>
        <v>0.27207637231503579</v>
      </c>
      <c r="N343">
        <f t="shared" si="34"/>
        <v>1.5968197647677245</v>
      </c>
    </row>
    <row r="344" spans="1:14" x14ac:dyDescent="0.2">
      <c r="A344">
        <v>343</v>
      </c>
      <c r="B344">
        <f>LARGE(data!F:F,A344)</f>
        <v>0.56800513100000005</v>
      </c>
      <c r="C344">
        <f>COUNTIFS(data!D:D,data!$I$2,data!F:F,"&gt;="&amp;B344)</f>
        <v>232</v>
      </c>
      <c r="D344">
        <f>COUNTIFS(data!D:D,data!$J$2,data!F:F,"&gt;="&amp;B344)</f>
        <v>111</v>
      </c>
      <c r="E344">
        <f>COUNTIFS(data!D:D,data!$J$2,data!F:F,"&lt;"&amp;B344)</f>
        <v>612</v>
      </c>
      <c r="F344">
        <f>COUNTIFS(data!D:D,data!$I$2,data!F:F,"&lt;"&amp;B344)</f>
        <v>302</v>
      </c>
      <c r="G344">
        <f t="shared" si="30"/>
        <v>0.15352697095435686</v>
      </c>
      <c r="H344">
        <f t="shared" si="31"/>
        <v>0.43445692883895132</v>
      </c>
      <c r="I344">
        <f t="shared" si="35"/>
        <v>6.0090861526826899E-4</v>
      </c>
      <c r="J344">
        <f t="shared" si="32"/>
        <v>0.67638483965014573</v>
      </c>
      <c r="K344">
        <f t="shared" si="33"/>
        <v>0.52907639680729768</v>
      </c>
      <c r="L344">
        <f>A344*COUNTIF(data!D:D,data!$I$2)/data!$L$2</f>
        <v>145.71360381861575</v>
      </c>
      <c r="M344" s="1">
        <f>A344/data!$L$2</f>
        <v>0.27287191726332538</v>
      </c>
      <c r="N344">
        <f t="shared" si="34"/>
        <v>1.5921643135584893</v>
      </c>
    </row>
    <row r="345" spans="1:14" x14ac:dyDescent="0.2">
      <c r="A345">
        <v>344</v>
      </c>
      <c r="B345">
        <f>LARGE(data!F:F,A345)</f>
        <v>0.56789626589999997</v>
      </c>
      <c r="C345">
        <f>COUNTIFS(data!D:D,data!$I$2,data!F:F,"&gt;="&amp;B345)</f>
        <v>232</v>
      </c>
      <c r="D345">
        <f>COUNTIFS(data!D:D,data!$J$2,data!F:F,"&gt;="&amp;B345)</f>
        <v>112</v>
      </c>
      <c r="E345">
        <f>COUNTIFS(data!D:D,data!$J$2,data!F:F,"&lt;"&amp;B345)</f>
        <v>611</v>
      </c>
      <c r="F345">
        <f>COUNTIFS(data!D:D,data!$I$2,data!F:F,"&lt;"&amp;B345)</f>
        <v>302</v>
      </c>
      <c r="G345">
        <f t="shared" si="30"/>
        <v>0.15491009681881052</v>
      </c>
      <c r="H345">
        <f t="shared" si="31"/>
        <v>0.43445692883895132</v>
      </c>
      <c r="I345">
        <f t="shared" si="35"/>
        <v>6.0090861526825696E-4</v>
      </c>
      <c r="J345">
        <f t="shared" si="32"/>
        <v>0.67441860465116277</v>
      </c>
      <c r="K345">
        <f t="shared" si="33"/>
        <v>0.52847380410022782</v>
      </c>
      <c r="L345">
        <f>A345*COUNTIF(data!D:D,data!$I$2)/data!$L$2</f>
        <v>146.13842482100239</v>
      </c>
      <c r="M345" s="1">
        <f>A345/data!$L$2</f>
        <v>0.27366746221161498</v>
      </c>
      <c r="N345">
        <f t="shared" si="34"/>
        <v>1.5875359289260518</v>
      </c>
    </row>
    <row r="346" spans="1:14" x14ac:dyDescent="0.2">
      <c r="A346">
        <v>345</v>
      </c>
      <c r="B346">
        <f>LARGE(data!F:F,A346)</f>
        <v>0.56736765509999998</v>
      </c>
      <c r="C346">
        <f>COUNTIFS(data!D:D,data!$I$2,data!F:F,"&gt;="&amp;B346)</f>
        <v>233</v>
      </c>
      <c r="D346">
        <f>COUNTIFS(data!D:D,data!$J$2,data!F:F,"&gt;="&amp;B346)</f>
        <v>112</v>
      </c>
      <c r="E346">
        <f>COUNTIFS(data!D:D,data!$J$2,data!F:F,"&lt;"&amp;B346)</f>
        <v>611</v>
      </c>
      <c r="F346">
        <f>COUNTIFS(data!D:D,data!$I$2,data!F:F,"&lt;"&amp;B346)</f>
        <v>301</v>
      </c>
      <c r="G346">
        <f t="shared" si="30"/>
        <v>0.15491009681881052</v>
      </c>
      <c r="H346">
        <f t="shared" si="31"/>
        <v>0.43632958801498128</v>
      </c>
      <c r="I346">
        <f t="shared" si="35"/>
        <v>0</v>
      </c>
      <c r="J346">
        <f t="shared" si="32"/>
        <v>0.67536231884057973</v>
      </c>
      <c r="K346">
        <f t="shared" si="33"/>
        <v>0.53014789533560858</v>
      </c>
      <c r="L346">
        <f>A346*COUNTIF(data!D:D,data!$I$2)/data!$L$2</f>
        <v>146.56324582338902</v>
      </c>
      <c r="M346" s="1">
        <f>A346/data!$L$2</f>
        <v>0.27446300715990452</v>
      </c>
      <c r="N346">
        <f t="shared" si="34"/>
        <v>1.5897573685067579</v>
      </c>
    </row>
    <row r="347" spans="1:14" x14ac:dyDescent="0.2">
      <c r="A347">
        <v>346</v>
      </c>
      <c r="B347">
        <f>LARGE(data!F:F,A347)</f>
        <v>0.56457306090000003</v>
      </c>
      <c r="C347">
        <f>COUNTIFS(data!D:D,data!$I$2,data!F:F,"&gt;="&amp;B347)</f>
        <v>233</v>
      </c>
      <c r="D347">
        <f>COUNTIFS(data!D:D,data!$J$2,data!F:F,"&gt;="&amp;B347)</f>
        <v>113</v>
      </c>
      <c r="E347">
        <f>COUNTIFS(data!D:D,data!$J$2,data!F:F,"&lt;"&amp;B347)</f>
        <v>610</v>
      </c>
      <c r="F347">
        <f>COUNTIFS(data!D:D,data!$I$2,data!F:F,"&lt;"&amp;B347)</f>
        <v>301</v>
      </c>
      <c r="G347">
        <f t="shared" si="30"/>
        <v>0.15629322268326418</v>
      </c>
      <c r="H347">
        <f t="shared" si="31"/>
        <v>0.43632958801498128</v>
      </c>
      <c r="I347">
        <f t="shared" si="35"/>
        <v>6.0349873860993043E-4</v>
      </c>
      <c r="J347">
        <f t="shared" si="32"/>
        <v>0.67341040462427748</v>
      </c>
      <c r="K347">
        <f t="shared" si="33"/>
        <v>0.52954545454545454</v>
      </c>
      <c r="L347">
        <f>A347*COUNTIF(data!D:D,data!$I$2)/data!$L$2</f>
        <v>146.98806682577566</v>
      </c>
      <c r="M347" s="1">
        <f>A347/data!$L$2</f>
        <v>0.27525855210819411</v>
      </c>
      <c r="N347">
        <f t="shared" si="34"/>
        <v>1.5851626940313048</v>
      </c>
    </row>
    <row r="348" spans="1:14" x14ac:dyDescent="0.2">
      <c r="A348">
        <v>347</v>
      </c>
      <c r="B348">
        <f>LARGE(data!F:F,A348)</f>
        <v>0.56391642799999997</v>
      </c>
      <c r="C348">
        <f>COUNTIFS(data!D:D,data!$I$2,data!F:F,"&gt;="&amp;B348)</f>
        <v>233</v>
      </c>
      <c r="D348">
        <f>COUNTIFS(data!D:D,data!$J$2,data!F:F,"&gt;="&amp;B348)</f>
        <v>114</v>
      </c>
      <c r="E348">
        <f>COUNTIFS(data!D:D,data!$J$2,data!F:F,"&lt;"&amp;B348)</f>
        <v>609</v>
      </c>
      <c r="F348">
        <f>COUNTIFS(data!D:D,data!$I$2,data!F:F,"&lt;"&amp;B348)</f>
        <v>301</v>
      </c>
      <c r="G348">
        <f t="shared" si="30"/>
        <v>0.15767634854771784</v>
      </c>
      <c r="H348">
        <f t="shared" si="31"/>
        <v>0.43632958801498128</v>
      </c>
      <c r="I348">
        <f t="shared" si="35"/>
        <v>6.0349873860993043E-4</v>
      </c>
      <c r="J348">
        <f t="shared" si="32"/>
        <v>0.67146974063400577</v>
      </c>
      <c r="K348">
        <f t="shared" si="33"/>
        <v>0.52894438138478994</v>
      </c>
      <c r="L348">
        <f>A348*COUNTIF(data!D:D,data!$I$2)/data!$L$2</f>
        <v>147.4128878281623</v>
      </c>
      <c r="M348" s="1">
        <f>A348/data!$L$2</f>
        <v>0.2760540970564837</v>
      </c>
      <c r="N348">
        <f t="shared" si="34"/>
        <v>1.5805945018294854</v>
      </c>
    </row>
    <row r="349" spans="1:14" x14ac:dyDescent="0.2">
      <c r="A349">
        <v>348</v>
      </c>
      <c r="B349">
        <f>LARGE(data!F:F,A349)</f>
        <v>0.56168335049999996</v>
      </c>
      <c r="C349">
        <f>COUNTIFS(data!D:D,data!$I$2,data!F:F,"&gt;="&amp;B349)</f>
        <v>234</v>
      </c>
      <c r="D349">
        <f>COUNTIFS(data!D:D,data!$J$2,data!F:F,"&gt;="&amp;B349)</f>
        <v>114</v>
      </c>
      <c r="E349">
        <f>COUNTIFS(data!D:D,data!$J$2,data!F:F,"&lt;"&amp;B349)</f>
        <v>609</v>
      </c>
      <c r="F349">
        <f>COUNTIFS(data!D:D,data!$I$2,data!F:F,"&lt;"&amp;B349)</f>
        <v>300</v>
      </c>
      <c r="G349">
        <f t="shared" si="30"/>
        <v>0.15767634854771784</v>
      </c>
      <c r="H349">
        <f t="shared" si="31"/>
        <v>0.43820224719101125</v>
      </c>
      <c r="I349">
        <f t="shared" si="35"/>
        <v>0</v>
      </c>
      <c r="J349">
        <f t="shared" si="32"/>
        <v>0.67241379310344829</v>
      </c>
      <c r="K349">
        <f t="shared" si="33"/>
        <v>0.53061224489795911</v>
      </c>
      <c r="L349">
        <f>A349*COUNTIF(data!D:D,data!$I$2)/data!$L$2</f>
        <v>147.83770883054893</v>
      </c>
      <c r="M349" s="1">
        <f>A349/data!$L$2</f>
        <v>0.27684964200477324</v>
      </c>
      <c r="N349">
        <f t="shared" si="34"/>
        <v>1.5828167376985665</v>
      </c>
    </row>
    <row r="350" spans="1:14" x14ac:dyDescent="0.2">
      <c r="A350">
        <v>349</v>
      </c>
      <c r="B350">
        <f>LARGE(data!F:F,A350)</f>
        <v>0.56037957319999998</v>
      </c>
      <c r="C350">
        <f>COUNTIFS(data!D:D,data!$I$2,data!F:F,"&gt;="&amp;B350)</f>
        <v>235</v>
      </c>
      <c r="D350">
        <f>COUNTIFS(data!D:D,data!$J$2,data!F:F,"&gt;="&amp;B350)</f>
        <v>114</v>
      </c>
      <c r="E350">
        <f>COUNTIFS(data!D:D,data!$J$2,data!F:F,"&lt;"&amp;B350)</f>
        <v>609</v>
      </c>
      <c r="F350">
        <f>COUNTIFS(data!D:D,data!$I$2,data!F:F,"&lt;"&amp;B350)</f>
        <v>299</v>
      </c>
      <c r="G350">
        <f t="shared" si="30"/>
        <v>0.15767634854771784</v>
      </c>
      <c r="H350">
        <f t="shared" si="31"/>
        <v>0.44007490636704122</v>
      </c>
      <c r="I350">
        <f t="shared" si="35"/>
        <v>0</v>
      </c>
      <c r="J350">
        <f t="shared" si="32"/>
        <v>0.67335243553008595</v>
      </c>
      <c r="K350">
        <f t="shared" si="33"/>
        <v>0.53227633069082669</v>
      </c>
      <c r="L350">
        <f>A350*COUNTIF(data!D:D,data!$I$2)/data!$L$2</f>
        <v>148.26252983293557</v>
      </c>
      <c r="M350" s="1">
        <f>A350/data!$L$2</f>
        <v>0.27764518695306284</v>
      </c>
      <c r="N350">
        <f t="shared" si="34"/>
        <v>1.5850262386916067</v>
      </c>
    </row>
    <row r="351" spans="1:14" x14ac:dyDescent="0.2">
      <c r="A351">
        <v>350</v>
      </c>
      <c r="B351">
        <f>LARGE(data!F:F,A351)</f>
        <v>0.55984688979999997</v>
      </c>
      <c r="C351">
        <f>COUNTIFS(data!D:D,data!$I$2,data!F:F,"&gt;="&amp;B351)</f>
        <v>235</v>
      </c>
      <c r="D351">
        <f>COUNTIFS(data!D:D,data!$J$2,data!F:F,"&gt;="&amp;B351)</f>
        <v>115</v>
      </c>
      <c r="E351">
        <f>COUNTIFS(data!D:D,data!$J$2,data!F:F,"&lt;"&amp;B351)</f>
        <v>608</v>
      </c>
      <c r="F351">
        <f>COUNTIFS(data!D:D,data!$I$2,data!F:F,"&lt;"&amp;B351)</f>
        <v>299</v>
      </c>
      <c r="G351">
        <f t="shared" si="30"/>
        <v>0.1590594744121715</v>
      </c>
      <c r="H351">
        <f t="shared" si="31"/>
        <v>0.44007490636704122</v>
      </c>
      <c r="I351">
        <f t="shared" si="35"/>
        <v>6.086789852932775E-4</v>
      </c>
      <c r="J351">
        <f t="shared" si="32"/>
        <v>0.67142857142857137</v>
      </c>
      <c r="K351">
        <f t="shared" si="33"/>
        <v>0.53167420814479638</v>
      </c>
      <c r="L351">
        <f>A351*COUNTIF(data!D:D,data!$I$2)/data!$L$2</f>
        <v>148.68735083532221</v>
      </c>
      <c r="M351" s="1">
        <f>A351/data!$L$2</f>
        <v>0.27844073190135243</v>
      </c>
      <c r="N351">
        <f t="shared" si="34"/>
        <v>1.580497592295345</v>
      </c>
    </row>
    <row r="352" spans="1:14" x14ac:dyDescent="0.2">
      <c r="A352">
        <v>351</v>
      </c>
      <c r="B352">
        <f>LARGE(data!F:F,A352)</f>
        <v>0.55891988270000004</v>
      </c>
      <c r="C352">
        <f>COUNTIFS(data!D:D,data!$I$2,data!F:F,"&gt;="&amp;B352)</f>
        <v>237</v>
      </c>
      <c r="D352">
        <f>COUNTIFS(data!D:D,data!$J$2,data!F:F,"&gt;="&amp;B352)</f>
        <v>115</v>
      </c>
      <c r="E352">
        <f>COUNTIFS(data!D:D,data!$J$2,data!F:F,"&lt;"&amp;B352)</f>
        <v>608</v>
      </c>
      <c r="F352">
        <f>COUNTIFS(data!D:D,data!$I$2,data!F:F,"&lt;"&amp;B352)</f>
        <v>297</v>
      </c>
      <c r="G352">
        <f t="shared" si="30"/>
        <v>0.1590594744121715</v>
      </c>
      <c r="H352">
        <f t="shared" si="31"/>
        <v>0.4438202247191011</v>
      </c>
      <c r="I352">
        <f t="shared" si="35"/>
        <v>0</v>
      </c>
      <c r="J352">
        <f t="shared" si="32"/>
        <v>0.67329545454545459</v>
      </c>
      <c r="K352">
        <f t="shared" si="33"/>
        <v>0.53498871331828435</v>
      </c>
      <c r="L352">
        <f>A352*COUNTIF(data!D:D,data!$I$2)/data!$L$2</f>
        <v>149.11217183770884</v>
      </c>
      <c r="M352" s="1">
        <f>A352/data!$L$2</f>
        <v>0.27923627684964203</v>
      </c>
      <c r="N352">
        <f t="shared" si="34"/>
        <v>1.5894074714299433</v>
      </c>
    </row>
    <row r="353" spans="1:14" x14ac:dyDescent="0.2">
      <c r="A353">
        <v>352</v>
      </c>
      <c r="B353">
        <f>LARGE(data!F:F,A353)</f>
        <v>0.55891988270000004</v>
      </c>
      <c r="C353">
        <f>COUNTIFS(data!D:D,data!$I$2,data!F:F,"&gt;="&amp;B353)</f>
        <v>237</v>
      </c>
      <c r="D353">
        <f>COUNTIFS(data!D:D,data!$J$2,data!F:F,"&gt;="&amp;B353)</f>
        <v>115</v>
      </c>
      <c r="E353">
        <f>COUNTIFS(data!D:D,data!$J$2,data!F:F,"&lt;"&amp;B353)</f>
        <v>608</v>
      </c>
      <c r="F353">
        <f>COUNTIFS(data!D:D,data!$I$2,data!F:F,"&lt;"&amp;B353)</f>
        <v>297</v>
      </c>
      <c r="G353">
        <f t="shared" si="30"/>
        <v>0.1590594744121715</v>
      </c>
      <c r="H353">
        <f t="shared" si="31"/>
        <v>0.4438202247191011</v>
      </c>
      <c r="I353">
        <f t="shared" si="35"/>
        <v>0</v>
      </c>
      <c r="J353">
        <f t="shared" si="32"/>
        <v>0.67329545454545459</v>
      </c>
      <c r="K353">
        <f t="shared" si="33"/>
        <v>0.53498871331828435</v>
      </c>
      <c r="L353">
        <f>A353*COUNTIF(data!D:D,data!$I$2)/data!$L$2</f>
        <v>149.53699284009548</v>
      </c>
      <c r="M353" s="1">
        <f>A353/data!$L$2</f>
        <v>0.28003182179793157</v>
      </c>
      <c r="N353">
        <f t="shared" si="34"/>
        <v>1.5848921092951991</v>
      </c>
    </row>
    <row r="354" spans="1:14" x14ac:dyDescent="0.2">
      <c r="A354">
        <v>353</v>
      </c>
      <c r="B354">
        <f>LARGE(data!F:F,A354)</f>
        <v>0.55889011460000004</v>
      </c>
      <c r="C354">
        <f>COUNTIFS(data!D:D,data!$I$2,data!F:F,"&gt;="&amp;B354)</f>
        <v>239</v>
      </c>
      <c r="D354">
        <f>COUNTIFS(data!D:D,data!$J$2,data!F:F,"&gt;="&amp;B354)</f>
        <v>115</v>
      </c>
      <c r="E354">
        <f>COUNTIFS(data!D:D,data!$J$2,data!F:F,"&lt;"&amp;B354)</f>
        <v>608</v>
      </c>
      <c r="F354">
        <f>COUNTIFS(data!D:D,data!$I$2,data!F:F,"&lt;"&amp;B354)</f>
        <v>295</v>
      </c>
      <c r="G354">
        <f t="shared" si="30"/>
        <v>0.1590594744121715</v>
      </c>
      <c r="H354">
        <f t="shared" si="31"/>
        <v>0.44756554307116103</v>
      </c>
      <c r="I354">
        <f t="shared" si="35"/>
        <v>0</v>
      </c>
      <c r="J354">
        <f t="shared" si="32"/>
        <v>0.67514124293785316</v>
      </c>
      <c r="K354">
        <f t="shared" si="33"/>
        <v>0.53828828828828823</v>
      </c>
      <c r="L354">
        <f>A354*COUNTIF(data!D:D,data!$I$2)/data!$L$2</f>
        <v>149.96181384248209</v>
      </c>
      <c r="M354" s="1">
        <f>A354/data!$L$2</f>
        <v>0.28082736674622116</v>
      </c>
      <c r="N354">
        <f t="shared" si="34"/>
        <v>1.5937390584715283</v>
      </c>
    </row>
    <row r="355" spans="1:14" x14ac:dyDescent="0.2">
      <c r="A355">
        <v>354</v>
      </c>
      <c r="B355">
        <f>LARGE(data!F:F,A355)</f>
        <v>0.55889011460000004</v>
      </c>
      <c r="C355">
        <f>COUNTIFS(data!D:D,data!$I$2,data!F:F,"&gt;="&amp;B355)</f>
        <v>239</v>
      </c>
      <c r="D355">
        <f>COUNTIFS(data!D:D,data!$J$2,data!F:F,"&gt;="&amp;B355)</f>
        <v>115</v>
      </c>
      <c r="E355">
        <f>COUNTIFS(data!D:D,data!$J$2,data!F:F,"&lt;"&amp;B355)</f>
        <v>608</v>
      </c>
      <c r="F355">
        <f>COUNTIFS(data!D:D,data!$I$2,data!F:F,"&lt;"&amp;B355)</f>
        <v>295</v>
      </c>
      <c r="G355">
        <f t="shared" si="30"/>
        <v>0.1590594744121715</v>
      </c>
      <c r="H355">
        <f t="shared" si="31"/>
        <v>0.44756554307116103</v>
      </c>
      <c r="I355">
        <f t="shared" si="35"/>
        <v>0</v>
      </c>
      <c r="J355">
        <f t="shared" si="32"/>
        <v>0.67514124293785316</v>
      </c>
      <c r="K355">
        <f t="shared" si="33"/>
        <v>0.53828828828828823</v>
      </c>
      <c r="L355">
        <f>A355*COUNTIF(data!D:D,data!$I$2)/data!$L$2</f>
        <v>150.38663484486872</v>
      </c>
      <c r="M355" s="1">
        <f>A355/data!$L$2</f>
        <v>0.28162291169451076</v>
      </c>
      <c r="N355">
        <f t="shared" si="34"/>
        <v>1.589236970735733</v>
      </c>
    </row>
    <row r="356" spans="1:14" x14ac:dyDescent="0.2">
      <c r="A356">
        <v>355</v>
      </c>
      <c r="B356">
        <f>LARGE(data!F:F,A356)</f>
        <v>0.55888215620000004</v>
      </c>
      <c r="C356">
        <f>COUNTIFS(data!D:D,data!$I$2,data!F:F,"&gt;="&amp;B356)</f>
        <v>240</v>
      </c>
      <c r="D356">
        <f>COUNTIFS(data!D:D,data!$J$2,data!F:F,"&gt;="&amp;B356)</f>
        <v>115</v>
      </c>
      <c r="E356">
        <f>COUNTIFS(data!D:D,data!$J$2,data!F:F,"&lt;"&amp;B356)</f>
        <v>608</v>
      </c>
      <c r="F356">
        <f>COUNTIFS(data!D:D,data!$I$2,data!F:F,"&lt;"&amp;B356)</f>
        <v>294</v>
      </c>
      <c r="G356">
        <f t="shared" si="30"/>
        <v>0.1590594744121715</v>
      </c>
      <c r="H356">
        <f t="shared" si="31"/>
        <v>0.449438202247191</v>
      </c>
      <c r="I356">
        <f t="shared" si="35"/>
        <v>0</v>
      </c>
      <c r="J356">
        <f t="shared" si="32"/>
        <v>0.676056338028169</v>
      </c>
      <c r="K356">
        <f t="shared" si="33"/>
        <v>0.53993250843644547</v>
      </c>
      <c r="L356">
        <f>A356*COUNTIF(data!D:D,data!$I$2)/data!$L$2</f>
        <v>150.81145584725536</v>
      </c>
      <c r="M356" s="1">
        <f>A356/data!$L$2</f>
        <v>0.2824184566428003</v>
      </c>
      <c r="N356">
        <f t="shared" si="34"/>
        <v>1.5913910428865328</v>
      </c>
    </row>
    <row r="357" spans="1:14" x14ac:dyDescent="0.2">
      <c r="A357">
        <v>356</v>
      </c>
      <c r="B357">
        <f>LARGE(data!F:F,A357)</f>
        <v>0.55821498820000004</v>
      </c>
      <c r="C357">
        <f>COUNTIFS(data!D:D,data!$I$2,data!F:F,"&gt;="&amp;B357)</f>
        <v>240</v>
      </c>
      <c r="D357">
        <f>COUNTIFS(data!D:D,data!$J$2,data!F:F,"&gt;="&amp;B357)</f>
        <v>116</v>
      </c>
      <c r="E357">
        <f>COUNTIFS(data!D:D,data!$J$2,data!F:F,"&lt;"&amp;B357)</f>
        <v>607</v>
      </c>
      <c r="F357">
        <f>COUNTIFS(data!D:D,data!$I$2,data!F:F,"&lt;"&amp;B357)</f>
        <v>294</v>
      </c>
      <c r="G357">
        <f t="shared" si="30"/>
        <v>0.16044260027662519</v>
      </c>
      <c r="H357">
        <f t="shared" si="31"/>
        <v>0.449438202247191</v>
      </c>
      <c r="I357">
        <f t="shared" si="35"/>
        <v>6.2162960200165757E-4</v>
      </c>
      <c r="J357">
        <f t="shared" si="32"/>
        <v>0.6741573033707865</v>
      </c>
      <c r="K357">
        <f t="shared" si="33"/>
        <v>0.53932584269662909</v>
      </c>
      <c r="L357">
        <f>A357*COUNTIF(data!D:D,data!$I$2)/data!$L$2</f>
        <v>151.236276849642</v>
      </c>
      <c r="M357" s="1">
        <f>A357/data!$L$2</f>
        <v>0.28321400159108989</v>
      </c>
      <c r="N357">
        <f t="shared" si="34"/>
        <v>1.5869208433278628</v>
      </c>
    </row>
    <row r="358" spans="1:14" x14ac:dyDescent="0.2">
      <c r="A358">
        <v>357</v>
      </c>
      <c r="B358">
        <f>LARGE(data!F:F,A358)</f>
        <v>0.55782520030000005</v>
      </c>
      <c r="C358">
        <f>COUNTIFS(data!D:D,data!$I$2,data!F:F,"&gt;="&amp;B358)</f>
        <v>242</v>
      </c>
      <c r="D358">
        <f>COUNTIFS(data!D:D,data!$J$2,data!F:F,"&gt;="&amp;B358)</f>
        <v>116</v>
      </c>
      <c r="E358">
        <f>COUNTIFS(data!D:D,data!$J$2,data!F:F,"&lt;"&amp;B358)</f>
        <v>607</v>
      </c>
      <c r="F358">
        <f>COUNTIFS(data!D:D,data!$I$2,data!F:F,"&lt;"&amp;B358)</f>
        <v>292</v>
      </c>
      <c r="G358">
        <f t="shared" si="30"/>
        <v>0.16044260027662519</v>
      </c>
      <c r="H358">
        <f t="shared" si="31"/>
        <v>0.45318352059925093</v>
      </c>
      <c r="I358">
        <f t="shared" si="35"/>
        <v>0</v>
      </c>
      <c r="J358">
        <f t="shared" si="32"/>
        <v>0.67597765363128492</v>
      </c>
      <c r="K358">
        <f t="shared" si="33"/>
        <v>0.54260089686098656</v>
      </c>
      <c r="L358">
        <f>A358*COUNTIF(data!D:D,data!$I$2)/data!$L$2</f>
        <v>151.66109785202863</v>
      </c>
      <c r="M358" s="1">
        <f>A358/data!$L$2</f>
        <v>0.28400954653937949</v>
      </c>
      <c r="N358">
        <f t="shared" si="34"/>
        <v>1.5956629842948415</v>
      </c>
    </row>
    <row r="359" spans="1:14" x14ac:dyDescent="0.2">
      <c r="A359">
        <v>358</v>
      </c>
      <c r="B359">
        <f>LARGE(data!F:F,A359)</f>
        <v>0.55782520030000005</v>
      </c>
      <c r="C359">
        <f>COUNTIFS(data!D:D,data!$I$2,data!F:F,"&gt;="&amp;B359)</f>
        <v>242</v>
      </c>
      <c r="D359">
        <f>COUNTIFS(data!D:D,data!$J$2,data!F:F,"&gt;="&amp;B359)</f>
        <v>116</v>
      </c>
      <c r="E359">
        <f>COUNTIFS(data!D:D,data!$J$2,data!F:F,"&lt;"&amp;B359)</f>
        <v>607</v>
      </c>
      <c r="F359">
        <f>COUNTIFS(data!D:D,data!$I$2,data!F:F,"&lt;"&amp;B359)</f>
        <v>292</v>
      </c>
      <c r="G359">
        <f t="shared" si="30"/>
        <v>0.16044260027662519</v>
      </c>
      <c r="H359">
        <f t="shared" si="31"/>
        <v>0.45318352059925093</v>
      </c>
      <c r="I359">
        <f t="shared" si="35"/>
        <v>0</v>
      </c>
      <c r="J359">
        <f t="shared" si="32"/>
        <v>0.67597765363128492</v>
      </c>
      <c r="K359">
        <f t="shared" si="33"/>
        <v>0.54260089686098656</v>
      </c>
      <c r="L359">
        <f>A359*COUNTIF(data!D:D,data!$I$2)/data!$L$2</f>
        <v>152.08591885441527</v>
      </c>
      <c r="M359" s="1">
        <f>A359/data!$L$2</f>
        <v>0.28480509148766903</v>
      </c>
      <c r="N359">
        <f t="shared" si="34"/>
        <v>1.5912058251208336</v>
      </c>
    </row>
    <row r="360" spans="1:14" x14ac:dyDescent="0.2">
      <c r="A360">
        <v>359</v>
      </c>
      <c r="B360">
        <f>LARGE(data!F:F,A360)</f>
        <v>0.55745814540000005</v>
      </c>
      <c r="C360">
        <f>COUNTIFS(data!D:D,data!$I$2,data!F:F,"&gt;="&amp;B360)</f>
        <v>242</v>
      </c>
      <c r="D360">
        <f>COUNTIFS(data!D:D,data!$J$2,data!F:F,"&gt;="&amp;B360)</f>
        <v>117</v>
      </c>
      <c r="E360">
        <f>COUNTIFS(data!D:D,data!$J$2,data!F:F,"&lt;"&amp;B360)</f>
        <v>606</v>
      </c>
      <c r="F360">
        <f>COUNTIFS(data!D:D,data!$I$2,data!F:F,"&lt;"&amp;B360)</f>
        <v>292</v>
      </c>
      <c r="G360">
        <f t="shared" si="30"/>
        <v>0.16182572614107885</v>
      </c>
      <c r="H360">
        <f t="shared" si="31"/>
        <v>0.45318352059925093</v>
      </c>
      <c r="I360">
        <f t="shared" si="35"/>
        <v>6.2680984868499216E-4</v>
      </c>
      <c r="J360">
        <f t="shared" si="32"/>
        <v>0.6740947075208914</v>
      </c>
      <c r="K360">
        <f t="shared" si="33"/>
        <v>0.54199328107502798</v>
      </c>
      <c r="L360">
        <f>A360*COUNTIF(data!D:D,data!$I$2)/data!$L$2</f>
        <v>152.51073985680191</v>
      </c>
      <c r="M360" s="1">
        <f>A360/data!$L$2</f>
        <v>0.28560063643595862</v>
      </c>
      <c r="N360">
        <f t="shared" si="34"/>
        <v>1.5867734969171545</v>
      </c>
    </row>
    <row r="361" spans="1:14" x14ac:dyDescent="0.2">
      <c r="A361">
        <v>360</v>
      </c>
      <c r="B361">
        <f>LARGE(data!F:F,A361)</f>
        <v>0.55738796619999997</v>
      </c>
      <c r="C361">
        <f>COUNTIFS(data!D:D,data!$I$2,data!F:F,"&gt;="&amp;B361)</f>
        <v>242</v>
      </c>
      <c r="D361">
        <f>COUNTIFS(data!D:D,data!$J$2,data!F:F,"&gt;="&amp;B361)</f>
        <v>118</v>
      </c>
      <c r="E361">
        <f>COUNTIFS(data!D:D,data!$J$2,data!F:F,"&lt;"&amp;B361)</f>
        <v>605</v>
      </c>
      <c r="F361">
        <f>COUNTIFS(data!D:D,data!$I$2,data!F:F,"&lt;"&amp;B361)</f>
        <v>292</v>
      </c>
      <c r="G361">
        <f t="shared" si="30"/>
        <v>0.16320885200553251</v>
      </c>
      <c r="H361">
        <f t="shared" si="31"/>
        <v>0.45318352059925093</v>
      </c>
      <c r="I361">
        <f t="shared" si="35"/>
        <v>6.2680984868499216E-4</v>
      </c>
      <c r="J361">
        <f t="shared" si="32"/>
        <v>0.67222222222222228</v>
      </c>
      <c r="K361">
        <f t="shared" si="33"/>
        <v>0.54138702460850108</v>
      </c>
      <c r="L361">
        <f>A361*COUNTIF(data!D:D,data!$I$2)/data!$L$2</f>
        <v>152.93556085918854</v>
      </c>
      <c r="M361" s="1">
        <f>A361/data!$L$2</f>
        <v>0.28639618138424822</v>
      </c>
      <c r="N361">
        <f t="shared" si="34"/>
        <v>1.5823657927590513</v>
      </c>
    </row>
    <row r="362" spans="1:14" x14ac:dyDescent="0.2">
      <c r="A362">
        <v>361</v>
      </c>
      <c r="B362">
        <f>LARGE(data!F:F,A362)</f>
        <v>0.55537332250000004</v>
      </c>
      <c r="C362">
        <f>COUNTIFS(data!D:D,data!$I$2,data!F:F,"&gt;="&amp;B362)</f>
        <v>244</v>
      </c>
      <c r="D362">
        <f>COUNTIFS(data!D:D,data!$J$2,data!F:F,"&gt;="&amp;B362)</f>
        <v>118</v>
      </c>
      <c r="E362">
        <f>COUNTIFS(data!D:D,data!$J$2,data!F:F,"&lt;"&amp;B362)</f>
        <v>605</v>
      </c>
      <c r="F362">
        <f>COUNTIFS(data!D:D,data!$I$2,data!F:F,"&lt;"&amp;B362)</f>
        <v>290</v>
      </c>
      <c r="G362">
        <f t="shared" si="30"/>
        <v>0.16320885200553251</v>
      </c>
      <c r="H362">
        <f t="shared" si="31"/>
        <v>0.45692883895131087</v>
      </c>
      <c r="I362">
        <f t="shared" si="35"/>
        <v>0</v>
      </c>
      <c r="J362">
        <f t="shared" si="32"/>
        <v>0.67403314917127077</v>
      </c>
      <c r="K362">
        <f t="shared" si="33"/>
        <v>0.5446428571428571</v>
      </c>
      <c r="L362">
        <f>A362*COUNTIF(data!D:D,data!$I$2)/data!$L$2</f>
        <v>153.36038186157518</v>
      </c>
      <c r="M362" s="1">
        <f>A362/data!$L$2</f>
        <v>0.28719172633253781</v>
      </c>
      <c r="N362">
        <f t="shared" si="34"/>
        <v>1.5910236857667528</v>
      </c>
    </row>
    <row r="363" spans="1:14" x14ac:dyDescent="0.2">
      <c r="A363">
        <v>362</v>
      </c>
      <c r="B363">
        <f>LARGE(data!F:F,A363)</f>
        <v>0.55537332250000004</v>
      </c>
      <c r="C363">
        <f>COUNTIFS(data!D:D,data!$I$2,data!F:F,"&gt;="&amp;B363)</f>
        <v>244</v>
      </c>
      <c r="D363">
        <f>COUNTIFS(data!D:D,data!$J$2,data!F:F,"&gt;="&amp;B363)</f>
        <v>118</v>
      </c>
      <c r="E363">
        <f>COUNTIFS(data!D:D,data!$J$2,data!F:F,"&lt;"&amp;B363)</f>
        <v>605</v>
      </c>
      <c r="F363">
        <f>COUNTIFS(data!D:D,data!$I$2,data!F:F,"&lt;"&amp;B363)</f>
        <v>290</v>
      </c>
      <c r="G363">
        <f t="shared" si="30"/>
        <v>0.16320885200553251</v>
      </c>
      <c r="H363">
        <f t="shared" si="31"/>
        <v>0.45692883895131087</v>
      </c>
      <c r="I363">
        <f t="shared" si="35"/>
        <v>0</v>
      </c>
      <c r="J363">
        <f t="shared" si="32"/>
        <v>0.67403314917127077</v>
      </c>
      <c r="K363">
        <f t="shared" si="33"/>
        <v>0.5446428571428571</v>
      </c>
      <c r="L363">
        <f>A363*COUNTIF(data!D:D,data!$I$2)/data!$L$2</f>
        <v>153.78520286396181</v>
      </c>
      <c r="M363" s="1">
        <f>A363/data!$L$2</f>
        <v>0.28798727128082735</v>
      </c>
      <c r="N363">
        <f t="shared" si="34"/>
        <v>1.5866285927121484</v>
      </c>
    </row>
    <row r="364" spans="1:14" x14ac:dyDescent="0.2">
      <c r="A364">
        <v>363</v>
      </c>
      <c r="B364">
        <f>LARGE(data!F:F,A364)</f>
        <v>0.555248034</v>
      </c>
      <c r="C364">
        <f>COUNTIFS(data!D:D,data!$I$2,data!F:F,"&gt;="&amp;B364)</f>
        <v>245</v>
      </c>
      <c r="D364">
        <f>COUNTIFS(data!D:D,data!$J$2,data!F:F,"&gt;="&amp;B364)</f>
        <v>119</v>
      </c>
      <c r="E364">
        <f>COUNTIFS(data!D:D,data!$J$2,data!F:F,"&lt;"&amp;B364)</f>
        <v>604</v>
      </c>
      <c r="F364">
        <f>COUNTIFS(data!D:D,data!$I$2,data!F:F,"&lt;"&amp;B364)</f>
        <v>289</v>
      </c>
      <c r="G364">
        <f t="shared" si="30"/>
        <v>0.16459197786998617</v>
      </c>
      <c r="H364">
        <f t="shared" si="31"/>
        <v>0.45880149812734083</v>
      </c>
      <c r="I364">
        <f t="shared" si="35"/>
        <v>6.3328515703917597E-4</v>
      </c>
      <c r="J364">
        <f t="shared" si="32"/>
        <v>0.67307692307692313</v>
      </c>
      <c r="K364">
        <f t="shared" si="33"/>
        <v>0.54565701559020052</v>
      </c>
      <c r="L364">
        <f>A364*COUNTIF(data!D:D,data!$I$2)/data!$L$2</f>
        <v>154.21002386634845</v>
      </c>
      <c r="M364" s="1">
        <f>A364/data!$L$2</f>
        <v>0.28878281622911695</v>
      </c>
      <c r="N364">
        <f t="shared" si="34"/>
        <v>1.588742377812858</v>
      </c>
    </row>
    <row r="365" spans="1:14" x14ac:dyDescent="0.2">
      <c r="A365">
        <v>364</v>
      </c>
      <c r="B365">
        <f>LARGE(data!F:F,A365)</f>
        <v>0.555248034</v>
      </c>
      <c r="C365">
        <f>COUNTIFS(data!D:D,data!$I$2,data!F:F,"&gt;="&amp;B365)</f>
        <v>245</v>
      </c>
      <c r="D365">
        <f>COUNTIFS(data!D:D,data!$J$2,data!F:F,"&gt;="&amp;B365)</f>
        <v>119</v>
      </c>
      <c r="E365">
        <f>COUNTIFS(data!D:D,data!$J$2,data!F:F,"&lt;"&amp;B365)</f>
        <v>604</v>
      </c>
      <c r="F365">
        <f>COUNTIFS(data!D:D,data!$I$2,data!F:F,"&lt;"&amp;B365)</f>
        <v>289</v>
      </c>
      <c r="G365">
        <f t="shared" si="30"/>
        <v>0.16459197786998617</v>
      </c>
      <c r="H365">
        <f t="shared" si="31"/>
        <v>0.45880149812734083</v>
      </c>
      <c r="I365">
        <f t="shared" si="35"/>
        <v>0</v>
      </c>
      <c r="J365">
        <f t="shared" si="32"/>
        <v>0.67307692307692313</v>
      </c>
      <c r="K365">
        <f t="shared" si="33"/>
        <v>0.54565701559020052</v>
      </c>
      <c r="L365">
        <f>A365*COUNTIF(data!D:D,data!$I$2)/data!$L$2</f>
        <v>154.63484486873509</v>
      </c>
      <c r="M365" s="1">
        <f>A365/data!$L$2</f>
        <v>0.28957836117740654</v>
      </c>
      <c r="N365">
        <f t="shared" si="34"/>
        <v>1.5843777009507347</v>
      </c>
    </row>
    <row r="366" spans="1:14" x14ac:dyDescent="0.2">
      <c r="A366">
        <v>365</v>
      </c>
      <c r="B366">
        <f>LARGE(data!F:F,A366)</f>
        <v>0.55347613529999995</v>
      </c>
      <c r="C366">
        <f>COUNTIFS(data!D:D,data!$I$2,data!F:F,"&gt;="&amp;B366)</f>
        <v>246</v>
      </c>
      <c r="D366">
        <f>COUNTIFS(data!D:D,data!$J$2,data!F:F,"&gt;="&amp;B366)</f>
        <v>119</v>
      </c>
      <c r="E366">
        <f>COUNTIFS(data!D:D,data!$J$2,data!F:F,"&lt;"&amp;B366)</f>
        <v>604</v>
      </c>
      <c r="F366">
        <f>COUNTIFS(data!D:D,data!$I$2,data!F:F,"&lt;"&amp;B366)</f>
        <v>288</v>
      </c>
      <c r="G366">
        <f t="shared" si="30"/>
        <v>0.16459197786998617</v>
      </c>
      <c r="H366">
        <f t="shared" si="31"/>
        <v>0.4606741573033708</v>
      </c>
      <c r="I366">
        <f t="shared" si="35"/>
        <v>0</v>
      </c>
      <c r="J366">
        <f t="shared" si="32"/>
        <v>0.67397260273972603</v>
      </c>
      <c r="K366">
        <f t="shared" si="33"/>
        <v>0.54727474972191326</v>
      </c>
      <c r="L366">
        <f>A366*COUNTIF(data!D:D,data!$I$2)/data!$L$2</f>
        <v>155.05966587112172</v>
      </c>
      <c r="M366" s="1">
        <f>A366/data!$L$2</f>
        <v>0.29037390612569608</v>
      </c>
      <c r="N366">
        <f t="shared" si="34"/>
        <v>1.5864860704940742</v>
      </c>
    </row>
    <row r="367" spans="1:14" x14ac:dyDescent="0.2">
      <c r="A367">
        <v>366</v>
      </c>
      <c r="B367">
        <f>LARGE(data!F:F,A367)</f>
        <v>0.55306250540000002</v>
      </c>
      <c r="C367">
        <f>COUNTIFS(data!D:D,data!$I$2,data!F:F,"&gt;="&amp;B367)</f>
        <v>246</v>
      </c>
      <c r="D367">
        <f>COUNTIFS(data!D:D,data!$J$2,data!F:F,"&gt;="&amp;B367)</f>
        <v>120</v>
      </c>
      <c r="E367">
        <f>COUNTIFS(data!D:D,data!$J$2,data!F:F,"&lt;"&amp;B367)</f>
        <v>603</v>
      </c>
      <c r="F367">
        <f>COUNTIFS(data!D:D,data!$I$2,data!F:F,"&lt;"&amp;B367)</f>
        <v>288</v>
      </c>
      <c r="G367">
        <f t="shared" si="30"/>
        <v>0.16597510373443983</v>
      </c>
      <c r="H367">
        <f t="shared" si="31"/>
        <v>0.4606741573033708</v>
      </c>
      <c r="I367">
        <f t="shared" si="35"/>
        <v>6.3717034205168629E-4</v>
      </c>
      <c r="J367">
        <f t="shared" si="32"/>
        <v>0.67213114754098358</v>
      </c>
      <c r="K367">
        <f t="shared" si="33"/>
        <v>0.54666666666666663</v>
      </c>
      <c r="L367">
        <f>A367*COUNTIF(data!D:D,data!$I$2)/data!$L$2</f>
        <v>155.48448687350836</v>
      </c>
      <c r="M367" s="1">
        <f>A367/data!$L$2</f>
        <v>0.29116945107398567</v>
      </c>
      <c r="N367">
        <f t="shared" si="34"/>
        <v>1.5821514090992816</v>
      </c>
    </row>
    <row r="368" spans="1:14" x14ac:dyDescent="0.2">
      <c r="A368">
        <v>367</v>
      </c>
      <c r="B368">
        <f>LARGE(data!F:F,A368)</f>
        <v>0.55305834939999998</v>
      </c>
      <c r="C368">
        <f>COUNTIFS(data!D:D,data!$I$2,data!F:F,"&gt;="&amp;B368)</f>
        <v>246</v>
      </c>
      <c r="D368">
        <f>COUNTIFS(data!D:D,data!$J$2,data!F:F,"&gt;="&amp;B368)</f>
        <v>121</v>
      </c>
      <c r="E368">
        <f>COUNTIFS(data!D:D,data!$J$2,data!F:F,"&lt;"&amp;B368)</f>
        <v>602</v>
      </c>
      <c r="F368">
        <f>COUNTIFS(data!D:D,data!$I$2,data!F:F,"&lt;"&amp;B368)</f>
        <v>288</v>
      </c>
      <c r="G368">
        <f t="shared" si="30"/>
        <v>0.16735822959889349</v>
      </c>
      <c r="H368">
        <f t="shared" si="31"/>
        <v>0.4606741573033708</v>
      </c>
      <c r="I368">
        <f t="shared" si="35"/>
        <v>6.3717034205168629E-4</v>
      </c>
      <c r="J368">
        <f t="shared" si="32"/>
        <v>0.67029972752043598</v>
      </c>
      <c r="K368">
        <f t="shared" si="33"/>
        <v>0.54605993340732517</v>
      </c>
      <c r="L368">
        <f>A368*COUNTIF(data!D:D,data!$I$2)/data!$L$2</f>
        <v>155.909307875895</v>
      </c>
      <c r="M368" s="1">
        <f>A368/data!$L$2</f>
        <v>0.29196499602227527</v>
      </c>
      <c r="N368">
        <f t="shared" si="34"/>
        <v>1.5778403698374306</v>
      </c>
    </row>
    <row r="369" spans="1:14" x14ac:dyDescent="0.2">
      <c r="A369">
        <v>368</v>
      </c>
      <c r="B369">
        <f>LARGE(data!F:F,A369)</f>
        <v>0.55279181789999998</v>
      </c>
      <c r="C369">
        <f>COUNTIFS(data!D:D,data!$I$2,data!F:F,"&gt;="&amp;B369)</f>
        <v>246</v>
      </c>
      <c r="D369">
        <f>COUNTIFS(data!D:D,data!$J$2,data!F:F,"&gt;="&amp;B369)</f>
        <v>122</v>
      </c>
      <c r="E369">
        <f>COUNTIFS(data!D:D,data!$J$2,data!F:F,"&lt;"&amp;B369)</f>
        <v>601</v>
      </c>
      <c r="F369">
        <f>COUNTIFS(data!D:D,data!$I$2,data!F:F,"&lt;"&amp;B369)</f>
        <v>288</v>
      </c>
      <c r="G369">
        <f t="shared" si="30"/>
        <v>0.16874135546334718</v>
      </c>
      <c r="H369">
        <f t="shared" si="31"/>
        <v>0.4606741573033708</v>
      </c>
      <c r="I369">
        <f t="shared" si="35"/>
        <v>6.3717034205169908E-4</v>
      </c>
      <c r="J369">
        <f t="shared" si="32"/>
        <v>0.66847826086956519</v>
      </c>
      <c r="K369">
        <f t="shared" si="33"/>
        <v>0.54545454545454541</v>
      </c>
      <c r="L369">
        <f>A369*COUNTIF(data!D:D,data!$I$2)/data!$L$2</f>
        <v>156.33412887828163</v>
      </c>
      <c r="M369" s="1">
        <f>A369/data!$L$2</f>
        <v>0.29276054097056486</v>
      </c>
      <c r="N369">
        <f t="shared" si="34"/>
        <v>1.5735527601367854</v>
      </c>
    </row>
    <row r="370" spans="1:14" x14ac:dyDescent="0.2">
      <c r="A370">
        <v>369</v>
      </c>
      <c r="B370">
        <f>LARGE(data!F:F,A370)</f>
        <v>0.55237244009999997</v>
      </c>
      <c r="C370">
        <f>COUNTIFS(data!D:D,data!$I$2,data!F:F,"&gt;="&amp;B370)</f>
        <v>247</v>
      </c>
      <c r="D370">
        <f>COUNTIFS(data!D:D,data!$J$2,data!F:F,"&gt;="&amp;B370)</f>
        <v>122</v>
      </c>
      <c r="E370">
        <f>COUNTIFS(data!D:D,data!$J$2,data!F:F,"&lt;"&amp;B370)</f>
        <v>601</v>
      </c>
      <c r="F370">
        <f>COUNTIFS(data!D:D,data!$I$2,data!F:F,"&lt;"&amp;B370)</f>
        <v>287</v>
      </c>
      <c r="G370">
        <f t="shared" si="30"/>
        <v>0.16874135546334718</v>
      </c>
      <c r="H370">
        <f t="shared" si="31"/>
        <v>0.46254681647940077</v>
      </c>
      <c r="I370">
        <f t="shared" si="35"/>
        <v>0</v>
      </c>
      <c r="J370">
        <f t="shared" si="32"/>
        <v>0.66937669376693765</v>
      </c>
      <c r="K370">
        <f t="shared" si="33"/>
        <v>0.54706533776301214</v>
      </c>
      <c r="L370">
        <f>A370*COUNTIF(data!D:D,data!$I$2)/data!$L$2</f>
        <v>156.75894988066827</v>
      </c>
      <c r="M370" s="1">
        <f>A370/data!$L$2</f>
        <v>0.2935560859188544</v>
      </c>
      <c r="N370">
        <f t="shared" si="34"/>
        <v>1.5756676106086902</v>
      </c>
    </row>
    <row r="371" spans="1:14" x14ac:dyDescent="0.2">
      <c r="A371">
        <v>370</v>
      </c>
      <c r="B371">
        <f>LARGE(data!F:F,A371)</f>
        <v>0.55153774820000001</v>
      </c>
      <c r="C371">
        <f>COUNTIFS(data!D:D,data!$I$2,data!F:F,"&gt;="&amp;B371)</f>
        <v>248</v>
      </c>
      <c r="D371">
        <f>COUNTIFS(data!D:D,data!$J$2,data!F:F,"&gt;="&amp;B371)</f>
        <v>122</v>
      </c>
      <c r="E371">
        <f>COUNTIFS(data!D:D,data!$J$2,data!F:F,"&lt;"&amp;B371)</f>
        <v>601</v>
      </c>
      <c r="F371">
        <f>COUNTIFS(data!D:D,data!$I$2,data!F:F,"&lt;"&amp;B371)</f>
        <v>286</v>
      </c>
      <c r="G371">
        <f t="shared" si="30"/>
        <v>0.16874135546334718</v>
      </c>
      <c r="H371">
        <f t="shared" si="31"/>
        <v>0.46441947565543074</v>
      </c>
      <c r="I371">
        <f t="shared" si="35"/>
        <v>0</v>
      </c>
      <c r="J371">
        <f t="shared" si="32"/>
        <v>0.67027027027027031</v>
      </c>
      <c r="K371">
        <f t="shared" si="33"/>
        <v>0.54867256637168138</v>
      </c>
      <c r="L371">
        <f>A371*COUNTIF(data!D:D,data!$I$2)/data!$L$2</f>
        <v>157.1837708830549</v>
      </c>
      <c r="M371" s="1">
        <f>A371/data!$L$2</f>
        <v>0.294351630867144</v>
      </c>
      <c r="N371">
        <f t="shared" si="34"/>
        <v>1.5777710294564227</v>
      </c>
    </row>
    <row r="372" spans="1:14" x14ac:dyDescent="0.2">
      <c r="A372">
        <v>371</v>
      </c>
      <c r="B372">
        <f>LARGE(data!F:F,A372)</f>
        <v>0.55097474219999998</v>
      </c>
      <c r="C372">
        <f>COUNTIFS(data!D:D,data!$I$2,data!F:F,"&gt;="&amp;B372)</f>
        <v>249</v>
      </c>
      <c r="D372">
        <f>COUNTIFS(data!D:D,data!$J$2,data!F:F,"&gt;="&amp;B372)</f>
        <v>122</v>
      </c>
      <c r="E372">
        <f>COUNTIFS(data!D:D,data!$J$2,data!F:F,"&lt;"&amp;B372)</f>
        <v>601</v>
      </c>
      <c r="F372">
        <f>COUNTIFS(data!D:D,data!$I$2,data!F:F,"&lt;"&amp;B372)</f>
        <v>285</v>
      </c>
      <c r="G372">
        <f t="shared" si="30"/>
        <v>0.16874135546334718</v>
      </c>
      <c r="H372">
        <f t="shared" si="31"/>
        <v>0.46629213483146065</v>
      </c>
      <c r="I372">
        <f t="shared" si="35"/>
        <v>0</v>
      </c>
      <c r="J372">
        <f t="shared" si="32"/>
        <v>0.67115902964959573</v>
      </c>
      <c r="K372">
        <f t="shared" si="33"/>
        <v>0.55027624309392276</v>
      </c>
      <c r="L372">
        <f>A372*COUNTIF(data!D:D,data!$I$2)/data!$L$2</f>
        <v>157.60859188544154</v>
      </c>
      <c r="M372" s="1">
        <f>A372/data!$L$2</f>
        <v>0.29514717581543359</v>
      </c>
      <c r="N372">
        <f t="shared" si="34"/>
        <v>1.5798631091189919</v>
      </c>
    </row>
    <row r="373" spans="1:14" x14ac:dyDescent="0.2">
      <c r="A373">
        <v>372</v>
      </c>
      <c r="B373">
        <f>LARGE(data!F:F,A373)</f>
        <v>0.55061253119999998</v>
      </c>
      <c r="C373">
        <f>COUNTIFS(data!D:D,data!$I$2,data!F:F,"&gt;="&amp;B373)</f>
        <v>250</v>
      </c>
      <c r="D373">
        <f>COUNTIFS(data!D:D,data!$J$2,data!F:F,"&gt;="&amp;B373)</f>
        <v>123</v>
      </c>
      <c r="E373">
        <f>COUNTIFS(data!D:D,data!$J$2,data!F:F,"&lt;"&amp;B373)</f>
        <v>600</v>
      </c>
      <c r="F373">
        <f>COUNTIFS(data!D:D,data!$I$2,data!F:F,"&lt;"&amp;B373)</f>
        <v>284</v>
      </c>
      <c r="G373">
        <f t="shared" si="30"/>
        <v>0.17012448132780084</v>
      </c>
      <c r="H373">
        <f t="shared" si="31"/>
        <v>0.46816479400749061</v>
      </c>
      <c r="I373">
        <f t="shared" si="35"/>
        <v>6.4623577374754357E-4</v>
      </c>
      <c r="J373">
        <f t="shared" si="32"/>
        <v>0.67024128686327078</v>
      </c>
      <c r="K373">
        <f t="shared" si="33"/>
        <v>0.55126791620727678</v>
      </c>
      <c r="L373">
        <f>A373*COUNTIF(data!D:D,data!$I$2)/data!$L$2</f>
        <v>158.03341288782815</v>
      </c>
      <c r="M373" s="1">
        <f>A373/data!$L$2</f>
        <v>0.29594272076372313</v>
      </c>
      <c r="N373">
        <f t="shared" si="34"/>
        <v>1.5819439410414402</v>
      </c>
    </row>
    <row r="374" spans="1:14" x14ac:dyDescent="0.2">
      <c r="A374">
        <v>373</v>
      </c>
      <c r="B374">
        <f>LARGE(data!F:F,A374)</f>
        <v>0.55061253119999998</v>
      </c>
      <c r="C374">
        <f>COUNTIFS(data!D:D,data!$I$2,data!F:F,"&gt;="&amp;B374)</f>
        <v>250</v>
      </c>
      <c r="D374">
        <f>COUNTIFS(data!D:D,data!$J$2,data!F:F,"&gt;="&amp;B374)</f>
        <v>123</v>
      </c>
      <c r="E374">
        <f>COUNTIFS(data!D:D,data!$J$2,data!F:F,"&lt;"&amp;B374)</f>
        <v>600</v>
      </c>
      <c r="F374">
        <f>COUNTIFS(data!D:D,data!$I$2,data!F:F,"&lt;"&amp;B374)</f>
        <v>284</v>
      </c>
      <c r="G374">
        <f t="shared" si="30"/>
        <v>0.17012448132780084</v>
      </c>
      <c r="H374">
        <f t="shared" si="31"/>
        <v>0.46816479400749061</v>
      </c>
      <c r="I374">
        <f t="shared" si="35"/>
        <v>0</v>
      </c>
      <c r="J374">
        <f t="shared" si="32"/>
        <v>0.67024128686327078</v>
      </c>
      <c r="K374">
        <f t="shared" si="33"/>
        <v>0.55126791620727678</v>
      </c>
      <c r="L374">
        <f>A374*COUNTIF(data!D:D,data!$I$2)/data!$L$2</f>
        <v>158.45823389021479</v>
      </c>
      <c r="M374" s="1">
        <f>A374/data!$L$2</f>
        <v>0.29673826571201273</v>
      </c>
      <c r="N374">
        <f t="shared" si="34"/>
        <v>1.5777028044702837</v>
      </c>
    </row>
    <row r="375" spans="1:14" x14ac:dyDescent="0.2">
      <c r="A375">
        <v>374</v>
      </c>
      <c r="B375">
        <f>LARGE(data!F:F,A375)</f>
        <v>0.55054814819999998</v>
      </c>
      <c r="C375">
        <f>COUNTIFS(data!D:D,data!$I$2,data!F:F,"&gt;="&amp;B375)</f>
        <v>250</v>
      </c>
      <c r="D375">
        <f>COUNTIFS(data!D:D,data!$J$2,data!F:F,"&gt;="&amp;B375)</f>
        <v>124</v>
      </c>
      <c r="E375">
        <f>COUNTIFS(data!D:D,data!$J$2,data!F:F,"&lt;"&amp;B375)</f>
        <v>599</v>
      </c>
      <c r="F375">
        <f>COUNTIFS(data!D:D,data!$I$2,data!F:F,"&lt;"&amp;B375)</f>
        <v>284</v>
      </c>
      <c r="G375">
        <f t="shared" ref="G375:G438" si="36">D375/(E375+D375)</f>
        <v>0.1715076071922545</v>
      </c>
      <c r="H375">
        <f t="shared" ref="H375:H438" si="37">C375/(C375+F375)</f>
        <v>0.46816479400749061</v>
      </c>
      <c r="I375">
        <f t="shared" si="35"/>
        <v>6.4753083541838031E-4</v>
      </c>
      <c r="J375">
        <f t="shared" ref="J375:J438" si="38">C375/(C375+D375)</f>
        <v>0.66844919786096257</v>
      </c>
      <c r="K375">
        <f t="shared" ref="K375:K438" si="39">2*J375*H375/(J375+H375)</f>
        <v>0.5506607929515418</v>
      </c>
      <c r="L375">
        <f>A375*COUNTIF(data!D:D,data!$I$2)/data!$L$2</f>
        <v>158.88305489260142</v>
      </c>
      <c r="M375" s="1">
        <f>A375/data!$L$2</f>
        <v>0.29753381066030232</v>
      </c>
      <c r="N375">
        <f t="shared" si="34"/>
        <v>1.5734843477738389</v>
      </c>
    </row>
    <row r="376" spans="1:14" x14ac:dyDescent="0.2">
      <c r="A376">
        <v>375</v>
      </c>
      <c r="B376">
        <f>LARGE(data!F:F,A376)</f>
        <v>0.55006515040000004</v>
      </c>
      <c r="C376">
        <f>COUNTIFS(data!D:D,data!$I$2,data!F:F,"&gt;="&amp;B376)</f>
        <v>250</v>
      </c>
      <c r="D376">
        <f>COUNTIFS(data!D:D,data!$J$2,data!F:F,"&gt;="&amp;B376)</f>
        <v>125</v>
      </c>
      <c r="E376">
        <f>COUNTIFS(data!D:D,data!$J$2,data!F:F,"&lt;"&amp;B376)</f>
        <v>598</v>
      </c>
      <c r="F376">
        <f>COUNTIFS(data!D:D,data!$I$2,data!F:F,"&lt;"&amp;B376)</f>
        <v>284</v>
      </c>
      <c r="G376">
        <f t="shared" si="36"/>
        <v>0.17289073305670816</v>
      </c>
      <c r="H376">
        <f t="shared" si="37"/>
        <v>0.46816479400749061</v>
      </c>
      <c r="I376">
        <f t="shared" si="35"/>
        <v>6.4753083541838031E-4</v>
      </c>
      <c r="J376">
        <f t="shared" si="38"/>
        <v>0.66666666666666663</v>
      </c>
      <c r="K376">
        <f t="shared" si="39"/>
        <v>0.55005500550055009</v>
      </c>
      <c r="L376">
        <f>A376*COUNTIF(data!D:D,data!$I$2)/data!$L$2</f>
        <v>159.30787589498806</v>
      </c>
      <c r="M376" s="1">
        <f>A376/data!$L$2</f>
        <v>0.29832935560859186</v>
      </c>
      <c r="N376">
        <f t="shared" si="34"/>
        <v>1.5692883895131087</v>
      </c>
    </row>
    <row r="377" spans="1:14" x14ac:dyDescent="0.2">
      <c r="A377">
        <v>376</v>
      </c>
      <c r="B377">
        <f>LARGE(data!F:F,A377)</f>
        <v>0.54921022019999999</v>
      </c>
      <c r="C377">
        <f>COUNTIFS(data!D:D,data!$I$2,data!F:F,"&gt;="&amp;B377)</f>
        <v>252</v>
      </c>
      <c r="D377">
        <f>COUNTIFS(data!D:D,data!$J$2,data!F:F,"&gt;="&amp;B377)</f>
        <v>125</v>
      </c>
      <c r="E377">
        <f>COUNTIFS(data!D:D,data!$J$2,data!F:F,"&lt;"&amp;B377)</f>
        <v>598</v>
      </c>
      <c r="F377">
        <f>COUNTIFS(data!D:D,data!$I$2,data!F:F,"&lt;"&amp;B377)</f>
        <v>282</v>
      </c>
      <c r="G377">
        <f t="shared" si="36"/>
        <v>0.17289073305670816</v>
      </c>
      <c r="H377">
        <f t="shared" si="37"/>
        <v>0.47191011235955055</v>
      </c>
      <c r="I377">
        <f t="shared" si="35"/>
        <v>0</v>
      </c>
      <c r="J377">
        <f t="shared" si="38"/>
        <v>0.66843501326259946</v>
      </c>
      <c r="K377">
        <f t="shared" si="39"/>
        <v>0.55323819978046107</v>
      </c>
      <c r="L377">
        <f>A377*COUNTIF(data!D:D,data!$I$2)/data!$L$2</f>
        <v>159.73269689737469</v>
      </c>
      <c r="M377" s="1">
        <f>A377/data!$L$2</f>
        <v>0.29912490055688146</v>
      </c>
      <c r="N377">
        <f t="shared" si="34"/>
        <v>1.5776356681807315</v>
      </c>
    </row>
    <row r="378" spans="1:14" x14ac:dyDescent="0.2">
      <c r="A378">
        <v>377</v>
      </c>
      <c r="B378">
        <f>LARGE(data!F:F,A378)</f>
        <v>0.54921022019999999</v>
      </c>
      <c r="C378">
        <f>COUNTIFS(data!D:D,data!$I$2,data!F:F,"&gt;="&amp;B378)</f>
        <v>252</v>
      </c>
      <c r="D378">
        <f>COUNTIFS(data!D:D,data!$J$2,data!F:F,"&gt;="&amp;B378)</f>
        <v>125</v>
      </c>
      <c r="E378">
        <f>COUNTIFS(data!D:D,data!$J$2,data!F:F,"&lt;"&amp;B378)</f>
        <v>598</v>
      </c>
      <c r="F378">
        <f>COUNTIFS(data!D:D,data!$I$2,data!F:F,"&lt;"&amp;B378)</f>
        <v>282</v>
      </c>
      <c r="G378">
        <f t="shared" si="36"/>
        <v>0.17289073305670816</v>
      </c>
      <c r="H378">
        <f t="shared" si="37"/>
        <v>0.47191011235955055</v>
      </c>
      <c r="I378">
        <f t="shared" si="35"/>
        <v>0</v>
      </c>
      <c r="J378">
        <f t="shared" si="38"/>
        <v>0.66843501326259946</v>
      </c>
      <c r="K378">
        <f t="shared" si="39"/>
        <v>0.55323819978046107</v>
      </c>
      <c r="L378">
        <f>A378*COUNTIF(data!D:D,data!$I$2)/data!$L$2</f>
        <v>160.15751789976133</v>
      </c>
      <c r="M378" s="1">
        <f>A378/data!$L$2</f>
        <v>0.29992044550517105</v>
      </c>
      <c r="N378">
        <f t="shared" si="34"/>
        <v>1.5734509581855571</v>
      </c>
    </row>
    <row r="379" spans="1:14" x14ac:dyDescent="0.2">
      <c r="A379">
        <v>378</v>
      </c>
      <c r="B379">
        <f>LARGE(data!F:F,A379)</f>
        <v>0.5491624624</v>
      </c>
      <c r="C379">
        <f>COUNTIFS(data!D:D,data!$I$2,data!F:F,"&gt;="&amp;B379)</f>
        <v>253</v>
      </c>
      <c r="D379">
        <f>COUNTIFS(data!D:D,data!$J$2,data!F:F,"&gt;="&amp;B379)</f>
        <v>126</v>
      </c>
      <c r="E379">
        <f>COUNTIFS(data!D:D,data!$J$2,data!F:F,"&lt;"&amp;B379)</f>
        <v>597</v>
      </c>
      <c r="F379">
        <f>COUNTIFS(data!D:D,data!$I$2,data!F:F,"&lt;"&amp;B379)</f>
        <v>281</v>
      </c>
      <c r="G379">
        <f t="shared" si="36"/>
        <v>0.17427385892116182</v>
      </c>
      <c r="H379">
        <f t="shared" si="37"/>
        <v>0.47378277153558052</v>
      </c>
      <c r="I379">
        <f t="shared" si="35"/>
        <v>6.5400614377256411E-4</v>
      </c>
      <c r="J379">
        <f t="shared" si="38"/>
        <v>0.66754617414248019</v>
      </c>
      <c r="K379">
        <f t="shared" si="39"/>
        <v>0.55421686746987953</v>
      </c>
      <c r="L379">
        <f>A379*COUNTIF(data!D:D,data!$I$2)/data!$L$2</f>
        <v>160.58233890214797</v>
      </c>
      <c r="M379" s="1">
        <f>A379/data!$L$2</f>
        <v>0.30071599045346065</v>
      </c>
      <c r="N379">
        <f t="shared" si="34"/>
        <v>1.5755157243921289</v>
      </c>
    </row>
    <row r="380" spans="1:14" x14ac:dyDescent="0.2">
      <c r="A380">
        <v>379</v>
      </c>
      <c r="B380">
        <f>LARGE(data!F:F,A380)</f>
        <v>0.5491624624</v>
      </c>
      <c r="C380">
        <f>COUNTIFS(data!D:D,data!$I$2,data!F:F,"&gt;="&amp;B380)</f>
        <v>253</v>
      </c>
      <c r="D380">
        <f>COUNTIFS(data!D:D,data!$J$2,data!F:F,"&gt;="&amp;B380)</f>
        <v>126</v>
      </c>
      <c r="E380">
        <f>COUNTIFS(data!D:D,data!$J$2,data!F:F,"&lt;"&amp;B380)</f>
        <v>597</v>
      </c>
      <c r="F380">
        <f>COUNTIFS(data!D:D,data!$I$2,data!F:F,"&lt;"&amp;B380)</f>
        <v>281</v>
      </c>
      <c r="G380">
        <f t="shared" si="36"/>
        <v>0.17427385892116182</v>
      </c>
      <c r="H380">
        <f t="shared" si="37"/>
        <v>0.47378277153558052</v>
      </c>
      <c r="I380">
        <f t="shared" si="35"/>
        <v>0</v>
      </c>
      <c r="J380">
        <f t="shared" si="38"/>
        <v>0.66754617414248019</v>
      </c>
      <c r="K380">
        <f t="shared" si="39"/>
        <v>0.55421686746987953</v>
      </c>
      <c r="L380">
        <f>A380*COUNTIF(data!D:D,data!$I$2)/data!$L$2</f>
        <v>161.0071599045346</v>
      </c>
      <c r="M380" s="1">
        <f>A380/data!$L$2</f>
        <v>0.30151153540175019</v>
      </c>
      <c r="N380">
        <f t="shared" si="34"/>
        <v>1.5713586908185349</v>
      </c>
    </row>
    <row r="381" spans="1:14" x14ac:dyDescent="0.2">
      <c r="A381">
        <v>380</v>
      </c>
      <c r="B381">
        <f>LARGE(data!F:F,A381)</f>
        <v>0.5490204139</v>
      </c>
      <c r="C381">
        <f>COUNTIFS(data!D:D,data!$I$2,data!F:F,"&gt;="&amp;B381)</f>
        <v>254</v>
      </c>
      <c r="D381">
        <f>COUNTIFS(data!D:D,data!$J$2,data!F:F,"&gt;="&amp;B381)</f>
        <v>126</v>
      </c>
      <c r="E381">
        <f>COUNTIFS(data!D:D,data!$J$2,data!F:F,"&lt;"&amp;B381)</f>
        <v>597</v>
      </c>
      <c r="F381">
        <f>COUNTIFS(data!D:D,data!$I$2,data!F:F,"&lt;"&amp;B381)</f>
        <v>280</v>
      </c>
      <c r="G381">
        <f t="shared" si="36"/>
        <v>0.17427385892116182</v>
      </c>
      <c r="H381">
        <f t="shared" si="37"/>
        <v>0.47565543071161048</v>
      </c>
      <c r="I381">
        <f t="shared" si="35"/>
        <v>0</v>
      </c>
      <c r="J381">
        <f t="shared" si="38"/>
        <v>0.66842105263157892</v>
      </c>
      <c r="K381">
        <f t="shared" si="39"/>
        <v>0.55579868708971558</v>
      </c>
      <c r="L381">
        <f>A381*COUNTIF(data!D:D,data!$I$2)/data!$L$2</f>
        <v>161.43198090692124</v>
      </c>
      <c r="M381" s="1">
        <f>A381/data!$L$2</f>
        <v>0.30230708035003978</v>
      </c>
      <c r="N381">
        <f t="shared" si="34"/>
        <v>1.5734180958013011</v>
      </c>
    </row>
    <row r="382" spans="1:14" x14ac:dyDescent="0.2">
      <c r="A382">
        <v>381</v>
      </c>
      <c r="B382">
        <f>LARGE(data!F:F,A382)</f>
        <v>0.54833879669999996</v>
      </c>
      <c r="C382">
        <f>COUNTIFS(data!D:D,data!$I$2,data!F:F,"&gt;="&amp;B382)</f>
        <v>254</v>
      </c>
      <c r="D382">
        <f>COUNTIFS(data!D:D,data!$J$2,data!F:F,"&gt;="&amp;B382)</f>
        <v>127</v>
      </c>
      <c r="E382">
        <f>COUNTIFS(data!D:D,data!$J$2,data!F:F,"&lt;"&amp;B382)</f>
        <v>596</v>
      </c>
      <c r="F382">
        <f>COUNTIFS(data!D:D,data!$I$2,data!F:F,"&lt;"&amp;B382)</f>
        <v>280</v>
      </c>
      <c r="G382">
        <f t="shared" si="36"/>
        <v>0.17565698478561548</v>
      </c>
      <c r="H382">
        <f t="shared" si="37"/>
        <v>0.47565543071161048</v>
      </c>
      <c r="I382">
        <f t="shared" si="35"/>
        <v>6.5789132878507444E-4</v>
      </c>
      <c r="J382">
        <f t="shared" si="38"/>
        <v>0.66666666666666663</v>
      </c>
      <c r="K382">
        <f t="shared" si="39"/>
        <v>0.55519125683060111</v>
      </c>
      <c r="L382">
        <f>A382*COUNTIF(data!D:D,data!$I$2)/data!$L$2</f>
        <v>161.85680190930788</v>
      </c>
      <c r="M382" s="1">
        <f>A382/data!$L$2</f>
        <v>0.30310262529832938</v>
      </c>
      <c r="N382">
        <f t="shared" si="34"/>
        <v>1.5692883895131087</v>
      </c>
    </row>
    <row r="383" spans="1:14" x14ac:dyDescent="0.2">
      <c r="A383">
        <v>382</v>
      </c>
      <c r="B383">
        <f>LARGE(data!F:F,A383)</f>
        <v>0.54794232610000004</v>
      </c>
      <c r="C383">
        <f>COUNTIFS(data!D:D,data!$I$2,data!F:F,"&gt;="&amp;B383)</f>
        <v>254</v>
      </c>
      <c r="D383">
        <f>COUNTIFS(data!D:D,data!$J$2,data!F:F,"&gt;="&amp;B383)</f>
        <v>128</v>
      </c>
      <c r="E383">
        <f>COUNTIFS(data!D:D,data!$J$2,data!F:F,"&lt;"&amp;B383)</f>
        <v>595</v>
      </c>
      <c r="F383">
        <f>COUNTIFS(data!D:D,data!$I$2,data!F:F,"&lt;"&amp;B383)</f>
        <v>280</v>
      </c>
      <c r="G383">
        <f t="shared" si="36"/>
        <v>0.17704011065006917</v>
      </c>
      <c r="H383">
        <f t="shared" si="37"/>
        <v>0.47565543071161048</v>
      </c>
      <c r="I383">
        <f t="shared" si="35"/>
        <v>6.5789132878508755E-4</v>
      </c>
      <c r="J383">
        <f t="shared" si="38"/>
        <v>0.66492146596858637</v>
      </c>
      <c r="K383">
        <f t="shared" si="39"/>
        <v>0.55458515283842802</v>
      </c>
      <c r="L383">
        <f>A383*COUNTIF(data!D:D,data!$I$2)/data!$L$2</f>
        <v>162.28162291169451</v>
      </c>
      <c r="M383" s="1">
        <f>A383/data!$L$2</f>
        <v>0.30389817024661891</v>
      </c>
      <c r="N383">
        <f t="shared" si="34"/>
        <v>1.5651803047238073</v>
      </c>
    </row>
    <row r="384" spans="1:14" x14ac:dyDescent="0.2">
      <c r="A384">
        <v>383</v>
      </c>
      <c r="B384">
        <f>LARGE(data!F:F,A384)</f>
        <v>0.54774458100000001</v>
      </c>
      <c r="C384">
        <f>COUNTIFS(data!D:D,data!$I$2,data!F:F,"&gt;="&amp;B384)</f>
        <v>258</v>
      </c>
      <c r="D384">
        <f>COUNTIFS(data!D:D,data!$J$2,data!F:F,"&gt;="&amp;B384)</f>
        <v>128</v>
      </c>
      <c r="E384">
        <f>COUNTIFS(data!D:D,data!$J$2,data!F:F,"&lt;"&amp;B384)</f>
        <v>595</v>
      </c>
      <c r="F384">
        <f>COUNTIFS(data!D:D,data!$I$2,data!F:F,"&lt;"&amp;B384)</f>
        <v>276</v>
      </c>
      <c r="G384">
        <f t="shared" si="36"/>
        <v>0.17704011065006917</v>
      </c>
      <c r="H384">
        <f t="shared" si="37"/>
        <v>0.48314606741573035</v>
      </c>
      <c r="I384">
        <f t="shared" si="35"/>
        <v>0</v>
      </c>
      <c r="J384">
        <f t="shared" si="38"/>
        <v>0.66839378238341973</v>
      </c>
      <c r="K384">
        <f t="shared" si="39"/>
        <v>0.5608695652173914</v>
      </c>
      <c r="L384">
        <f>A384*COUNTIF(data!D:D,data!$I$2)/data!$L$2</f>
        <v>162.70644391408115</v>
      </c>
      <c r="M384" s="1">
        <f>A384/data!$L$2</f>
        <v>0.30469371519490851</v>
      </c>
      <c r="N384">
        <f t="shared" si="34"/>
        <v>1.5856778243905301</v>
      </c>
    </row>
    <row r="385" spans="1:14" x14ac:dyDescent="0.2">
      <c r="A385">
        <v>384</v>
      </c>
      <c r="B385">
        <f>LARGE(data!F:F,A385)</f>
        <v>0.54774458100000001</v>
      </c>
      <c r="C385">
        <f>COUNTIFS(data!D:D,data!$I$2,data!F:F,"&gt;="&amp;B385)</f>
        <v>258</v>
      </c>
      <c r="D385">
        <f>COUNTIFS(data!D:D,data!$J$2,data!F:F,"&gt;="&amp;B385)</f>
        <v>128</v>
      </c>
      <c r="E385">
        <f>COUNTIFS(data!D:D,data!$J$2,data!F:F,"&lt;"&amp;B385)</f>
        <v>595</v>
      </c>
      <c r="F385">
        <f>COUNTIFS(data!D:D,data!$I$2,data!F:F,"&lt;"&amp;B385)</f>
        <v>276</v>
      </c>
      <c r="G385">
        <f t="shared" si="36"/>
        <v>0.17704011065006917</v>
      </c>
      <c r="H385">
        <f t="shared" si="37"/>
        <v>0.48314606741573035</v>
      </c>
      <c r="I385">
        <f t="shared" si="35"/>
        <v>0</v>
      </c>
      <c r="J385">
        <f t="shared" si="38"/>
        <v>0.66839378238341973</v>
      </c>
      <c r="K385">
        <f t="shared" si="39"/>
        <v>0.5608695652173914</v>
      </c>
      <c r="L385">
        <f>A385*COUNTIF(data!D:D,data!$I$2)/data!$L$2</f>
        <v>163.13126491646779</v>
      </c>
      <c r="M385" s="1">
        <f>A385/data!$L$2</f>
        <v>0.3054892601431981</v>
      </c>
      <c r="N385">
        <f t="shared" si="34"/>
        <v>1.5815484550561798</v>
      </c>
    </row>
    <row r="386" spans="1:14" x14ac:dyDescent="0.2">
      <c r="A386">
        <v>385</v>
      </c>
      <c r="B386">
        <f>LARGE(data!F:F,A386)</f>
        <v>0.54774458100000001</v>
      </c>
      <c r="C386">
        <f>COUNTIFS(data!D:D,data!$I$2,data!F:F,"&gt;="&amp;B386)</f>
        <v>258</v>
      </c>
      <c r="D386">
        <f>COUNTIFS(data!D:D,data!$J$2,data!F:F,"&gt;="&amp;B386)</f>
        <v>128</v>
      </c>
      <c r="E386">
        <f>COUNTIFS(data!D:D,data!$J$2,data!F:F,"&lt;"&amp;B386)</f>
        <v>595</v>
      </c>
      <c r="F386">
        <f>COUNTIFS(data!D:D,data!$I$2,data!F:F,"&lt;"&amp;B386)</f>
        <v>276</v>
      </c>
      <c r="G386">
        <f t="shared" si="36"/>
        <v>0.17704011065006917</v>
      </c>
      <c r="H386">
        <f t="shared" si="37"/>
        <v>0.48314606741573035</v>
      </c>
      <c r="I386">
        <f t="shared" si="35"/>
        <v>0</v>
      </c>
      <c r="J386">
        <f t="shared" si="38"/>
        <v>0.66839378238341973</v>
      </c>
      <c r="K386">
        <f t="shared" si="39"/>
        <v>0.5608695652173914</v>
      </c>
      <c r="L386">
        <f>A386*COUNTIF(data!D:D,data!$I$2)/data!$L$2</f>
        <v>163.55608591885442</v>
      </c>
      <c r="M386" s="1">
        <f>A386/data!$L$2</f>
        <v>0.30628480509148764</v>
      </c>
      <c r="N386">
        <f t="shared" ref="N386:N449" si="40">C386/L386</f>
        <v>1.5774405369910987</v>
      </c>
    </row>
    <row r="387" spans="1:14" x14ac:dyDescent="0.2">
      <c r="A387">
        <v>386</v>
      </c>
      <c r="B387">
        <f>LARGE(data!F:F,A387)</f>
        <v>0.54774458100000001</v>
      </c>
      <c r="C387">
        <f>COUNTIFS(data!D:D,data!$I$2,data!F:F,"&gt;="&amp;B387)</f>
        <v>258</v>
      </c>
      <c r="D387">
        <f>COUNTIFS(data!D:D,data!$J$2,data!F:F,"&gt;="&amp;B387)</f>
        <v>128</v>
      </c>
      <c r="E387">
        <f>COUNTIFS(data!D:D,data!$J$2,data!F:F,"&lt;"&amp;B387)</f>
        <v>595</v>
      </c>
      <c r="F387">
        <f>COUNTIFS(data!D:D,data!$I$2,data!F:F,"&lt;"&amp;B387)</f>
        <v>276</v>
      </c>
      <c r="G387">
        <f t="shared" si="36"/>
        <v>0.17704011065006917</v>
      </c>
      <c r="H387">
        <f t="shared" si="37"/>
        <v>0.48314606741573035</v>
      </c>
      <c r="I387">
        <f t="shared" ref="I387:I450" si="41">(G387-G386)*(H387+H386)*0.5</f>
        <v>0</v>
      </c>
      <c r="J387">
        <f t="shared" si="38"/>
        <v>0.66839378238341973</v>
      </c>
      <c r="K387">
        <f t="shared" si="39"/>
        <v>0.5608695652173914</v>
      </c>
      <c r="L387">
        <f>A387*COUNTIF(data!D:D,data!$I$2)/data!$L$2</f>
        <v>163.98090692124106</v>
      </c>
      <c r="M387" s="1">
        <f>A387/data!$L$2</f>
        <v>0.30708035003977724</v>
      </c>
      <c r="N387">
        <f t="shared" si="40"/>
        <v>1.5733539034755777</v>
      </c>
    </row>
    <row r="388" spans="1:14" x14ac:dyDescent="0.2">
      <c r="A388">
        <v>387</v>
      </c>
      <c r="B388">
        <f>LARGE(data!F:F,A388)</f>
        <v>0.54589439009999996</v>
      </c>
      <c r="C388">
        <f>COUNTIFS(data!D:D,data!$I$2,data!F:F,"&gt;="&amp;B388)</f>
        <v>259</v>
      </c>
      <c r="D388">
        <f>COUNTIFS(data!D:D,data!$J$2,data!F:F,"&gt;="&amp;B388)</f>
        <v>128</v>
      </c>
      <c r="E388">
        <f>COUNTIFS(data!D:D,data!$J$2,data!F:F,"&lt;"&amp;B388)</f>
        <v>595</v>
      </c>
      <c r="F388">
        <f>COUNTIFS(data!D:D,data!$I$2,data!F:F,"&lt;"&amp;B388)</f>
        <v>275</v>
      </c>
      <c r="G388">
        <f t="shared" si="36"/>
        <v>0.17704011065006917</v>
      </c>
      <c r="H388">
        <f t="shared" si="37"/>
        <v>0.48501872659176032</v>
      </c>
      <c r="I388">
        <f t="shared" si="41"/>
        <v>0</v>
      </c>
      <c r="J388">
        <f t="shared" si="38"/>
        <v>0.66925064599483208</v>
      </c>
      <c r="K388">
        <f t="shared" si="39"/>
        <v>0.56243213897937017</v>
      </c>
      <c r="L388">
        <f>A388*COUNTIF(data!D:D,data!$I$2)/data!$L$2</f>
        <v>164.40572792362769</v>
      </c>
      <c r="M388" s="1">
        <f>A388/data!$L$2</f>
        <v>0.30787589498806683</v>
      </c>
      <c r="N388">
        <f t="shared" si="40"/>
        <v>1.5753709026507563</v>
      </c>
    </row>
    <row r="389" spans="1:14" x14ac:dyDescent="0.2">
      <c r="A389">
        <v>388</v>
      </c>
      <c r="B389">
        <f>LARGE(data!F:F,A389)</f>
        <v>0.54579612089999996</v>
      </c>
      <c r="C389">
        <f>COUNTIFS(data!D:D,data!$I$2,data!F:F,"&gt;="&amp;B389)</f>
        <v>259</v>
      </c>
      <c r="D389">
        <f>COUNTIFS(data!D:D,data!$J$2,data!F:F,"&gt;="&amp;B389)</f>
        <v>129</v>
      </c>
      <c r="E389">
        <f>COUNTIFS(data!D:D,data!$J$2,data!F:F,"&lt;"&amp;B389)</f>
        <v>594</v>
      </c>
      <c r="F389">
        <f>COUNTIFS(data!D:D,data!$I$2,data!F:F,"&lt;"&amp;B389)</f>
        <v>275</v>
      </c>
      <c r="G389">
        <f t="shared" si="36"/>
        <v>0.17842323651452283</v>
      </c>
      <c r="H389">
        <f t="shared" si="37"/>
        <v>0.48501872659176032</v>
      </c>
      <c r="I389">
        <f t="shared" si="41"/>
        <v>6.7084194549344204E-4</v>
      </c>
      <c r="J389">
        <f t="shared" si="38"/>
        <v>0.66752577319587625</v>
      </c>
      <c r="K389">
        <f t="shared" si="39"/>
        <v>0.56182212581344892</v>
      </c>
      <c r="L389">
        <f>A389*COUNTIF(data!D:D,data!$I$2)/data!$L$2</f>
        <v>164.83054892601433</v>
      </c>
      <c r="M389" s="1">
        <f>A389/data!$L$2</f>
        <v>0.30867143993635643</v>
      </c>
      <c r="N389">
        <f t="shared" si="40"/>
        <v>1.5713106683655738</v>
      </c>
    </row>
    <row r="390" spans="1:14" x14ac:dyDescent="0.2">
      <c r="A390">
        <v>389</v>
      </c>
      <c r="B390">
        <f>LARGE(data!F:F,A390)</f>
        <v>0.54501273039999998</v>
      </c>
      <c r="C390">
        <f>COUNTIFS(data!D:D,data!$I$2,data!F:F,"&gt;="&amp;B390)</f>
        <v>259</v>
      </c>
      <c r="D390">
        <f>COUNTIFS(data!D:D,data!$J$2,data!F:F,"&gt;="&amp;B390)</f>
        <v>130</v>
      </c>
      <c r="E390">
        <f>COUNTIFS(data!D:D,data!$J$2,data!F:F,"&lt;"&amp;B390)</f>
        <v>593</v>
      </c>
      <c r="F390">
        <f>COUNTIFS(data!D:D,data!$I$2,data!F:F,"&lt;"&amp;B390)</f>
        <v>275</v>
      </c>
      <c r="G390">
        <f t="shared" si="36"/>
        <v>0.17980636237897649</v>
      </c>
      <c r="H390">
        <f t="shared" si="37"/>
        <v>0.48501872659176032</v>
      </c>
      <c r="I390">
        <f t="shared" si="41"/>
        <v>6.7084194549344204E-4</v>
      </c>
      <c r="J390">
        <f t="shared" si="38"/>
        <v>0.66580976863753216</v>
      </c>
      <c r="K390">
        <f t="shared" si="39"/>
        <v>0.56121343445287108</v>
      </c>
      <c r="L390">
        <f>A390*COUNTIF(data!D:D,data!$I$2)/data!$L$2</f>
        <v>165.25536992840097</v>
      </c>
      <c r="M390" s="1">
        <f>A390/data!$L$2</f>
        <v>0.30946698488464597</v>
      </c>
      <c r="N390">
        <f t="shared" si="40"/>
        <v>1.5672713093209323</v>
      </c>
    </row>
    <row r="391" spans="1:14" x14ac:dyDescent="0.2">
      <c r="A391">
        <v>390</v>
      </c>
      <c r="B391">
        <f>LARGE(data!F:F,A391)</f>
        <v>0.5449359909</v>
      </c>
      <c r="C391">
        <f>COUNTIFS(data!D:D,data!$I$2,data!F:F,"&gt;="&amp;B391)</f>
        <v>261</v>
      </c>
      <c r="D391">
        <f>COUNTIFS(data!D:D,data!$J$2,data!F:F,"&gt;="&amp;B391)</f>
        <v>130</v>
      </c>
      <c r="E391">
        <f>COUNTIFS(data!D:D,data!$J$2,data!F:F,"&lt;"&amp;B391)</f>
        <v>593</v>
      </c>
      <c r="F391">
        <f>COUNTIFS(data!D:D,data!$I$2,data!F:F,"&lt;"&amp;B391)</f>
        <v>273</v>
      </c>
      <c r="G391">
        <f t="shared" si="36"/>
        <v>0.17980636237897649</v>
      </c>
      <c r="H391">
        <f t="shared" si="37"/>
        <v>0.4887640449438202</v>
      </c>
      <c r="I391">
        <f t="shared" si="41"/>
        <v>0</v>
      </c>
      <c r="J391">
        <f t="shared" si="38"/>
        <v>0.6675191815856778</v>
      </c>
      <c r="K391">
        <f t="shared" si="39"/>
        <v>0.56432432432432433</v>
      </c>
      <c r="L391">
        <f>A391*COUNTIF(data!D:D,data!$I$2)/data!$L$2</f>
        <v>165.6801909307876</v>
      </c>
      <c r="M391" s="1">
        <f>A391/data!$L$2</f>
        <v>0.31026252983293556</v>
      </c>
      <c r="N391">
        <f t="shared" si="40"/>
        <v>1.5753241140881589</v>
      </c>
    </row>
    <row r="392" spans="1:14" x14ac:dyDescent="0.2">
      <c r="A392">
        <v>391</v>
      </c>
      <c r="B392">
        <f>LARGE(data!F:F,A392)</f>
        <v>0.5449359909</v>
      </c>
      <c r="C392">
        <f>COUNTIFS(data!D:D,data!$I$2,data!F:F,"&gt;="&amp;B392)</f>
        <v>261</v>
      </c>
      <c r="D392">
        <f>COUNTIFS(data!D:D,data!$J$2,data!F:F,"&gt;="&amp;B392)</f>
        <v>130</v>
      </c>
      <c r="E392">
        <f>COUNTIFS(data!D:D,data!$J$2,data!F:F,"&lt;"&amp;B392)</f>
        <v>593</v>
      </c>
      <c r="F392">
        <f>COUNTIFS(data!D:D,data!$I$2,data!F:F,"&lt;"&amp;B392)</f>
        <v>273</v>
      </c>
      <c r="G392">
        <f t="shared" si="36"/>
        <v>0.17980636237897649</v>
      </c>
      <c r="H392">
        <f t="shared" si="37"/>
        <v>0.4887640449438202</v>
      </c>
      <c r="I392">
        <f t="shared" si="41"/>
        <v>0</v>
      </c>
      <c r="J392">
        <f t="shared" si="38"/>
        <v>0.6675191815856778</v>
      </c>
      <c r="K392">
        <f t="shared" si="39"/>
        <v>0.56432432432432433</v>
      </c>
      <c r="L392">
        <f>A392*COUNTIF(data!D:D,data!$I$2)/data!$L$2</f>
        <v>166.10501193317421</v>
      </c>
      <c r="M392" s="1">
        <f>A392/data!$L$2</f>
        <v>0.31105807478122516</v>
      </c>
      <c r="N392">
        <f t="shared" si="40"/>
        <v>1.5712951521595449</v>
      </c>
    </row>
    <row r="393" spans="1:14" x14ac:dyDescent="0.2">
      <c r="A393">
        <v>392</v>
      </c>
      <c r="B393">
        <f>LARGE(data!F:F,A393)</f>
        <v>0.54405083320000003</v>
      </c>
      <c r="C393">
        <f>COUNTIFS(data!D:D,data!$I$2,data!F:F,"&gt;="&amp;B393)</f>
        <v>261</v>
      </c>
      <c r="D393">
        <f>COUNTIFS(data!D:D,data!$J$2,data!F:F,"&gt;="&amp;B393)</f>
        <v>131</v>
      </c>
      <c r="E393">
        <f>COUNTIFS(data!D:D,data!$J$2,data!F:F,"&lt;"&amp;B393)</f>
        <v>592</v>
      </c>
      <c r="F393">
        <f>COUNTIFS(data!D:D,data!$I$2,data!F:F,"&lt;"&amp;B393)</f>
        <v>273</v>
      </c>
      <c r="G393">
        <f t="shared" si="36"/>
        <v>0.18118948824343015</v>
      </c>
      <c r="H393">
        <f t="shared" si="37"/>
        <v>0.4887640449438202</v>
      </c>
      <c r="I393">
        <f t="shared" si="41"/>
        <v>6.7602219217678899E-4</v>
      </c>
      <c r="J393">
        <f t="shared" si="38"/>
        <v>0.66581632653061229</v>
      </c>
      <c r="K393">
        <f t="shared" si="39"/>
        <v>0.56371490280777536</v>
      </c>
      <c r="L393">
        <f>A393*COUNTIF(data!D:D,data!$I$2)/data!$L$2</f>
        <v>166.52983293556085</v>
      </c>
      <c r="M393" s="1">
        <f>A393/data!$L$2</f>
        <v>0.3118536197295147</v>
      </c>
      <c r="N393">
        <f t="shared" si="40"/>
        <v>1.567286746159138</v>
      </c>
    </row>
    <row r="394" spans="1:14" x14ac:dyDescent="0.2">
      <c r="A394">
        <v>393</v>
      </c>
      <c r="B394">
        <f>LARGE(data!F:F,A394)</f>
        <v>0.54381980819999998</v>
      </c>
      <c r="C394">
        <f>COUNTIFS(data!D:D,data!$I$2,data!F:F,"&gt;="&amp;B394)</f>
        <v>262</v>
      </c>
      <c r="D394">
        <f>COUNTIFS(data!D:D,data!$J$2,data!F:F,"&gt;="&amp;B394)</f>
        <v>131</v>
      </c>
      <c r="E394">
        <f>COUNTIFS(data!D:D,data!$J$2,data!F:F,"&lt;"&amp;B394)</f>
        <v>592</v>
      </c>
      <c r="F394">
        <f>COUNTIFS(data!D:D,data!$I$2,data!F:F,"&lt;"&amp;B394)</f>
        <v>272</v>
      </c>
      <c r="G394">
        <f t="shared" si="36"/>
        <v>0.18118948824343015</v>
      </c>
      <c r="H394">
        <f t="shared" si="37"/>
        <v>0.49063670411985016</v>
      </c>
      <c r="I394">
        <f t="shared" si="41"/>
        <v>0</v>
      </c>
      <c r="J394">
        <f t="shared" si="38"/>
        <v>0.66666666666666663</v>
      </c>
      <c r="K394">
        <f t="shared" si="39"/>
        <v>0.56526429341963325</v>
      </c>
      <c r="L394">
        <f>A394*COUNTIF(data!D:D,data!$I$2)/data!$L$2</f>
        <v>166.95465393794748</v>
      </c>
      <c r="M394" s="1">
        <f>A394/data!$L$2</f>
        <v>0.31264916467780429</v>
      </c>
      <c r="N394">
        <f t="shared" si="40"/>
        <v>1.5692883895131087</v>
      </c>
    </row>
    <row r="395" spans="1:14" x14ac:dyDescent="0.2">
      <c r="A395">
        <v>394</v>
      </c>
      <c r="B395">
        <f>LARGE(data!F:F,A395)</f>
        <v>0.54338590040000001</v>
      </c>
      <c r="C395">
        <f>COUNTIFS(data!D:D,data!$I$2,data!F:F,"&gt;="&amp;B395)</f>
        <v>262</v>
      </c>
      <c r="D395">
        <f>COUNTIFS(data!D:D,data!$J$2,data!F:F,"&gt;="&amp;B395)</f>
        <v>132</v>
      </c>
      <c r="E395">
        <f>COUNTIFS(data!D:D,data!$J$2,data!F:F,"&lt;"&amp;B395)</f>
        <v>591</v>
      </c>
      <c r="F395">
        <f>COUNTIFS(data!D:D,data!$I$2,data!F:F,"&lt;"&amp;B395)</f>
        <v>272</v>
      </c>
      <c r="G395">
        <f t="shared" si="36"/>
        <v>0.18257261410788381</v>
      </c>
      <c r="H395">
        <f t="shared" si="37"/>
        <v>0.49063670411985016</v>
      </c>
      <c r="I395">
        <f t="shared" si="41"/>
        <v>6.7861231551846258E-4</v>
      </c>
      <c r="J395">
        <f t="shared" si="38"/>
        <v>0.6649746192893401</v>
      </c>
      <c r="K395">
        <f t="shared" si="39"/>
        <v>0.56465517241379304</v>
      </c>
      <c r="L395">
        <f>A395*COUNTIF(data!D:D,data!$I$2)/data!$L$2</f>
        <v>167.37947494033412</v>
      </c>
      <c r="M395" s="1">
        <f>A395/data!$L$2</f>
        <v>0.31344470962609389</v>
      </c>
      <c r="N395">
        <f t="shared" si="40"/>
        <v>1.5653054240574917</v>
      </c>
    </row>
    <row r="396" spans="1:14" x14ac:dyDescent="0.2">
      <c r="A396">
        <v>395</v>
      </c>
      <c r="B396">
        <f>LARGE(data!F:F,A396)</f>
        <v>0.5425528489</v>
      </c>
      <c r="C396">
        <f>COUNTIFS(data!D:D,data!$I$2,data!F:F,"&gt;="&amp;B396)</f>
        <v>263</v>
      </c>
      <c r="D396">
        <f>COUNTIFS(data!D:D,data!$J$2,data!F:F,"&gt;="&amp;B396)</f>
        <v>132</v>
      </c>
      <c r="E396">
        <f>COUNTIFS(data!D:D,data!$J$2,data!F:F,"&lt;"&amp;B396)</f>
        <v>591</v>
      </c>
      <c r="F396">
        <f>COUNTIFS(data!D:D,data!$I$2,data!F:F,"&lt;"&amp;B396)</f>
        <v>271</v>
      </c>
      <c r="G396">
        <f t="shared" si="36"/>
        <v>0.18257261410788381</v>
      </c>
      <c r="H396">
        <f t="shared" si="37"/>
        <v>0.49250936329588013</v>
      </c>
      <c r="I396">
        <f t="shared" si="41"/>
        <v>0</v>
      </c>
      <c r="J396">
        <f t="shared" si="38"/>
        <v>0.66582278481012658</v>
      </c>
      <c r="K396">
        <f t="shared" si="39"/>
        <v>0.56620021528525299</v>
      </c>
      <c r="L396">
        <f>A396*COUNTIF(data!D:D,data!$I$2)/data!$L$2</f>
        <v>167.80429594272076</v>
      </c>
      <c r="M396" s="1">
        <f>A396/data!$L$2</f>
        <v>0.31424025457438343</v>
      </c>
      <c r="N396">
        <f t="shared" si="40"/>
        <v>1.567301948513725</v>
      </c>
    </row>
    <row r="397" spans="1:14" x14ac:dyDescent="0.2">
      <c r="A397">
        <v>396</v>
      </c>
      <c r="B397">
        <f>LARGE(data!F:F,A397)</f>
        <v>0.5423501731</v>
      </c>
      <c r="C397">
        <f>COUNTIFS(data!D:D,data!$I$2,data!F:F,"&gt;="&amp;B397)</f>
        <v>264</v>
      </c>
      <c r="D397">
        <f>COUNTIFS(data!D:D,data!$J$2,data!F:F,"&gt;="&amp;B397)</f>
        <v>132</v>
      </c>
      <c r="E397">
        <f>COUNTIFS(data!D:D,data!$J$2,data!F:F,"&lt;"&amp;B397)</f>
        <v>591</v>
      </c>
      <c r="F397">
        <f>COUNTIFS(data!D:D,data!$I$2,data!F:F,"&lt;"&amp;B397)</f>
        <v>270</v>
      </c>
      <c r="G397">
        <f t="shared" si="36"/>
        <v>0.18257261410788381</v>
      </c>
      <c r="H397">
        <f t="shared" si="37"/>
        <v>0.4943820224719101</v>
      </c>
      <c r="I397">
        <f t="shared" si="41"/>
        <v>0</v>
      </c>
      <c r="J397">
        <f t="shared" si="38"/>
        <v>0.66666666666666663</v>
      </c>
      <c r="K397">
        <f t="shared" si="39"/>
        <v>0.56774193548387097</v>
      </c>
      <c r="L397">
        <f>A397*COUNTIF(data!D:D,data!$I$2)/data!$L$2</f>
        <v>168.22911694510739</v>
      </c>
      <c r="M397" s="1">
        <f>A397/data!$L$2</f>
        <v>0.31503579952267302</v>
      </c>
      <c r="N397">
        <f t="shared" si="40"/>
        <v>1.5692883895131087</v>
      </c>
    </row>
    <row r="398" spans="1:14" x14ac:dyDescent="0.2">
      <c r="A398">
        <v>397</v>
      </c>
      <c r="B398">
        <f>LARGE(data!F:F,A398)</f>
        <v>0.54233407499999997</v>
      </c>
      <c r="C398">
        <f>COUNTIFS(data!D:D,data!$I$2,data!F:F,"&gt;="&amp;B398)</f>
        <v>264</v>
      </c>
      <c r="D398">
        <f>COUNTIFS(data!D:D,data!$J$2,data!F:F,"&gt;="&amp;B398)</f>
        <v>133</v>
      </c>
      <c r="E398">
        <f>COUNTIFS(data!D:D,data!$J$2,data!F:F,"&lt;"&amp;B398)</f>
        <v>590</v>
      </c>
      <c r="F398">
        <f>COUNTIFS(data!D:D,data!$I$2,data!F:F,"&lt;"&amp;B398)</f>
        <v>270</v>
      </c>
      <c r="G398">
        <f t="shared" si="36"/>
        <v>0.1839557399723375</v>
      </c>
      <c r="H398">
        <f t="shared" si="37"/>
        <v>0.4943820224719101</v>
      </c>
      <c r="I398">
        <f t="shared" si="41"/>
        <v>6.8379256220182331E-4</v>
      </c>
      <c r="J398">
        <f t="shared" si="38"/>
        <v>0.66498740554156166</v>
      </c>
      <c r="K398">
        <f t="shared" si="39"/>
        <v>0.56713211600429647</v>
      </c>
      <c r="L398">
        <f>A398*COUNTIF(data!D:D,data!$I$2)/data!$L$2</f>
        <v>168.65393794749403</v>
      </c>
      <c r="M398" s="1">
        <f>A398/data!$L$2</f>
        <v>0.31583134447096262</v>
      </c>
      <c r="N398">
        <f t="shared" si="40"/>
        <v>1.5653355220332268</v>
      </c>
    </row>
    <row r="399" spans="1:14" x14ac:dyDescent="0.2">
      <c r="A399">
        <v>398</v>
      </c>
      <c r="B399">
        <f>LARGE(data!F:F,A399)</f>
        <v>0.54225384769999996</v>
      </c>
      <c r="C399">
        <f>COUNTIFS(data!D:D,data!$I$2,data!F:F,"&gt;="&amp;B399)</f>
        <v>265</v>
      </c>
      <c r="D399">
        <f>COUNTIFS(data!D:D,data!$J$2,data!F:F,"&gt;="&amp;B399)</f>
        <v>133</v>
      </c>
      <c r="E399">
        <f>COUNTIFS(data!D:D,data!$J$2,data!F:F,"&lt;"&amp;B399)</f>
        <v>590</v>
      </c>
      <c r="F399">
        <f>COUNTIFS(data!D:D,data!$I$2,data!F:F,"&lt;"&amp;B399)</f>
        <v>269</v>
      </c>
      <c r="G399">
        <f t="shared" si="36"/>
        <v>0.1839557399723375</v>
      </c>
      <c r="H399">
        <f t="shared" si="37"/>
        <v>0.49625468164794007</v>
      </c>
      <c r="I399">
        <f t="shared" si="41"/>
        <v>0</v>
      </c>
      <c r="J399">
        <f t="shared" si="38"/>
        <v>0.66582914572864327</v>
      </c>
      <c r="K399">
        <f t="shared" si="39"/>
        <v>0.56866952789699576</v>
      </c>
      <c r="L399">
        <f>A399*COUNTIF(data!D:D,data!$I$2)/data!$L$2</f>
        <v>169.07875894988067</v>
      </c>
      <c r="M399" s="1">
        <f>A399/data!$L$2</f>
        <v>0.31662688941925221</v>
      </c>
      <c r="N399">
        <f t="shared" si="40"/>
        <v>1.5673169216870872</v>
      </c>
    </row>
    <row r="400" spans="1:14" x14ac:dyDescent="0.2">
      <c r="A400">
        <v>399</v>
      </c>
      <c r="B400">
        <f>LARGE(data!F:F,A400)</f>
        <v>0.5406601593</v>
      </c>
      <c r="C400">
        <f>COUNTIFS(data!D:D,data!$I$2,data!F:F,"&gt;="&amp;B400)</f>
        <v>265</v>
      </c>
      <c r="D400">
        <f>COUNTIFS(data!D:D,data!$J$2,data!F:F,"&gt;="&amp;B400)</f>
        <v>134</v>
      </c>
      <c r="E400">
        <f>COUNTIFS(data!D:D,data!$J$2,data!F:F,"&lt;"&amp;B400)</f>
        <v>589</v>
      </c>
      <c r="F400">
        <f>COUNTIFS(data!D:D,data!$I$2,data!F:F,"&lt;"&amp;B400)</f>
        <v>269</v>
      </c>
      <c r="G400">
        <f t="shared" si="36"/>
        <v>0.18533886583679116</v>
      </c>
      <c r="H400">
        <f t="shared" si="37"/>
        <v>0.49625468164794007</v>
      </c>
      <c r="I400">
        <f t="shared" si="41"/>
        <v>6.8638268554348312E-4</v>
      </c>
      <c r="J400">
        <f t="shared" si="38"/>
        <v>0.66416040100250628</v>
      </c>
      <c r="K400">
        <f t="shared" si="39"/>
        <v>0.56806002143622714</v>
      </c>
      <c r="L400">
        <f>A400*COUNTIF(data!D:D,data!$I$2)/data!$L$2</f>
        <v>169.5035799522673</v>
      </c>
      <c r="M400" s="1">
        <f>A400/data!$L$2</f>
        <v>0.31742243436754175</v>
      </c>
      <c r="N400">
        <f t="shared" si="40"/>
        <v>1.5633888091014052</v>
      </c>
    </row>
    <row r="401" spans="1:14" x14ac:dyDescent="0.2">
      <c r="A401">
        <v>400</v>
      </c>
      <c r="B401">
        <f>LARGE(data!F:F,A401)</f>
        <v>0.53888207519999998</v>
      </c>
      <c r="C401">
        <f>COUNTIFS(data!D:D,data!$I$2,data!F:F,"&gt;="&amp;B401)</f>
        <v>266</v>
      </c>
      <c r="D401">
        <f>COUNTIFS(data!D:D,data!$J$2,data!F:F,"&gt;="&amp;B401)</f>
        <v>134</v>
      </c>
      <c r="E401">
        <f>COUNTIFS(data!D:D,data!$J$2,data!F:F,"&lt;"&amp;B401)</f>
        <v>589</v>
      </c>
      <c r="F401">
        <f>COUNTIFS(data!D:D,data!$I$2,data!F:F,"&lt;"&amp;B401)</f>
        <v>268</v>
      </c>
      <c r="G401">
        <f t="shared" si="36"/>
        <v>0.18533886583679116</v>
      </c>
      <c r="H401">
        <f t="shared" si="37"/>
        <v>0.49812734082397003</v>
      </c>
      <c r="I401">
        <f t="shared" si="41"/>
        <v>0</v>
      </c>
      <c r="J401">
        <f t="shared" si="38"/>
        <v>0.66500000000000004</v>
      </c>
      <c r="K401">
        <f t="shared" si="39"/>
        <v>0.56959314775160597</v>
      </c>
      <c r="L401">
        <f>A401*COUNTIF(data!D:D,data!$I$2)/data!$L$2</f>
        <v>169.92840095465394</v>
      </c>
      <c r="M401" s="1">
        <f>A401/data!$L$2</f>
        <v>0.31821797931583135</v>
      </c>
      <c r="N401">
        <f t="shared" si="40"/>
        <v>1.5653651685393259</v>
      </c>
    </row>
    <row r="402" spans="1:14" x14ac:dyDescent="0.2">
      <c r="A402">
        <v>401</v>
      </c>
      <c r="B402">
        <f>LARGE(data!F:F,A402)</f>
        <v>0.53876296950000002</v>
      </c>
      <c r="C402">
        <f>COUNTIFS(data!D:D,data!$I$2,data!F:F,"&gt;="&amp;B402)</f>
        <v>266</v>
      </c>
      <c r="D402">
        <f>COUNTIFS(data!D:D,data!$J$2,data!F:F,"&gt;="&amp;B402)</f>
        <v>135</v>
      </c>
      <c r="E402">
        <f>COUNTIFS(data!D:D,data!$J$2,data!F:F,"&lt;"&amp;B402)</f>
        <v>588</v>
      </c>
      <c r="F402">
        <f>COUNTIFS(data!D:D,data!$I$2,data!F:F,"&lt;"&amp;B402)</f>
        <v>268</v>
      </c>
      <c r="G402">
        <f t="shared" si="36"/>
        <v>0.18672199170124482</v>
      </c>
      <c r="H402">
        <f t="shared" si="37"/>
        <v>0.49812734082397003</v>
      </c>
      <c r="I402">
        <f t="shared" si="41"/>
        <v>6.8897280888515671E-4</v>
      </c>
      <c r="J402">
        <f t="shared" si="38"/>
        <v>0.66334164588528677</v>
      </c>
      <c r="K402">
        <f t="shared" si="39"/>
        <v>0.56898395721925132</v>
      </c>
      <c r="L402">
        <f>A402*COUNTIF(data!D:D,data!$I$2)/data!$L$2</f>
        <v>170.35322195704057</v>
      </c>
      <c r="M402" s="1">
        <f>A402/data!$L$2</f>
        <v>0.31901352426412094</v>
      </c>
      <c r="N402">
        <f t="shared" si="40"/>
        <v>1.5614615147524447</v>
      </c>
    </row>
    <row r="403" spans="1:14" x14ac:dyDescent="0.2">
      <c r="A403">
        <v>402</v>
      </c>
      <c r="B403">
        <f>LARGE(data!F:F,A403)</f>
        <v>0.5385838328</v>
      </c>
      <c r="C403">
        <f>COUNTIFS(data!D:D,data!$I$2,data!F:F,"&gt;="&amp;B403)</f>
        <v>266</v>
      </c>
      <c r="D403">
        <f>COUNTIFS(data!D:D,data!$J$2,data!F:F,"&gt;="&amp;B403)</f>
        <v>136</v>
      </c>
      <c r="E403">
        <f>COUNTIFS(data!D:D,data!$J$2,data!F:F,"&lt;"&amp;B403)</f>
        <v>587</v>
      </c>
      <c r="F403">
        <f>COUNTIFS(data!D:D,data!$I$2,data!F:F,"&lt;"&amp;B403)</f>
        <v>268</v>
      </c>
      <c r="G403">
        <f t="shared" si="36"/>
        <v>0.18810511756569848</v>
      </c>
      <c r="H403">
        <f t="shared" si="37"/>
        <v>0.49812734082397003</v>
      </c>
      <c r="I403">
        <f t="shared" si="41"/>
        <v>6.8897280888515671E-4</v>
      </c>
      <c r="J403">
        <f t="shared" si="38"/>
        <v>0.6616915422885572</v>
      </c>
      <c r="K403">
        <f t="shared" si="39"/>
        <v>0.56837606837606847</v>
      </c>
      <c r="L403">
        <f>A403*COUNTIF(data!D:D,data!$I$2)/data!$L$2</f>
        <v>170.77804295942721</v>
      </c>
      <c r="M403" s="1">
        <f>A403/data!$L$2</f>
        <v>0.31980906921241048</v>
      </c>
      <c r="N403">
        <f t="shared" si="40"/>
        <v>1.5575772821286824</v>
      </c>
    </row>
    <row r="404" spans="1:14" x14ac:dyDescent="0.2">
      <c r="A404">
        <v>403</v>
      </c>
      <c r="B404">
        <f>LARGE(data!F:F,A404)</f>
        <v>0.53794478499999998</v>
      </c>
      <c r="C404">
        <f>COUNTIFS(data!D:D,data!$I$2,data!F:F,"&gt;="&amp;B404)</f>
        <v>266</v>
      </c>
      <c r="D404">
        <f>COUNTIFS(data!D:D,data!$J$2,data!F:F,"&gt;="&amp;B404)</f>
        <v>137</v>
      </c>
      <c r="E404">
        <f>COUNTIFS(data!D:D,data!$J$2,data!F:F,"&lt;"&amp;B404)</f>
        <v>586</v>
      </c>
      <c r="F404">
        <f>COUNTIFS(data!D:D,data!$I$2,data!F:F,"&lt;"&amp;B404)</f>
        <v>268</v>
      </c>
      <c r="G404">
        <f t="shared" si="36"/>
        <v>0.18948824343015214</v>
      </c>
      <c r="H404">
        <f t="shared" si="37"/>
        <v>0.49812734082397003</v>
      </c>
      <c r="I404">
        <f t="shared" si="41"/>
        <v>6.8897280888515671E-4</v>
      </c>
      <c r="J404">
        <f t="shared" si="38"/>
        <v>0.66004962779156329</v>
      </c>
      <c r="K404">
        <f t="shared" si="39"/>
        <v>0.56776947705442915</v>
      </c>
      <c r="L404">
        <f>A404*COUNTIF(data!D:D,data!$I$2)/data!$L$2</f>
        <v>171.20286396181385</v>
      </c>
      <c r="M404" s="1">
        <f>A404/data!$L$2</f>
        <v>0.32060461416070007</v>
      </c>
      <c r="N404">
        <f t="shared" si="40"/>
        <v>1.5537123260936236</v>
      </c>
    </row>
    <row r="405" spans="1:14" x14ac:dyDescent="0.2">
      <c r="A405">
        <v>404</v>
      </c>
      <c r="B405">
        <f>LARGE(data!F:F,A405)</f>
        <v>0.53788074220000004</v>
      </c>
      <c r="C405">
        <f>COUNTIFS(data!D:D,data!$I$2,data!F:F,"&gt;="&amp;B405)</f>
        <v>266</v>
      </c>
      <c r="D405">
        <f>COUNTIFS(data!D:D,data!$J$2,data!F:F,"&gt;="&amp;B405)</f>
        <v>138</v>
      </c>
      <c r="E405">
        <f>COUNTIFS(data!D:D,data!$J$2,data!F:F,"&lt;"&amp;B405)</f>
        <v>585</v>
      </c>
      <c r="F405">
        <f>COUNTIFS(data!D:D,data!$I$2,data!F:F,"&lt;"&amp;B405)</f>
        <v>268</v>
      </c>
      <c r="G405">
        <f t="shared" si="36"/>
        <v>0.1908713692946058</v>
      </c>
      <c r="H405">
        <f t="shared" si="37"/>
        <v>0.49812734082397003</v>
      </c>
      <c r="I405">
        <f t="shared" si="41"/>
        <v>6.8897280888515671E-4</v>
      </c>
      <c r="J405">
        <f t="shared" si="38"/>
        <v>0.65841584158415845</v>
      </c>
      <c r="K405">
        <f t="shared" si="39"/>
        <v>0.56716417910447758</v>
      </c>
      <c r="L405">
        <f>A405*COUNTIF(data!D:D,data!$I$2)/data!$L$2</f>
        <v>171.62768496420048</v>
      </c>
      <c r="M405" s="1">
        <f>A405/data!$L$2</f>
        <v>0.32140015910898967</v>
      </c>
      <c r="N405">
        <f t="shared" si="40"/>
        <v>1.5498665035042829</v>
      </c>
    </row>
    <row r="406" spans="1:14" x14ac:dyDescent="0.2">
      <c r="A406">
        <v>405</v>
      </c>
      <c r="B406">
        <f>LARGE(data!F:F,A406)</f>
        <v>0.53497689920000002</v>
      </c>
      <c r="C406">
        <f>COUNTIFS(data!D:D,data!$I$2,data!F:F,"&gt;="&amp;B406)</f>
        <v>268</v>
      </c>
      <c r="D406">
        <f>COUNTIFS(data!D:D,data!$J$2,data!F:F,"&gt;="&amp;B406)</f>
        <v>139</v>
      </c>
      <c r="E406">
        <f>COUNTIFS(data!D:D,data!$J$2,data!F:F,"&lt;"&amp;B406)</f>
        <v>584</v>
      </c>
      <c r="F406">
        <f>COUNTIFS(data!D:D,data!$I$2,data!F:F,"&lt;"&amp;B406)</f>
        <v>266</v>
      </c>
      <c r="G406">
        <f t="shared" si="36"/>
        <v>0.19225449515905949</v>
      </c>
      <c r="H406">
        <f t="shared" si="37"/>
        <v>0.50187265917602997</v>
      </c>
      <c r="I406">
        <f t="shared" si="41"/>
        <v>6.9156293222684406E-4</v>
      </c>
      <c r="J406">
        <f t="shared" si="38"/>
        <v>0.65847665847665848</v>
      </c>
      <c r="K406">
        <f t="shared" si="39"/>
        <v>0.56960680127523911</v>
      </c>
      <c r="L406">
        <f>A406*COUNTIF(data!D:D,data!$I$2)/data!$L$2</f>
        <v>172.05250596658712</v>
      </c>
      <c r="M406" s="1">
        <f>A406/data!$L$2</f>
        <v>0.32219570405727921</v>
      </c>
      <c r="N406">
        <f t="shared" si="40"/>
        <v>1.5576640310722707</v>
      </c>
    </row>
    <row r="407" spans="1:14" x14ac:dyDescent="0.2">
      <c r="A407">
        <v>406</v>
      </c>
      <c r="B407">
        <f>LARGE(data!F:F,A407)</f>
        <v>0.53497689920000002</v>
      </c>
      <c r="C407">
        <f>COUNTIFS(data!D:D,data!$I$2,data!F:F,"&gt;="&amp;B407)</f>
        <v>268</v>
      </c>
      <c r="D407">
        <f>COUNTIFS(data!D:D,data!$J$2,data!F:F,"&gt;="&amp;B407)</f>
        <v>139</v>
      </c>
      <c r="E407">
        <f>COUNTIFS(data!D:D,data!$J$2,data!F:F,"&lt;"&amp;B407)</f>
        <v>584</v>
      </c>
      <c r="F407">
        <f>COUNTIFS(data!D:D,data!$I$2,data!F:F,"&lt;"&amp;B407)</f>
        <v>266</v>
      </c>
      <c r="G407">
        <f t="shared" si="36"/>
        <v>0.19225449515905949</v>
      </c>
      <c r="H407">
        <f t="shared" si="37"/>
        <v>0.50187265917602997</v>
      </c>
      <c r="I407">
        <f t="shared" si="41"/>
        <v>0</v>
      </c>
      <c r="J407">
        <f t="shared" si="38"/>
        <v>0.65847665847665848</v>
      </c>
      <c r="K407">
        <f t="shared" si="39"/>
        <v>0.56960680127523911</v>
      </c>
      <c r="L407">
        <f>A407*COUNTIF(data!D:D,data!$I$2)/data!$L$2</f>
        <v>172.47732696897376</v>
      </c>
      <c r="M407" s="1">
        <f>A407/data!$L$2</f>
        <v>0.3229912490055688</v>
      </c>
      <c r="N407">
        <f t="shared" si="40"/>
        <v>1.5538274201582996</v>
      </c>
    </row>
    <row r="408" spans="1:14" x14ac:dyDescent="0.2">
      <c r="A408">
        <v>407</v>
      </c>
      <c r="B408">
        <f>LARGE(data!F:F,A408)</f>
        <v>0.53497689920000002</v>
      </c>
      <c r="C408">
        <f>COUNTIFS(data!D:D,data!$I$2,data!F:F,"&gt;="&amp;B408)</f>
        <v>268</v>
      </c>
      <c r="D408">
        <f>COUNTIFS(data!D:D,data!$J$2,data!F:F,"&gt;="&amp;B408)</f>
        <v>139</v>
      </c>
      <c r="E408">
        <f>COUNTIFS(data!D:D,data!$J$2,data!F:F,"&lt;"&amp;B408)</f>
        <v>584</v>
      </c>
      <c r="F408">
        <f>COUNTIFS(data!D:D,data!$I$2,data!F:F,"&lt;"&amp;B408)</f>
        <v>266</v>
      </c>
      <c r="G408">
        <f t="shared" si="36"/>
        <v>0.19225449515905949</v>
      </c>
      <c r="H408">
        <f t="shared" si="37"/>
        <v>0.50187265917602997</v>
      </c>
      <c r="I408">
        <f t="shared" si="41"/>
        <v>0</v>
      </c>
      <c r="J408">
        <f t="shared" si="38"/>
        <v>0.65847665847665848</v>
      </c>
      <c r="K408">
        <f t="shared" si="39"/>
        <v>0.56960680127523911</v>
      </c>
      <c r="L408">
        <f>A408*COUNTIF(data!D:D,data!$I$2)/data!$L$2</f>
        <v>172.90214797136039</v>
      </c>
      <c r="M408" s="1">
        <f>A408/data!$L$2</f>
        <v>0.3237867939538584</v>
      </c>
      <c r="N408">
        <f t="shared" si="40"/>
        <v>1.5500096623692128</v>
      </c>
    </row>
    <row r="409" spans="1:14" x14ac:dyDescent="0.2">
      <c r="A409">
        <v>408</v>
      </c>
      <c r="B409">
        <f>LARGE(data!F:F,A409)</f>
        <v>0.53472723919999998</v>
      </c>
      <c r="C409">
        <f>COUNTIFS(data!D:D,data!$I$2,data!F:F,"&gt;="&amp;B409)</f>
        <v>269</v>
      </c>
      <c r="D409">
        <f>COUNTIFS(data!D:D,data!$J$2,data!F:F,"&gt;="&amp;B409)</f>
        <v>139</v>
      </c>
      <c r="E409">
        <f>COUNTIFS(data!D:D,data!$J$2,data!F:F,"&lt;"&amp;B409)</f>
        <v>584</v>
      </c>
      <c r="F409">
        <f>COUNTIFS(data!D:D,data!$I$2,data!F:F,"&lt;"&amp;B409)</f>
        <v>265</v>
      </c>
      <c r="G409">
        <f t="shared" si="36"/>
        <v>0.19225449515905949</v>
      </c>
      <c r="H409">
        <f t="shared" si="37"/>
        <v>0.50374531835205993</v>
      </c>
      <c r="I409">
        <f t="shared" si="41"/>
        <v>0</v>
      </c>
      <c r="J409">
        <f t="shared" si="38"/>
        <v>0.65931372549019607</v>
      </c>
      <c r="K409">
        <f t="shared" si="39"/>
        <v>0.5711252653927813</v>
      </c>
      <c r="L409">
        <f>A409*COUNTIF(data!D:D,data!$I$2)/data!$L$2</f>
        <v>173.32696897374703</v>
      </c>
      <c r="M409" s="1">
        <f>A409/data!$L$2</f>
        <v>0.32458233890214799</v>
      </c>
      <c r="N409">
        <f t="shared" si="40"/>
        <v>1.5519800616875963</v>
      </c>
    </row>
    <row r="410" spans="1:14" x14ac:dyDescent="0.2">
      <c r="A410">
        <v>409</v>
      </c>
      <c r="B410">
        <f>LARGE(data!F:F,A410)</f>
        <v>0.53333375019999996</v>
      </c>
      <c r="C410">
        <f>COUNTIFS(data!D:D,data!$I$2,data!F:F,"&gt;="&amp;B410)</f>
        <v>270</v>
      </c>
      <c r="D410">
        <f>COUNTIFS(data!D:D,data!$J$2,data!F:F,"&gt;="&amp;B410)</f>
        <v>139</v>
      </c>
      <c r="E410">
        <f>COUNTIFS(data!D:D,data!$J$2,data!F:F,"&lt;"&amp;B410)</f>
        <v>584</v>
      </c>
      <c r="F410">
        <f>COUNTIFS(data!D:D,data!$I$2,data!F:F,"&lt;"&amp;B410)</f>
        <v>264</v>
      </c>
      <c r="G410">
        <f t="shared" si="36"/>
        <v>0.19225449515905949</v>
      </c>
      <c r="H410">
        <f t="shared" si="37"/>
        <v>0.5056179775280899</v>
      </c>
      <c r="I410">
        <f t="shared" si="41"/>
        <v>0</v>
      </c>
      <c r="J410">
        <f t="shared" si="38"/>
        <v>0.66014669926650371</v>
      </c>
      <c r="K410">
        <f t="shared" si="39"/>
        <v>0.57264050901378583</v>
      </c>
      <c r="L410">
        <f>A410*COUNTIF(data!D:D,data!$I$2)/data!$L$2</f>
        <v>173.75178997613367</v>
      </c>
      <c r="M410" s="1">
        <f>A410/data!$L$2</f>
        <v>0.32537788385043753</v>
      </c>
      <c r="N410">
        <f t="shared" si="40"/>
        <v>1.5539408258014888</v>
      </c>
    </row>
    <row r="411" spans="1:14" x14ac:dyDescent="0.2">
      <c r="A411">
        <v>410</v>
      </c>
      <c r="B411">
        <f>LARGE(data!F:F,A411)</f>
        <v>0.53308487790000003</v>
      </c>
      <c r="C411">
        <f>COUNTIFS(data!D:D,data!$I$2,data!F:F,"&gt;="&amp;B411)</f>
        <v>270</v>
      </c>
      <c r="D411">
        <f>COUNTIFS(data!D:D,data!$J$2,data!F:F,"&gt;="&amp;B411)</f>
        <v>140</v>
      </c>
      <c r="E411">
        <f>COUNTIFS(data!D:D,data!$J$2,data!F:F,"&lt;"&amp;B411)</f>
        <v>583</v>
      </c>
      <c r="F411">
        <f>COUNTIFS(data!D:D,data!$I$2,data!F:F,"&lt;"&amp;B411)</f>
        <v>264</v>
      </c>
      <c r="G411">
        <f t="shared" si="36"/>
        <v>0.19363762102351315</v>
      </c>
      <c r="H411">
        <f t="shared" si="37"/>
        <v>0.5056179775280899</v>
      </c>
      <c r="I411">
        <f t="shared" si="41"/>
        <v>6.9933330225185073E-4</v>
      </c>
      <c r="J411">
        <f t="shared" si="38"/>
        <v>0.65853658536585369</v>
      </c>
      <c r="K411">
        <f t="shared" si="39"/>
        <v>0.57203389830508478</v>
      </c>
      <c r="L411">
        <f>A411*COUNTIF(data!D:D,data!$I$2)/data!$L$2</f>
        <v>174.17661097852027</v>
      </c>
      <c r="M411" s="1">
        <f>A411/data!$L$2</f>
        <v>0.32617342879872713</v>
      </c>
      <c r="N411">
        <f t="shared" si="40"/>
        <v>1.5501507262263634</v>
      </c>
    </row>
    <row r="412" spans="1:14" x14ac:dyDescent="0.2">
      <c r="A412">
        <v>411</v>
      </c>
      <c r="B412">
        <f>LARGE(data!F:F,A412)</f>
        <v>0.53219516619999996</v>
      </c>
      <c r="C412">
        <f>COUNTIFS(data!D:D,data!$I$2,data!F:F,"&gt;="&amp;B412)</f>
        <v>270</v>
      </c>
      <c r="D412">
        <f>COUNTIFS(data!D:D,data!$J$2,data!F:F,"&gt;="&amp;B412)</f>
        <v>141</v>
      </c>
      <c r="E412">
        <f>COUNTIFS(data!D:D,data!$J$2,data!F:F,"&lt;"&amp;B412)</f>
        <v>582</v>
      </c>
      <c r="F412">
        <f>COUNTIFS(data!D:D,data!$I$2,data!F:F,"&lt;"&amp;B412)</f>
        <v>264</v>
      </c>
      <c r="G412">
        <f t="shared" si="36"/>
        <v>0.19502074688796681</v>
      </c>
      <c r="H412">
        <f t="shared" si="37"/>
        <v>0.5056179775280899</v>
      </c>
      <c r="I412">
        <f t="shared" si="41"/>
        <v>6.9933330225185073E-4</v>
      </c>
      <c r="J412">
        <f t="shared" si="38"/>
        <v>0.65693430656934304</v>
      </c>
      <c r="K412">
        <f t="shared" si="39"/>
        <v>0.5714285714285714</v>
      </c>
      <c r="L412">
        <f>A412*COUNTIF(data!D:D,data!$I$2)/data!$L$2</f>
        <v>174.60143198090691</v>
      </c>
      <c r="M412" s="1">
        <f>A412/data!$L$2</f>
        <v>0.32696897374701672</v>
      </c>
      <c r="N412">
        <f t="shared" si="40"/>
        <v>1.5463790699581728</v>
      </c>
    </row>
    <row r="413" spans="1:14" x14ac:dyDescent="0.2">
      <c r="A413">
        <v>412</v>
      </c>
      <c r="B413">
        <f>LARGE(data!F:F,A413)</f>
        <v>0.53182872400000003</v>
      </c>
      <c r="C413">
        <f>COUNTIFS(data!D:D,data!$I$2,data!F:F,"&gt;="&amp;B413)</f>
        <v>270</v>
      </c>
      <c r="D413">
        <f>COUNTIFS(data!D:D,data!$J$2,data!F:F,"&gt;="&amp;B413)</f>
        <v>142</v>
      </c>
      <c r="E413">
        <f>COUNTIFS(data!D:D,data!$J$2,data!F:F,"&lt;"&amp;B413)</f>
        <v>581</v>
      </c>
      <c r="F413">
        <f>COUNTIFS(data!D:D,data!$I$2,data!F:F,"&lt;"&amp;B413)</f>
        <v>264</v>
      </c>
      <c r="G413">
        <f t="shared" si="36"/>
        <v>0.19640387275242047</v>
      </c>
      <c r="H413">
        <f t="shared" si="37"/>
        <v>0.5056179775280899</v>
      </c>
      <c r="I413">
        <f t="shared" si="41"/>
        <v>6.9933330225185073E-4</v>
      </c>
      <c r="J413">
        <f t="shared" si="38"/>
        <v>0.65533980582524276</v>
      </c>
      <c r="K413">
        <f t="shared" si="39"/>
        <v>0.57082452431289643</v>
      </c>
      <c r="L413">
        <f>A413*COUNTIF(data!D:D,data!$I$2)/data!$L$2</f>
        <v>175.02625298329355</v>
      </c>
      <c r="M413" s="1">
        <f>A413/data!$L$2</f>
        <v>0.32776451869530626</v>
      </c>
      <c r="N413">
        <f t="shared" si="40"/>
        <v>1.5426257227009927</v>
      </c>
    </row>
    <row r="414" spans="1:14" x14ac:dyDescent="0.2">
      <c r="A414">
        <v>413</v>
      </c>
      <c r="B414">
        <f>LARGE(data!F:F,A414)</f>
        <v>0.53033159330000001</v>
      </c>
      <c r="C414">
        <f>COUNTIFS(data!D:D,data!$I$2,data!F:F,"&gt;="&amp;B414)</f>
        <v>270</v>
      </c>
      <c r="D414">
        <f>COUNTIFS(data!D:D,data!$J$2,data!F:F,"&gt;="&amp;B414)</f>
        <v>143</v>
      </c>
      <c r="E414">
        <f>COUNTIFS(data!D:D,data!$J$2,data!F:F,"&lt;"&amp;B414)</f>
        <v>580</v>
      </c>
      <c r="F414">
        <f>COUNTIFS(data!D:D,data!$I$2,data!F:F,"&lt;"&amp;B414)</f>
        <v>264</v>
      </c>
      <c r="G414">
        <f t="shared" si="36"/>
        <v>0.19778699861687413</v>
      </c>
      <c r="H414">
        <f t="shared" si="37"/>
        <v>0.5056179775280899</v>
      </c>
      <c r="I414">
        <f t="shared" si="41"/>
        <v>6.9933330225185073E-4</v>
      </c>
      <c r="J414">
        <f t="shared" si="38"/>
        <v>0.65375302663438262</v>
      </c>
      <c r="K414">
        <f t="shared" si="39"/>
        <v>0.57022175290390709</v>
      </c>
      <c r="L414">
        <f>A414*COUNTIF(data!D:D,data!$I$2)/data!$L$2</f>
        <v>175.45107398568018</v>
      </c>
      <c r="M414" s="1">
        <f>A414/data!$L$2</f>
        <v>0.32856006364359586</v>
      </c>
      <c r="N414">
        <f t="shared" si="40"/>
        <v>1.5388905514595861</v>
      </c>
    </row>
    <row r="415" spans="1:14" x14ac:dyDescent="0.2">
      <c r="A415">
        <v>414</v>
      </c>
      <c r="B415">
        <f>LARGE(data!F:F,A415)</f>
        <v>0.53027435840000003</v>
      </c>
      <c r="C415">
        <f>COUNTIFS(data!D:D,data!$I$2,data!F:F,"&gt;="&amp;B415)</f>
        <v>270</v>
      </c>
      <c r="D415">
        <f>COUNTIFS(data!D:D,data!$J$2,data!F:F,"&gt;="&amp;B415)</f>
        <v>144</v>
      </c>
      <c r="E415">
        <f>COUNTIFS(data!D:D,data!$J$2,data!F:F,"&lt;"&amp;B415)</f>
        <v>579</v>
      </c>
      <c r="F415">
        <f>COUNTIFS(data!D:D,data!$I$2,data!F:F,"&lt;"&amp;B415)</f>
        <v>264</v>
      </c>
      <c r="G415">
        <f t="shared" si="36"/>
        <v>0.19917012448132779</v>
      </c>
      <c r="H415">
        <f t="shared" si="37"/>
        <v>0.5056179775280899</v>
      </c>
      <c r="I415">
        <f t="shared" si="41"/>
        <v>6.9933330225185073E-4</v>
      </c>
      <c r="J415">
        <f t="shared" si="38"/>
        <v>0.65217391304347827</v>
      </c>
      <c r="K415">
        <f t="shared" si="39"/>
        <v>0.569620253164557</v>
      </c>
      <c r="L415">
        <f>A415*COUNTIF(data!D:D,data!$I$2)/data!$L$2</f>
        <v>175.87589498806682</v>
      </c>
      <c r="M415" s="1">
        <f>A415/data!$L$2</f>
        <v>0.32935560859188545</v>
      </c>
      <c r="N415">
        <f t="shared" si="40"/>
        <v>1.5351734245236932</v>
      </c>
    </row>
    <row r="416" spans="1:14" x14ac:dyDescent="0.2">
      <c r="A416">
        <v>415</v>
      </c>
      <c r="B416">
        <f>LARGE(data!F:F,A416)</f>
        <v>0.52885815270000003</v>
      </c>
      <c r="C416">
        <f>COUNTIFS(data!D:D,data!$I$2,data!F:F,"&gt;="&amp;B416)</f>
        <v>271</v>
      </c>
      <c r="D416">
        <f>COUNTIFS(data!D:D,data!$J$2,data!F:F,"&gt;="&amp;B416)</f>
        <v>144</v>
      </c>
      <c r="E416">
        <f>COUNTIFS(data!D:D,data!$J$2,data!F:F,"&lt;"&amp;B416)</f>
        <v>579</v>
      </c>
      <c r="F416">
        <f>COUNTIFS(data!D:D,data!$I$2,data!F:F,"&lt;"&amp;B416)</f>
        <v>263</v>
      </c>
      <c r="G416">
        <f t="shared" si="36"/>
        <v>0.19917012448132779</v>
      </c>
      <c r="H416">
        <f t="shared" si="37"/>
        <v>0.50749063670411987</v>
      </c>
      <c r="I416">
        <f t="shared" si="41"/>
        <v>0</v>
      </c>
      <c r="J416">
        <f t="shared" si="38"/>
        <v>0.65301204819277103</v>
      </c>
      <c r="K416">
        <f t="shared" si="39"/>
        <v>0.57112750263435197</v>
      </c>
      <c r="L416">
        <f>A416*COUNTIF(data!D:D,data!$I$2)/data!$L$2</f>
        <v>176.30071599045345</v>
      </c>
      <c r="M416" s="1">
        <f>A416/data!$L$2</f>
        <v>0.33015115354017505</v>
      </c>
      <c r="N416">
        <f t="shared" si="40"/>
        <v>1.5371463381616353</v>
      </c>
    </row>
    <row r="417" spans="1:14" x14ac:dyDescent="0.2">
      <c r="A417">
        <v>416</v>
      </c>
      <c r="B417">
        <f>LARGE(data!F:F,A417)</f>
        <v>0.52850105420000004</v>
      </c>
      <c r="C417">
        <f>COUNTIFS(data!D:D,data!$I$2,data!F:F,"&gt;="&amp;B417)</f>
        <v>271</v>
      </c>
      <c r="D417">
        <f>COUNTIFS(data!D:D,data!$J$2,data!F:F,"&gt;="&amp;B417)</f>
        <v>145</v>
      </c>
      <c r="E417">
        <f>COUNTIFS(data!D:D,data!$J$2,data!F:F,"&lt;"&amp;B417)</f>
        <v>578</v>
      </c>
      <c r="F417">
        <f>COUNTIFS(data!D:D,data!$I$2,data!F:F,"&lt;"&amp;B417)</f>
        <v>263</v>
      </c>
      <c r="G417">
        <f t="shared" si="36"/>
        <v>0.20055325034578148</v>
      </c>
      <c r="H417">
        <f t="shared" si="37"/>
        <v>0.50749063670411987</v>
      </c>
      <c r="I417">
        <f t="shared" si="41"/>
        <v>7.0192342559353841E-4</v>
      </c>
      <c r="J417">
        <f t="shared" si="38"/>
        <v>0.65144230769230771</v>
      </c>
      <c r="K417">
        <f t="shared" si="39"/>
        <v>0.57052631578947377</v>
      </c>
      <c r="L417">
        <f>A417*COUNTIF(data!D:D,data!$I$2)/data!$L$2</f>
        <v>176.72553699284009</v>
      </c>
      <c r="M417" s="1">
        <f>A417/data!$L$2</f>
        <v>0.33094669848846459</v>
      </c>
      <c r="N417">
        <f t="shared" si="40"/>
        <v>1.5334512748487468</v>
      </c>
    </row>
    <row r="418" spans="1:14" x14ac:dyDescent="0.2">
      <c r="A418">
        <v>417</v>
      </c>
      <c r="B418">
        <f>LARGE(data!F:F,A418)</f>
        <v>0.52829989369999997</v>
      </c>
      <c r="C418">
        <f>COUNTIFS(data!D:D,data!$I$2,data!F:F,"&gt;="&amp;B418)</f>
        <v>272</v>
      </c>
      <c r="D418">
        <f>COUNTIFS(data!D:D,data!$J$2,data!F:F,"&gt;="&amp;B418)</f>
        <v>145</v>
      </c>
      <c r="E418">
        <f>COUNTIFS(data!D:D,data!$J$2,data!F:F,"&lt;"&amp;B418)</f>
        <v>578</v>
      </c>
      <c r="F418">
        <f>COUNTIFS(data!D:D,data!$I$2,data!F:F,"&lt;"&amp;B418)</f>
        <v>262</v>
      </c>
      <c r="G418">
        <f t="shared" si="36"/>
        <v>0.20055325034578148</v>
      </c>
      <c r="H418">
        <f t="shared" si="37"/>
        <v>0.50936329588014984</v>
      </c>
      <c r="I418">
        <f t="shared" si="41"/>
        <v>0</v>
      </c>
      <c r="J418">
        <f t="shared" si="38"/>
        <v>0.65227817745803363</v>
      </c>
      <c r="K418">
        <f t="shared" si="39"/>
        <v>0.57202944269190326</v>
      </c>
      <c r="L418">
        <f>A418*COUNTIF(data!D:D,data!$I$2)/data!$L$2</f>
        <v>177.15035799522673</v>
      </c>
      <c r="M418" s="1">
        <f>A418/data!$L$2</f>
        <v>0.33174224343675418</v>
      </c>
      <c r="N418">
        <f t="shared" si="40"/>
        <v>1.5354188559264947</v>
      </c>
    </row>
    <row r="419" spans="1:14" x14ac:dyDescent="0.2">
      <c r="A419">
        <v>418</v>
      </c>
      <c r="B419">
        <f>LARGE(data!F:F,A419)</f>
        <v>0.52821758990000001</v>
      </c>
      <c r="C419">
        <f>COUNTIFS(data!D:D,data!$I$2,data!F:F,"&gt;="&amp;B419)</f>
        <v>275</v>
      </c>
      <c r="D419">
        <f>COUNTIFS(data!D:D,data!$J$2,data!F:F,"&gt;="&amp;B419)</f>
        <v>145</v>
      </c>
      <c r="E419">
        <f>COUNTIFS(data!D:D,data!$J$2,data!F:F,"&lt;"&amp;B419)</f>
        <v>578</v>
      </c>
      <c r="F419">
        <f>COUNTIFS(data!D:D,data!$I$2,data!F:F,"&lt;"&amp;B419)</f>
        <v>259</v>
      </c>
      <c r="G419">
        <f t="shared" si="36"/>
        <v>0.20055325034578148</v>
      </c>
      <c r="H419">
        <f t="shared" si="37"/>
        <v>0.51498127340823974</v>
      </c>
      <c r="I419">
        <f t="shared" si="41"/>
        <v>0</v>
      </c>
      <c r="J419">
        <f t="shared" si="38"/>
        <v>0.65476190476190477</v>
      </c>
      <c r="K419">
        <f t="shared" si="39"/>
        <v>0.57651991614255771</v>
      </c>
      <c r="L419">
        <f>A419*COUNTIF(data!D:D,data!$I$2)/data!$L$2</f>
        <v>177.57517899761336</v>
      </c>
      <c r="M419" s="1">
        <f>A419/data!$L$2</f>
        <v>0.33253778838504378</v>
      </c>
      <c r="N419">
        <f t="shared" si="40"/>
        <v>1.5486398580721468</v>
      </c>
    </row>
    <row r="420" spans="1:14" x14ac:dyDescent="0.2">
      <c r="A420">
        <v>419</v>
      </c>
      <c r="B420">
        <f>LARGE(data!F:F,A420)</f>
        <v>0.52821758990000001</v>
      </c>
      <c r="C420">
        <f>COUNTIFS(data!D:D,data!$I$2,data!F:F,"&gt;="&amp;B420)</f>
        <v>275</v>
      </c>
      <c r="D420">
        <f>COUNTIFS(data!D:D,data!$J$2,data!F:F,"&gt;="&amp;B420)</f>
        <v>145</v>
      </c>
      <c r="E420">
        <f>COUNTIFS(data!D:D,data!$J$2,data!F:F,"&lt;"&amp;B420)</f>
        <v>578</v>
      </c>
      <c r="F420">
        <f>COUNTIFS(data!D:D,data!$I$2,data!F:F,"&lt;"&amp;B420)</f>
        <v>259</v>
      </c>
      <c r="G420">
        <f t="shared" si="36"/>
        <v>0.20055325034578148</v>
      </c>
      <c r="H420">
        <f t="shared" si="37"/>
        <v>0.51498127340823974</v>
      </c>
      <c r="I420">
        <f t="shared" si="41"/>
        <v>0</v>
      </c>
      <c r="J420">
        <f t="shared" si="38"/>
        <v>0.65476190476190477</v>
      </c>
      <c r="K420">
        <f t="shared" si="39"/>
        <v>0.57651991614255771</v>
      </c>
      <c r="L420">
        <f>A420*COUNTIF(data!D:D,data!$I$2)/data!$L$2</f>
        <v>178</v>
      </c>
      <c r="M420" s="1">
        <f>A420/data!$L$2</f>
        <v>0.33333333333333331</v>
      </c>
      <c r="N420">
        <f t="shared" si="40"/>
        <v>1.5449438202247192</v>
      </c>
    </row>
    <row r="421" spans="1:14" x14ac:dyDescent="0.2">
      <c r="A421">
        <v>420</v>
      </c>
      <c r="B421">
        <f>LARGE(data!F:F,A421)</f>
        <v>0.52821758990000001</v>
      </c>
      <c r="C421">
        <f>COUNTIFS(data!D:D,data!$I$2,data!F:F,"&gt;="&amp;B421)</f>
        <v>275</v>
      </c>
      <c r="D421">
        <f>COUNTIFS(data!D:D,data!$J$2,data!F:F,"&gt;="&amp;B421)</f>
        <v>145</v>
      </c>
      <c r="E421">
        <f>COUNTIFS(data!D:D,data!$J$2,data!F:F,"&lt;"&amp;B421)</f>
        <v>578</v>
      </c>
      <c r="F421">
        <f>COUNTIFS(data!D:D,data!$I$2,data!F:F,"&lt;"&amp;B421)</f>
        <v>259</v>
      </c>
      <c r="G421">
        <f t="shared" si="36"/>
        <v>0.20055325034578148</v>
      </c>
      <c r="H421">
        <f t="shared" si="37"/>
        <v>0.51498127340823974</v>
      </c>
      <c r="I421">
        <f t="shared" si="41"/>
        <v>0</v>
      </c>
      <c r="J421">
        <f t="shared" si="38"/>
        <v>0.65476190476190477</v>
      </c>
      <c r="K421">
        <f t="shared" si="39"/>
        <v>0.57651991614255771</v>
      </c>
      <c r="L421">
        <f>A421*COUNTIF(data!D:D,data!$I$2)/data!$L$2</f>
        <v>178.42482100238664</v>
      </c>
      <c r="M421" s="1">
        <f>A421/data!$L$2</f>
        <v>0.33412887828162291</v>
      </c>
      <c r="N421">
        <f t="shared" si="40"/>
        <v>1.5412653825575173</v>
      </c>
    </row>
    <row r="422" spans="1:14" x14ac:dyDescent="0.2">
      <c r="A422">
        <v>421</v>
      </c>
      <c r="B422">
        <f>LARGE(data!F:F,A422)</f>
        <v>0.52773176509999997</v>
      </c>
      <c r="C422">
        <f>COUNTIFS(data!D:D,data!$I$2,data!F:F,"&gt;="&amp;B422)</f>
        <v>275</v>
      </c>
      <c r="D422">
        <f>COUNTIFS(data!D:D,data!$J$2,data!F:F,"&gt;="&amp;B422)</f>
        <v>146</v>
      </c>
      <c r="E422">
        <f>COUNTIFS(data!D:D,data!$J$2,data!F:F,"&lt;"&amp;B422)</f>
        <v>577</v>
      </c>
      <c r="F422">
        <f>COUNTIFS(data!D:D,data!$I$2,data!F:F,"&lt;"&amp;B422)</f>
        <v>259</v>
      </c>
      <c r="G422">
        <f t="shared" si="36"/>
        <v>0.20193637621023514</v>
      </c>
      <c r="H422">
        <f t="shared" si="37"/>
        <v>0.51498127340823974</v>
      </c>
      <c r="I422">
        <f t="shared" si="41"/>
        <v>7.1228391896021844E-4</v>
      </c>
      <c r="J422">
        <f t="shared" si="38"/>
        <v>0.65320665083135387</v>
      </c>
      <c r="K422">
        <f t="shared" si="39"/>
        <v>0.5759162303664922</v>
      </c>
      <c r="L422">
        <f>A422*COUNTIF(data!D:D,data!$I$2)/data!$L$2</f>
        <v>178.84964200477327</v>
      </c>
      <c r="M422" s="1">
        <f>A422/data!$L$2</f>
        <v>0.3349244232299125</v>
      </c>
      <c r="N422">
        <f t="shared" si="40"/>
        <v>1.5376044196535803</v>
      </c>
    </row>
    <row r="423" spans="1:14" x14ac:dyDescent="0.2">
      <c r="A423">
        <v>422</v>
      </c>
      <c r="B423">
        <f>LARGE(data!F:F,A423)</f>
        <v>0.52727757249999996</v>
      </c>
      <c r="C423">
        <f>COUNTIFS(data!D:D,data!$I$2,data!F:F,"&gt;="&amp;B423)</f>
        <v>276</v>
      </c>
      <c r="D423">
        <f>COUNTIFS(data!D:D,data!$J$2,data!F:F,"&gt;="&amp;B423)</f>
        <v>146</v>
      </c>
      <c r="E423">
        <f>COUNTIFS(data!D:D,data!$J$2,data!F:F,"&lt;"&amp;B423)</f>
        <v>577</v>
      </c>
      <c r="F423">
        <f>COUNTIFS(data!D:D,data!$I$2,data!F:F,"&lt;"&amp;B423)</f>
        <v>258</v>
      </c>
      <c r="G423">
        <f t="shared" si="36"/>
        <v>0.20193637621023514</v>
      </c>
      <c r="H423">
        <f t="shared" si="37"/>
        <v>0.5168539325842697</v>
      </c>
      <c r="I423">
        <f t="shared" si="41"/>
        <v>0</v>
      </c>
      <c r="J423">
        <f t="shared" si="38"/>
        <v>0.65402843601895733</v>
      </c>
      <c r="K423">
        <f t="shared" si="39"/>
        <v>0.57740585774058584</v>
      </c>
      <c r="L423">
        <f>A423*COUNTIF(data!D:D,data!$I$2)/data!$L$2</f>
        <v>179.27446300715991</v>
      </c>
      <c r="M423" s="1">
        <f>A423/data!$L$2</f>
        <v>0.33571996817820204</v>
      </c>
      <c r="N423">
        <f t="shared" si="40"/>
        <v>1.5395388465839501</v>
      </c>
    </row>
    <row r="424" spans="1:14" x14ac:dyDescent="0.2">
      <c r="A424">
        <v>423</v>
      </c>
      <c r="B424">
        <f>LARGE(data!F:F,A424)</f>
        <v>0.52676780869999995</v>
      </c>
      <c r="C424">
        <f>COUNTIFS(data!D:D,data!$I$2,data!F:F,"&gt;="&amp;B424)</f>
        <v>276</v>
      </c>
      <c r="D424">
        <f>COUNTIFS(data!D:D,data!$J$2,data!F:F,"&gt;="&amp;B424)</f>
        <v>147</v>
      </c>
      <c r="E424">
        <f>COUNTIFS(data!D:D,data!$J$2,data!F:F,"&lt;"&amp;B424)</f>
        <v>576</v>
      </c>
      <c r="F424">
        <f>COUNTIFS(data!D:D,data!$I$2,data!F:F,"&lt;"&amp;B424)</f>
        <v>258</v>
      </c>
      <c r="G424">
        <f t="shared" si="36"/>
        <v>0.2033195020746888</v>
      </c>
      <c r="H424">
        <f t="shared" si="37"/>
        <v>0.5168539325842697</v>
      </c>
      <c r="I424">
        <f t="shared" si="41"/>
        <v>7.1487404230189192E-4</v>
      </c>
      <c r="J424">
        <f t="shared" si="38"/>
        <v>0.65248226950354615</v>
      </c>
      <c r="K424">
        <f t="shared" si="39"/>
        <v>0.57680250783699072</v>
      </c>
      <c r="L424">
        <f>A424*COUNTIF(data!D:D,data!$I$2)/data!$L$2</f>
        <v>179.69928400954655</v>
      </c>
      <c r="M424" s="1">
        <f>A424/data!$L$2</f>
        <v>0.33651551312649164</v>
      </c>
      <c r="N424">
        <f t="shared" si="40"/>
        <v>1.5358992748426168</v>
      </c>
    </row>
    <row r="425" spans="1:14" x14ac:dyDescent="0.2">
      <c r="A425">
        <v>424</v>
      </c>
      <c r="B425">
        <f>LARGE(data!F:F,A425)</f>
        <v>0.52602335629999997</v>
      </c>
      <c r="C425">
        <f>COUNTIFS(data!D:D,data!$I$2,data!F:F,"&gt;="&amp;B425)</f>
        <v>277</v>
      </c>
      <c r="D425">
        <f>COUNTIFS(data!D:D,data!$J$2,data!F:F,"&gt;="&amp;B425)</f>
        <v>147</v>
      </c>
      <c r="E425">
        <f>COUNTIFS(data!D:D,data!$J$2,data!F:F,"&lt;"&amp;B425)</f>
        <v>576</v>
      </c>
      <c r="F425">
        <f>COUNTIFS(data!D:D,data!$I$2,data!F:F,"&lt;"&amp;B425)</f>
        <v>257</v>
      </c>
      <c r="G425">
        <f t="shared" si="36"/>
        <v>0.2033195020746888</v>
      </c>
      <c r="H425">
        <f t="shared" si="37"/>
        <v>0.51872659176029967</v>
      </c>
      <c r="I425">
        <f t="shared" si="41"/>
        <v>0</v>
      </c>
      <c r="J425">
        <f t="shared" si="38"/>
        <v>0.65330188679245282</v>
      </c>
      <c r="K425">
        <f t="shared" si="39"/>
        <v>0.5782881002087682</v>
      </c>
      <c r="L425">
        <f>A425*COUNTIF(data!D:D,data!$I$2)/data!$L$2</f>
        <v>180.12410501193318</v>
      </c>
      <c r="M425" s="1">
        <f>A425/data!$L$2</f>
        <v>0.33731105807478123</v>
      </c>
      <c r="N425">
        <f t="shared" si="40"/>
        <v>1.5378285986856053</v>
      </c>
    </row>
    <row r="426" spans="1:14" x14ac:dyDescent="0.2">
      <c r="A426">
        <v>425</v>
      </c>
      <c r="B426">
        <f>LARGE(data!F:F,A426)</f>
        <v>0.52579707239999995</v>
      </c>
      <c r="C426">
        <f>COUNTIFS(data!D:D,data!$I$2,data!F:F,"&gt;="&amp;B426)</f>
        <v>278</v>
      </c>
      <c r="D426">
        <f>COUNTIFS(data!D:D,data!$J$2,data!F:F,"&gt;="&amp;B426)</f>
        <v>147</v>
      </c>
      <c r="E426">
        <f>COUNTIFS(data!D:D,data!$J$2,data!F:F,"&lt;"&amp;B426)</f>
        <v>576</v>
      </c>
      <c r="F426">
        <f>COUNTIFS(data!D:D,data!$I$2,data!F:F,"&lt;"&amp;B426)</f>
        <v>256</v>
      </c>
      <c r="G426">
        <f t="shared" si="36"/>
        <v>0.2033195020746888</v>
      </c>
      <c r="H426">
        <f t="shared" si="37"/>
        <v>0.52059925093632964</v>
      </c>
      <c r="I426">
        <f t="shared" si="41"/>
        <v>0</v>
      </c>
      <c r="J426">
        <f t="shared" si="38"/>
        <v>0.65411764705882358</v>
      </c>
      <c r="K426">
        <f t="shared" si="39"/>
        <v>0.57977059436913458</v>
      </c>
      <c r="L426">
        <f>A426*COUNTIF(data!D:D,data!$I$2)/data!$L$2</f>
        <v>180.54892601431982</v>
      </c>
      <c r="M426" s="1">
        <f>A426/data!$L$2</f>
        <v>0.33810660302307083</v>
      </c>
      <c r="N426">
        <f t="shared" si="40"/>
        <v>1.5397488433575677</v>
      </c>
    </row>
    <row r="427" spans="1:14" x14ac:dyDescent="0.2">
      <c r="A427">
        <v>426</v>
      </c>
      <c r="B427">
        <f>LARGE(data!F:F,A427)</f>
        <v>0.52549611860000001</v>
      </c>
      <c r="C427">
        <f>COUNTIFS(data!D:D,data!$I$2,data!F:F,"&gt;="&amp;B427)</f>
        <v>278</v>
      </c>
      <c r="D427">
        <f>COUNTIFS(data!D:D,data!$J$2,data!F:F,"&gt;="&amp;B427)</f>
        <v>148</v>
      </c>
      <c r="E427">
        <f>COUNTIFS(data!D:D,data!$J$2,data!F:F,"&lt;"&amp;B427)</f>
        <v>575</v>
      </c>
      <c r="F427">
        <f>COUNTIFS(data!D:D,data!$I$2,data!F:F,"&lt;"&amp;B427)</f>
        <v>256</v>
      </c>
      <c r="G427">
        <f t="shared" si="36"/>
        <v>0.20470262793914246</v>
      </c>
      <c r="H427">
        <f t="shared" si="37"/>
        <v>0.52059925093632964</v>
      </c>
      <c r="I427">
        <f t="shared" si="41"/>
        <v>7.2005428898523898E-4</v>
      </c>
      <c r="J427">
        <f t="shared" si="38"/>
        <v>0.65258215962441313</v>
      </c>
      <c r="K427">
        <f t="shared" si="39"/>
        <v>0.57916666666666661</v>
      </c>
      <c r="L427">
        <f>A427*COUNTIF(data!D:D,data!$I$2)/data!$L$2</f>
        <v>180.97374701670645</v>
      </c>
      <c r="M427" s="1">
        <f>A427/data!$L$2</f>
        <v>0.33890214797136037</v>
      </c>
      <c r="N427">
        <f t="shared" si="40"/>
        <v>1.5361344094529725</v>
      </c>
    </row>
    <row r="428" spans="1:14" x14ac:dyDescent="0.2">
      <c r="A428">
        <v>427</v>
      </c>
      <c r="B428">
        <f>LARGE(data!F:F,A428)</f>
        <v>0.52499339550000002</v>
      </c>
      <c r="C428">
        <f>COUNTIFS(data!D:D,data!$I$2,data!F:F,"&gt;="&amp;B428)</f>
        <v>279</v>
      </c>
      <c r="D428">
        <f>COUNTIFS(data!D:D,data!$J$2,data!F:F,"&gt;="&amp;B428)</f>
        <v>148</v>
      </c>
      <c r="E428">
        <f>COUNTIFS(data!D:D,data!$J$2,data!F:F,"&lt;"&amp;B428)</f>
        <v>575</v>
      </c>
      <c r="F428">
        <f>COUNTIFS(data!D:D,data!$I$2,data!F:F,"&lt;"&amp;B428)</f>
        <v>255</v>
      </c>
      <c r="G428">
        <f t="shared" si="36"/>
        <v>0.20470262793914246</v>
      </c>
      <c r="H428">
        <f t="shared" si="37"/>
        <v>0.52247191011235961</v>
      </c>
      <c r="I428">
        <f t="shared" si="41"/>
        <v>0</v>
      </c>
      <c r="J428">
        <f t="shared" si="38"/>
        <v>0.65339578454332548</v>
      </c>
      <c r="K428">
        <f t="shared" si="39"/>
        <v>0.58064516129032262</v>
      </c>
      <c r="L428">
        <f>A428*COUNTIF(data!D:D,data!$I$2)/data!$L$2</f>
        <v>181.39856801909309</v>
      </c>
      <c r="M428" s="1">
        <f>A428/data!$L$2</f>
        <v>0.33969769291964996</v>
      </c>
      <c r="N428">
        <f t="shared" si="40"/>
        <v>1.5380496276609741</v>
      </c>
    </row>
    <row r="429" spans="1:14" x14ac:dyDescent="0.2">
      <c r="A429">
        <v>428</v>
      </c>
      <c r="B429">
        <f>LARGE(data!F:F,A429)</f>
        <v>0.52144923919999997</v>
      </c>
      <c r="C429">
        <f>COUNTIFS(data!D:D,data!$I$2,data!F:F,"&gt;="&amp;B429)</f>
        <v>280</v>
      </c>
      <c r="D429">
        <f>COUNTIFS(data!D:D,data!$J$2,data!F:F,"&gt;="&amp;B429)</f>
        <v>148</v>
      </c>
      <c r="E429">
        <f>COUNTIFS(data!D:D,data!$J$2,data!F:F,"&lt;"&amp;B429)</f>
        <v>575</v>
      </c>
      <c r="F429">
        <f>COUNTIFS(data!D:D,data!$I$2,data!F:F,"&lt;"&amp;B429)</f>
        <v>254</v>
      </c>
      <c r="G429">
        <f t="shared" si="36"/>
        <v>0.20470262793914246</v>
      </c>
      <c r="H429">
        <f t="shared" si="37"/>
        <v>0.52434456928838946</v>
      </c>
      <c r="I429">
        <f t="shared" si="41"/>
        <v>0</v>
      </c>
      <c r="J429">
        <f t="shared" si="38"/>
        <v>0.65420560747663548</v>
      </c>
      <c r="K429">
        <f t="shared" si="39"/>
        <v>0.58212058212058204</v>
      </c>
      <c r="L429">
        <f>A429*COUNTIF(data!D:D,data!$I$2)/data!$L$2</f>
        <v>181.82338902147973</v>
      </c>
      <c r="M429" s="1">
        <f>A429/data!$L$2</f>
        <v>0.34049323786793956</v>
      </c>
      <c r="N429">
        <f t="shared" si="40"/>
        <v>1.5399558962511812</v>
      </c>
    </row>
    <row r="430" spans="1:14" x14ac:dyDescent="0.2">
      <c r="A430">
        <v>429</v>
      </c>
      <c r="B430">
        <f>LARGE(data!F:F,A430)</f>
        <v>0.52114491220000003</v>
      </c>
      <c r="C430">
        <f>COUNTIFS(data!D:D,data!$I$2,data!F:F,"&gt;="&amp;B430)</f>
        <v>280</v>
      </c>
      <c r="D430">
        <f>COUNTIFS(data!D:D,data!$J$2,data!F:F,"&gt;="&amp;B430)</f>
        <v>149</v>
      </c>
      <c r="E430">
        <f>COUNTIFS(data!D:D,data!$J$2,data!F:F,"&lt;"&amp;B430)</f>
        <v>574</v>
      </c>
      <c r="F430">
        <f>COUNTIFS(data!D:D,data!$I$2,data!F:F,"&lt;"&amp;B430)</f>
        <v>254</v>
      </c>
      <c r="G430">
        <f t="shared" si="36"/>
        <v>0.20608575380359612</v>
      </c>
      <c r="H430">
        <f t="shared" si="37"/>
        <v>0.52434456928838946</v>
      </c>
      <c r="I430">
        <f t="shared" si="41"/>
        <v>7.2523453566858593E-4</v>
      </c>
      <c r="J430">
        <f t="shared" si="38"/>
        <v>0.65268065268065267</v>
      </c>
      <c r="K430">
        <f t="shared" si="39"/>
        <v>0.581516095534787</v>
      </c>
      <c r="L430">
        <f>A430*COUNTIF(data!D:D,data!$I$2)/data!$L$2</f>
        <v>182.24821002386633</v>
      </c>
      <c r="M430" s="1">
        <f>A430/data!$L$2</f>
        <v>0.3412887828162291</v>
      </c>
      <c r="N430">
        <f t="shared" si="40"/>
        <v>1.5363662554673791</v>
      </c>
    </row>
    <row r="431" spans="1:14" x14ac:dyDescent="0.2">
      <c r="A431">
        <v>430</v>
      </c>
      <c r="B431">
        <f>LARGE(data!F:F,A431)</f>
        <v>0.52091580110000002</v>
      </c>
      <c r="C431">
        <f>COUNTIFS(data!D:D,data!$I$2,data!F:F,"&gt;="&amp;B431)</f>
        <v>282</v>
      </c>
      <c r="D431">
        <f>COUNTIFS(data!D:D,data!$J$2,data!F:F,"&gt;="&amp;B431)</f>
        <v>149</v>
      </c>
      <c r="E431">
        <f>COUNTIFS(data!D:D,data!$J$2,data!F:F,"&lt;"&amp;B431)</f>
        <v>574</v>
      </c>
      <c r="F431">
        <f>COUNTIFS(data!D:D,data!$I$2,data!F:F,"&lt;"&amp;B431)</f>
        <v>252</v>
      </c>
      <c r="G431">
        <f t="shared" si="36"/>
        <v>0.20608575380359612</v>
      </c>
      <c r="H431">
        <f t="shared" si="37"/>
        <v>0.5280898876404494</v>
      </c>
      <c r="I431">
        <f t="shared" si="41"/>
        <v>0</v>
      </c>
      <c r="J431">
        <f t="shared" si="38"/>
        <v>0.654292343387471</v>
      </c>
      <c r="K431">
        <f t="shared" si="39"/>
        <v>0.58445595854922272</v>
      </c>
      <c r="L431">
        <f>A431*COUNTIF(data!D:D,data!$I$2)/data!$L$2</f>
        <v>182.67303102625297</v>
      </c>
      <c r="M431" s="1">
        <f>A431/data!$L$2</f>
        <v>0.34208432776451869</v>
      </c>
      <c r="N431">
        <f t="shared" si="40"/>
        <v>1.5437418343349882</v>
      </c>
    </row>
    <row r="432" spans="1:14" x14ac:dyDescent="0.2">
      <c r="A432">
        <v>431</v>
      </c>
      <c r="B432">
        <f>LARGE(data!F:F,A432)</f>
        <v>0.52091580110000002</v>
      </c>
      <c r="C432">
        <f>COUNTIFS(data!D:D,data!$I$2,data!F:F,"&gt;="&amp;B432)</f>
        <v>282</v>
      </c>
      <c r="D432">
        <f>COUNTIFS(data!D:D,data!$J$2,data!F:F,"&gt;="&amp;B432)</f>
        <v>149</v>
      </c>
      <c r="E432">
        <f>COUNTIFS(data!D:D,data!$J$2,data!F:F,"&lt;"&amp;B432)</f>
        <v>574</v>
      </c>
      <c r="F432">
        <f>COUNTIFS(data!D:D,data!$I$2,data!F:F,"&lt;"&amp;B432)</f>
        <v>252</v>
      </c>
      <c r="G432">
        <f t="shared" si="36"/>
        <v>0.20608575380359612</v>
      </c>
      <c r="H432">
        <f t="shared" si="37"/>
        <v>0.5280898876404494</v>
      </c>
      <c r="I432">
        <f t="shared" si="41"/>
        <v>0</v>
      </c>
      <c r="J432">
        <f t="shared" si="38"/>
        <v>0.654292343387471</v>
      </c>
      <c r="K432">
        <f t="shared" si="39"/>
        <v>0.58445595854922272</v>
      </c>
      <c r="L432">
        <f>A432*COUNTIF(data!D:D,data!$I$2)/data!$L$2</f>
        <v>183.09785202863961</v>
      </c>
      <c r="M432" s="1">
        <f>A432/data!$L$2</f>
        <v>0.34287987271280829</v>
      </c>
      <c r="N432">
        <f t="shared" si="40"/>
        <v>1.5401600667379234</v>
      </c>
    </row>
    <row r="433" spans="1:14" x14ac:dyDescent="0.2">
      <c r="A433">
        <v>432</v>
      </c>
      <c r="B433">
        <f>LARGE(data!F:F,A433)</f>
        <v>0.52049818069999998</v>
      </c>
      <c r="C433">
        <f>COUNTIFS(data!D:D,data!$I$2,data!F:F,"&gt;="&amp;B433)</f>
        <v>282</v>
      </c>
      <c r="D433">
        <f>COUNTIFS(data!D:D,data!$J$2,data!F:F,"&gt;="&amp;B433)</f>
        <v>150</v>
      </c>
      <c r="E433">
        <f>COUNTIFS(data!D:D,data!$J$2,data!F:F,"&lt;"&amp;B433)</f>
        <v>573</v>
      </c>
      <c r="F433">
        <f>COUNTIFS(data!D:D,data!$I$2,data!F:F,"&lt;"&amp;B433)</f>
        <v>252</v>
      </c>
      <c r="G433">
        <f t="shared" si="36"/>
        <v>0.2074688796680498</v>
      </c>
      <c r="H433">
        <f t="shared" si="37"/>
        <v>0.5280898876404494</v>
      </c>
      <c r="I433">
        <f t="shared" si="41"/>
        <v>7.3041478235194763E-4</v>
      </c>
      <c r="J433">
        <f t="shared" si="38"/>
        <v>0.65277777777777779</v>
      </c>
      <c r="K433">
        <f t="shared" si="39"/>
        <v>0.58385093167701851</v>
      </c>
      <c r="L433">
        <f>A433*COUNTIF(data!D:D,data!$I$2)/data!$L$2</f>
        <v>183.52267303102624</v>
      </c>
      <c r="M433" s="1">
        <f>A433/data!$L$2</f>
        <v>0.34367541766109783</v>
      </c>
      <c r="N433">
        <f t="shared" si="40"/>
        <v>1.5365948813982522</v>
      </c>
    </row>
    <row r="434" spans="1:14" x14ac:dyDescent="0.2">
      <c r="A434">
        <v>433</v>
      </c>
      <c r="B434">
        <f>LARGE(data!F:F,A434)</f>
        <v>0.52011561480000001</v>
      </c>
      <c r="C434">
        <f>COUNTIFS(data!D:D,data!$I$2,data!F:F,"&gt;="&amp;B434)</f>
        <v>282</v>
      </c>
      <c r="D434">
        <f>COUNTIFS(data!D:D,data!$J$2,data!F:F,"&gt;="&amp;B434)</f>
        <v>151</v>
      </c>
      <c r="E434">
        <f>COUNTIFS(data!D:D,data!$J$2,data!F:F,"&lt;"&amp;B434)</f>
        <v>572</v>
      </c>
      <c r="F434">
        <f>COUNTIFS(data!D:D,data!$I$2,data!F:F,"&lt;"&amp;B434)</f>
        <v>252</v>
      </c>
      <c r="G434">
        <f t="shared" si="36"/>
        <v>0.20885200553250347</v>
      </c>
      <c r="H434">
        <f t="shared" si="37"/>
        <v>0.5280898876404494</v>
      </c>
      <c r="I434">
        <f t="shared" si="41"/>
        <v>7.30414782351933E-4</v>
      </c>
      <c r="J434">
        <f t="shared" si="38"/>
        <v>0.65127020785219403</v>
      </c>
      <c r="K434">
        <f t="shared" si="39"/>
        <v>0.58324715615305056</v>
      </c>
      <c r="L434">
        <f>A434*COUNTIF(data!D:D,data!$I$2)/data!$L$2</f>
        <v>183.94749403341288</v>
      </c>
      <c r="M434" s="1">
        <f>A434/data!$L$2</f>
        <v>0.34447096260938742</v>
      </c>
      <c r="N434">
        <f t="shared" si="40"/>
        <v>1.5330461634273556</v>
      </c>
    </row>
    <row r="435" spans="1:14" x14ac:dyDescent="0.2">
      <c r="A435">
        <v>434</v>
      </c>
      <c r="B435">
        <f>LARGE(data!F:F,A435)</f>
        <v>0.51987799710000004</v>
      </c>
      <c r="C435">
        <f>COUNTIFS(data!D:D,data!$I$2,data!F:F,"&gt;="&amp;B435)</f>
        <v>282</v>
      </c>
      <c r="D435">
        <f>COUNTIFS(data!D:D,data!$J$2,data!F:F,"&gt;="&amp;B435)</f>
        <v>152</v>
      </c>
      <c r="E435">
        <f>COUNTIFS(data!D:D,data!$J$2,data!F:F,"&lt;"&amp;B435)</f>
        <v>571</v>
      </c>
      <c r="F435">
        <f>COUNTIFS(data!D:D,data!$I$2,data!F:F,"&lt;"&amp;B435)</f>
        <v>252</v>
      </c>
      <c r="G435">
        <f t="shared" si="36"/>
        <v>0.21023513139695713</v>
      </c>
      <c r="H435">
        <f t="shared" si="37"/>
        <v>0.5280898876404494</v>
      </c>
      <c r="I435">
        <f t="shared" si="41"/>
        <v>7.30414782351933E-4</v>
      </c>
      <c r="J435">
        <f t="shared" si="38"/>
        <v>0.64976958525345618</v>
      </c>
      <c r="K435">
        <f t="shared" si="39"/>
        <v>0.5826446280991735</v>
      </c>
      <c r="L435">
        <f>A435*COUNTIF(data!D:D,data!$I$2)/data!$L$2</f>
        <v>184.37231503579952</v>
      </c>
      <c r="M435" s="1">
        <f>A435/data!$L$2</f>
        <v>0.34526650755767702</v>
      </c>
      <c r="N435">
        <f t="shared" si="40"/>
        <v>1.5295137989954952</v>
      </c>
    </row>
    <row r="436" spans="1:14" x14ac:dyDescent="0.2">
      <c r="A436">
        <v>435</v>
      </c>
      <c r="B436">
        <f>LARGE(data!F:F,A436)</f>
        <v>0.51774258179999999</v>
      </c>
      <c r="C436">
        <f>COUNTIFS(data!D:D,data!$I$2,data!F:F,"&gt;="&amp;B436)</f>
        <v>283</v>
      </c>
      <c r="D436">
        <f>COUNTIFS(data!D:D,data!$J$2,data!F:F,"&gt;="&amp;B436)</f>
        <v>152</v>
      </c>
      <c r="E436">
        <f>COUNTIFS(data!D:D,data!$J$2,data!F:F,"&lt;"&amp;B436)</f>
        <v>571</v>
      </c>
      <c r="F436">
        <f>COUNTIFS(data!D:D,data!$I$2,data!F:F,"&lt;"&amp;B436)</f>
        <v>251</v>
      </c>
      <c r="G436">
        <f t="shared" si="36"/>
        <v>0.21023513139695713</v>
      </c>
      <c r="H436">
        <f t="shared" si="37"/>
        <v>0.52996254681647936</v>
      </c>
      <c r="I436">
        <f t="shared" si="41"/>
        <v>0</v>
      </c>
      <c r="J436">
        <f t="shared" si="38"/>
        <v>0.65057471264367817</v>
      </c>
      <c r="K436">
        <f t="shared" si="39"/>
        <v>0.58410732714138291</v>
      </c>
      <c r="L436">
        <f>A436*COUNTIF(data!D:D,data!$I$2)/data!$L$2</f>
        <v>184.79713603818615</v>
      </c>
      <c r="M436" s="1">
        <f>A436/data!$L$2</f>
        <v>0.34606205250596661</v>
      </c>
      <c r="N436">
        <f t="shared" si="40"/>
        <v>1.5314090145938266</v>
      </c>
    </row>
    <row r="437" spans="1:14" x14ac:dyDescent="0.2">
      <c r="A437">
        <v>436</v>
      </c>
      <c r="B437">
        <f>LARGE(data!F:F,A437)</f>
        <v>0.51756416110000003</v>
      </c>
      <c r="C437">
        <f>COUNTIFS(data!D:D,data!$I$2,data!F:F,"&gt;="&amp;B437)</f>
        <v>283</v>
      </c>
      <c r="D437">
        <f>COUNTIFS(data!D:D,data!$J$2,data!F:F,"&gt;="&amp;B437)</f>
        <v>153</v>
      </c>
      <c r="E437">
        <f>COUNTIFS(data!D:D,data!$J$2,data!F:F,"&lt;"&amp;B437)</f>
        <v>570</v>
      </c>
      <c r="F437">
        <f>COUNTIFS(data!D:D,data!$I$2,data!F:F,"&lt;"&amp;B437)</f>
        <v>251</v>
      </c>
      <c r="G437">
        <f t="shared" si="36"/>
        <v>0.21161825726141079</v>
      </c>
      <c r="H437">
        <f t="shared" si="37"/>
        <v>0.52996254681647936</v>
      </c>
      <c r="I437">
        <f t="shared" si="41"/>
        <v>7.3300490569360647E-4</v>
      </c>
      <c r="J437">
        <f t="shared" si="38"/>
        <v>0.6490825688073395</v>
      </c>
      <c r="K437">
        <f t="shared" si="39"/>
        <v>0.58350515463917529</v>
      </c>
      <c r="L437">
        <f>A437*COUNTIF(data!D:D,data!$I$2)/data!$L$2</f>
        <v>185.22195704057279</v>
      </c>
      <c r="M437" s="1">
        <f>A437/data!$L$2</f>
        <v>0.34685759745425615</v>
      </c>
      <c r="N437">
        <f t="shared" si="40"/>
        <v>1.5278966085970518</v>
      </c>
    </row>
    <row r="438" spans="1:14" x14ac:dyDescent="0.2">
      <c r="A438">
        <v>437</v>
      </c>
      <c r="B438">
        <f>LARGE(data!F:F,A438)</f>
        <v>0.51743467669999998</v>
      </c>
      <c r="C438">
        <f>COUNTIFS(data!D:D,data!$I$2,data!F:F,"&gt;="&amp;B438)</f>
        <v>283</v>
      </c>
      <c r="D438">
        <f>COUNTIFS(data!D:D,data!$J$2,data!F:F,"&gt;="&amp;B438)</f>
        <v>154</v>
      </c>
      <c r="E438">
        <f>COUNTIFS(data!D:D,data!$J$2,data!F:F,"&lt;"&amp;B438)</f>
        <v>569</v>
      </c>
      <c r="F438">
        <f>COUNTIFS(data!D:D,data!$I$2,data!F:F,"&lt;"&amp;B438)</f>
        <v>251</v>
      </c>
      <c r="G438">
        <f t="shared" si="36"/>
        <v>0.21300138312586445</v>
      </c>
      <c r="H438">
        <f t="shared" si="37"/>
        <v>0.52996254681647936</v>
      </c>
      <c r="I438">
        <f t="shared" si="41"/>
        <v>7.3300490569360647E-4</v>
      </c>
      <c r="J438">
        <f t="shared" si="38"/>
        <v>0.64759725400457668</v>
      </c>
      <c r="K438">
        <f t="shared" si="39"/>
        <v>0.58290422245108131</v>
      </c>
      <c r="L438">
        <f>A438*COUNTIF(data!D:D,data!$I$2)/data!$L$2</f>
        <v>185.64677804295943</v>
      </c>
      <c r="M438" s="1">
        <f>A438/data!$L$2</f>
        <v>0.34765314240254575</v>
      </c>
      <c r="N438">
        <f t="shared" si="40"/>
        <v>1.5244002776849304</v>
      </c>
    </row>
    <row r="439" spans="1:14" x14ac:dyDescent="0.2">
      <c r="A439">
        <v>438</v>
      </c>
      <c r="B439">
        <f>LARGE(data!F:F,A439)</f>
        <v>0.51636329319999996</v>
      </c>
      <c r="C439">
        <f>COUNTIFS(data!D:D,data!$I$2,data!F:F,"&gt;="&amp;B439)</f>
        <v>284</v>
      </c>
      <c r="D439">
        <f>COUNTIFS(data!D:D,data!$J$2,data!F:F,"&gt;="&amp;B439)</f>
        <v>154</v>
      </c>
      <c r="E439">
        <f>COUNTIFS(data!D:D,data!$J$2,data!F:F,"&lt;"&amp;B439)</f>
        <v>569</v>
      </c>
      <c r="F439">
        <f>COUNTIFS(data!D:D,data!$I$2,data!F:F,"&lt;"&amp;B439)</f>
        <v>250</v>
      </c>
      <c r="G439">
        <f t="shared" ref="G439:G502" si="42">D439/(E439+D439)</f>
        <v>0.21300138312586445</v>
      </c>
      <c r="H439">
        <f t="shared" ref="H439:H502" si="43">C439/(C439+F439)</f>
        <v>0.53183520599250933</v>
      </c>
      <c r="I439">
        <f t="shared" si="41"/>
        <v>0</v>
      </c>
      <c r="J439">
        <f t="shared" ref="J439:J502" si="44">C439/(C439+D439)</f>
        <v>0.64840182648401823</v>
      </c>
      <c r="K439">
        <f t="shared" ref="K439:K502" si="45">2*J439*H439/(J439+H439)</f>
        <v>0.58436213991769537</v>
      </c>
      <c r="L439">
        <f>A439*COUNTIF(data!D:D,data!$I$2)/data!$L$2</f>
        <v>186.07159904534606</v>
      </c>
      <c r="M439" s="1">
        <f>A439/data!$L$2</f>
        <v>0.34844868735083534</v>
      </c>
      <c r="N439">
        <f t="shared" si="40"/>
        <v>1.5262941870606948</v>
      </c>
    </row>
    <row r="440" spans="1:14" x14ac:dyDescent="0.2">
      <c r="A440">
        <v>439</v>
      </c>
      <c r="B440">
        <f>LARGE(data!F:F,A440)</f>
        <v>0.51624326909999996</v>
      </c>
      <c r="C440">
        <f>COUNTIFS(data!D:D,data!$I$2,data!F:F,"&gt;="&amp;B440)</f>
        <v>286</v>
      </c>
      <c r="D440">
        <f>COUNTIFS(data!D:D,data!$J$2,data!F:F,"&gt;="&amp;B440)</f>
        <v>154</v>
      </c>
      <c r="E440">
        <f>COUNTIFS(data!D:D,data!$J$2,data!F:F,"&lt;"&amp;B440)</f>
        <v>569</v>
      </c>
      <c r="F440">
        <f>COUNTIFS(data!D:D,data!$I$2,data!F:F,"&lt;"&amp;B440)</f>
        <v>248</v>
      </c>
      <c r="G440">
        <f t="shared" si="42"/>
        <v>0.21300138312586445</v>
      </c>
      <c r="H440">
        <f t="shared" si="43"/>
        <v>0.53558052434456926</v>
      </c>
      <c r="I440">
        <f t="shared" si="41"/>
        <v>0</v>
      </c>
      <c r="J440">
        <f t="shared" si="44"/>
        <v>0.65</v>
      </c>
      <c r="K440">
        <f t="shared" si="45"/>
        <v>0.58726899383983566</v>
      </c>
      <c r="L440">
        <f>A440*COUNTIF(data!D:D,data!$I$2)/data!$L$2</f>
        <v>186.4964200477327</v>
      </c>
      <c r="M440" s="1">
        <f>A440/data!$L$2</f>
        <v>0.34924423229912488</v>
      </c>
      <c r="N440">
        <f t="shared" si="40"/>
        <v>1.5335415013693021</v>
      </c>
    </row>
    <row r="441" spans="1:14" x14ac:dyDescent="0.2">
      <c r="A441">
        <v>440</v>
      </c>
      <c r="B441">
        <f>LARGE(data!F:F,A441)</f>
        <v>0.51624326909999996</v>
      </c>
      <c r="C441">
        <f>COUNTIFS(data!D:D,data!$I$2,data!F:F,"&gt;="&amp;B441)</f>
        <v>286</v>
      </c>
      <c r="D441">
        <f>COUNTIFS(data!D:D,data!$J$2,data!F:F,"&gt;="&amp;B441)</f>
        <v>154</v>
      </c>
      <c r="E441">
        <f>COUNTIFS(data!D:D,data!$J$2,data!F:F,"&lt;"&amp;B441)</f>
        <v>569</v>
      </c>
      <c r="F441">
        <f>COUNTIFS(data!D:D,data!$I$2,data!F:F,"&lt;"&amp;B441)</f>
        <v>248</v>
      </c>
      <c r="G441">
        <f t="shared" si="42"/>
        <v>0.21300138312586445</v>
      </c>
      <c r="H441">
        <f t="shared" si="43"/>
        <v>0.53558052434456926</v>
      </c>
      <c r="I441">
        <f t="shared" si="41"/>
        <v>0</v>
      </c>
      <c r="J441">
        <f t="shared" si="44"/>
        <v>0.65</v>
      </c>
      <c r="K441">
        <f t="shared" si="45"/>
        <v>0.58726899383983566</v>
      </c>
      <c r="L441">
        <f>A441*COUNTIF(data!D:D,data!$I$2)/data!$L$2</f>
        <v>186.92124105011933</v>
      </c>
      <c r="M441" s="1">
        <f>A441/data!$L$2</f>
        <v>0.35003977724741447</v>
      </c>
      <c r="N441">
        <f t="shared" si="40"/>
        <v>1.530056179775281</v>
      </c>
    </row>
    <row r="442" spans="1:14" x14ac:dyDescent="0.2">
      <c r="A442">
        <v>441</v>
      </c>
      <c r="B442">
        <f>LARGE(data!F:F,A442)</f>
        <v>0.51591590359999995</v>
      </c>
      <c r="C442">
        <f>COUNTIFS(data!D:D,data!$I$2,data!F:F,"&gt;="&amp;B442)</f>
        <v>286</v>
      </c>
      <c r="D442">
        <f>COUNTIFS(data!D:D,data!$J$2,data!F:F,"&gt;="&amp;B442)</f>
        <v>155</v>
      </c>
      <c r="E442">
        <f>COUNTIFS(data!D:D,data!$J$2,data!F:F,"&lt;"&amp;B442)</f>
        <v>568</v>
      </c>
      <c r="F442">
        <f>COUNTIFS(data!D:D,data!$I$2,data!F:F,"&lt;"&amp;B442)</f>
        <v>248</v>
      </c>
      <c r="G442">
        <f t="shared" si="42"/>
        <v>0.21438450899031811</v>
      </c>
      <c r="H442">
        <f t="shared" si="43"/>
        <v>0.53558052434456926</v>
      </c>
      <c r="I442">
        <f t="shared" si="41"/>
        <v>7.4077527571862702E-4</v>
      </c>
      <c r="J442">
        <f t="shared" si="44"/>
        <v>0.64852607709750565</v>
      </c>
      <c r="K442">
        <f t="shared" si="45"/>
        <v>0.58666666666666667</v>
      </c>
      <c r="L442">
        <f>A442*COUNTIF(data!D:D,data!$I$2)/data!$L$2</f>
        <v>187.34606205250597</v>
      </c>
      <c r="M442" s="1">
        <f>A442/data!$L$2</f>
        <v>0.35083532219570407</v>
      </c>
      <c r="N442">
        <f t="shared" si="40"/>
        <v>1.5265866646283981</v>
      </c>
    </row>
    <row r="443" spans="1:14" x14ac:dyDescent="0.2">
      <c r="A443">
        <v>442</v>
      </c>
      <c r="B443">
        <f>LARGE(data!F:F,A443)</f>
        <v>0.51550868510000003</v>
      </c>
      <c r="C443">
        <f>COUNTIFS(data!D:D,data!$I$2,data!F:F,"&gt;="&amp;B443)</f>
        <v>290</v>
      </c>
      <c r="D443">
        <f>COUNTIFS(data!D:D,data!$J$2,data!F:F,"&gt;="&amp;B443)</f>
        <v>155</v>
      </c>
      <c r="E443">
        <f>COUNTIFS(data!D:D,data!$J$2,data!F:F,"&lt;"&amp;B443)</f>
        <v>568</v>
      </c>
      <c r="F443">
        <f>COUNTIFS(data!D:D,data!$I$2,data!F:F,"&lt;"&amp;B443)</f>
        <v>244</v>
      </c>
      <c r="G443">
        <f t="shared" si="42"/>
        <v>0.21438450899031811</v>
      </c>
      <c r="H443">
        <f t="shared" si="43"/>
        <v>0.54307116104868913</v>
      </c>
      <c r="I443">
        <f t="shared" si="41"/>
        <v>0</v>
      </c>
      <c r="J443">
        <f t="shared" si="44"/>
        <v>0.651685393258427</v>
      </c>
      <c r="K443">
        <f t="shared" si="45"/>
        <v>0.59244126659856999</v>
      </c>
      <c r="L443">
        <f>A443*COUNTIF(data!D:D,data!$I$2)/data!$L$2</f>
        <v>187.77088305489261</v>
      </c>
      <c r="M443" s="1">
        <f>A443/data!$L$2</f>
        <v>0.35163086714399361</v>
      </c>
      <c r="N443">
        <f t="shared" si="40"/>
        <v>1.5444354059687833</v>
      </c>
    </row>
    <row r="444" spans="1:14" x14ac:dyDescent="0.2">
      <c r="A444">
        <v>443</v>
      </c>
      <c r="B444">
        <f>LARGE(data!F:F,A444)</f>
        <v>0.51550868510000003</v>
      </c>
      <c r="C444">
        <f>COUNTIFS(data!D:D,data!$I$2,data!F:F,"&gt;="&amp;B444)</f>
        <v>290</v>
      </c>
      <c r="D444">
        <f>COUNTIFS(data!D:D,data!$J$2,data!F:F,"&gt;="&amp;B444)</f>
        <v>155</v>
      </c>
      <c r="E444">
        <f>COUNTIFS(data!D:D,data!$J$2,data!F:F,"&lt;"&amp;B444)</f>
        <v>568</v>
      </c>
      <c r="F444">
        <f>COUNTIFS(data!D:D,data!$I$2,data!F:F,"&lt;"&amp;B444)</f>
        <v>244</v>
      </c>
      <c r="G444">
        <f t="shared" si="42"/>
        <v>0.21438450899031811</v>
      </c>
      <c r="H444">
        <f t="shared" si="43"/>
        <v>0.54307116104868913</v>
      </c>
      <c r="I444">
        <f t="shared" si="41"/>
        <v>0</v>
      </c>
      <c r="J444">
        <f t="shared" si="44"/>
        <v>0.651685393258427</v>
      </c>
      <c r="K444">
        <f t="shared" si="45"/>
        <v>0.59244126659856999</v>
      </c>
      <c r="L444">
        <f>A444*COUNTIF(data!D:D,data!$I$2)/data!$L$2</f>
        <v>188.19570405727924</v>
      </c>
      <c r="M444" s="1">
        <f>A444/data!$L$2</f>
        <v>0.3524264120922832</v>
      </c>
      <c r="N444">
        <f t="shared" si="40"/>
        <v>1.5409490957972962</v>
      </c>
    </row>
    <row r="445" spans="1:14" x14ac:dyDescent="0.2">
      <c r="A445">
        <v>444</v>
      </c>
      <c r="B445">
        <f>LARGE(data!F:F,A445)</f>
        <v>0.51550868510000003</v>
      </c>
      <c r="C445">
        <f>COUNTIFS(data!D:D,data!$I$2,data!F:F,"&gt;="&amp;B445)</f>
        <v>290</v>
      </c>
      <c r="D445">
        <f>COUNTIFS(data!D:D,data!$J$2,data!F:F,"&gt;="&amp;B445)</f>
        <v>155</v>
      </c>
      <c r="E445">
        <f>COUNTIFS(data!D:D,data!$J$2,data!F:F,"&lt;"&amp;B445)</f>
        <v>568</v>
      </c>
      <c r="F445">
        <f>COUNTIFS(data!D:D,data!$I$2,data!F:F,"&lt;"&amp;B445)</f>
        <v>244</v>
      </c>
      <c r="G445">
        <f t="shared" si="42"/>
        <v>0.21438450899031811</v>
      </c>
      <c r="H445">
        <f t="shared" si="43"/>
        <v>0.54307116104868913</v>
      </c>
      <c r="I445">
        <f t="shared" si="41"/>
        <v>0</v>
      </c>
      <c r="J445">
        <f t="shared" si="44"/>
        <v>0.651685393258427</v>
      </c>
      <c r="K445">
        <f t="shared" si="45"/>
        <v>0.59244126659856999</v>
      </c>
      <c r="L445">
        <f>A445*COUNTIF(data!D:D,data!$I$2)/data!$L$2</f>
        <v>188.62052505966588</v>
      </c>
      <c r="M445" s="1">
        <f>A445/data!$L$2</f>
        <v>0.3532219570405728</v>
      </c>
      <c r="N445">
        <f t="shared" si="40"/>
        <v>1.5374784897256806</v>
      </c>
    </row>
    <row r="446" spans="1:14" x14ac:dyDescent="0.2">
      <c r="A446">
        <v>445</v>
      </c>
      <c r="B446">
        <f>LARGE(data!F:F,A446)</f>
        <v>0.51550868510000003</v>
      </c>
      <c r="C446">
        <f>COUNTIFS(data!D:D,data!$I$2,data!F:F,"&gt;="&amp;B446)</f>
        <v>290</v>
      </c>
      <c r="D446">
        <f>COUNTIFS(data!D:D,data!$J$2,data!F:F,"&gt;="&amp;B446)</f>
        <v>155</v>
      </c>
      <c r="E446">
        <f>COUNTIFS(data!D:D,data!$J$2,data!F:F,"&lt;"&amp;B446)</f>
        <v>568</v>
      </c>
      <c r="F446">
        <f>COUNTIFS(data!D:D,data!$I$2,data!F:F,"&lt;"&amp;B446)</f>
        <v>244</v>
      </c>
      <c r="G446">
        <f t="shared" si="42"/>
        <v>0.21438450899031811</v>
      </c>
      <c r="H446">
        <f t="shared" si="43"/>
        <v>0.54307116104868913</v>
      </c>
      <c r="I446">
        <f t="shared" si="41"/>
        <v>0</v>
      </c>
      <c r="J446">
        <f t="shared" si="44"/>
        <v>0.651685393258427</v>
      </c>
      <c r="K446">
        <f t="shared" si="45"/>
        <v>0.59244126659856999</v>
      </c>
      <c r="L446">
        <f>A446*COUNTIF(data!D:D,data!$I$2)/data!$L$2</f>
        <v>189.04534606205252</v>
      </c>
      <c r="M446" s="1">
        <f>A446/data!$L$2</f>
        <v>0.35401750198886239</v>
      </c>
      <c r="N446">
        <f t="shared" si="40"/>
        <v>1.5340234818836005</v>
      </c>
    </row>
    <row r="447" spans="1:14" x14ac:dyDescent="0.2">
      <c r="A447">
        <v>446</v>
      </c>
      <c r="B447">
        <f>LARGE(data!F:F,A447)</f>
        <v>0.51516747819999997</v>
      </c>
      <c r="C447">
        <f>COUNTIFS(data!D:D,data!$I$2,data!F:F,"&gt;="&amp;B447)</f>
        <v>290</v>
      </c>
      <c r="D447">
        <f>COUNTIFS(data!D:D,data!$J$2,data!F:F,"&gt;="&amp;B447)</f>
        <v>156</v>
      </c>
      <c r="E447">
        <f>COUNTIFS(data!D:D,data!$J$2,data!F:F,"&lt;"&amp;B447)</f>
        <v>567</v>
      </c>
      <c r="F447">
        <f>COUNTIFS(data!D:D,data!$I$2,data!F:F,"&lt;"&amp;B447)</f>
        <v>244</v>
      </c>
      <c r="G447">
        <f t="shared" si="42"/>
        <v>0.21576763485477179</v>
      </c>
      <c r="H447">
        <f t="shared" si="43"/>
        <v>0.54307116104868913</v>
      </c>
      <c r="I447">
        <f t="shared" si="41"/>
        <v>7.5113576908533621E-4</v>
      </c>
      <c r="J447">
        <f t="shared" si="44"/>
        <v>0.65022421524663676</v>
      </c>
      <c r="K447">
        <f t="shared" si="45"/>
        <v>0.59183673469387743</v>
      </c>
      <c r="L447">
        <f>A447*COUNTIF(data!D:D,data!$I$2)/data!$L$2</f>
        <v>189.47016706443915</v>
      </c>
      <c r="M447" s="1">
        <f>A447/data!$L$2</f>
        <v>0.35481304693715193</v>
      </c>
      <c r="N447">
        <f t="shared" si="40"/>
        <v>1.5305839673502291</v>
      </c>
    </row>
    <row r="448" spans="1:14" x14ac:dyDescent="0.2">
      <c r="A448">
        <v>447</v>
      </c>
      <c r="B448">
        <f>LARGE(data!F:F,A448)</f>
        <v>0.51494717869999995</v>
      </c>
      <c r="C448">
        <f>COUNTIFS(data!D:D,data!$I$2,data!F:F,"&gt;="&amp;B448)</f>
        <v>291</v>
      </c>
      <c r="D448">
        <f>COUNTIFS(data!D:D,data!$J$2,data!F:F,"&gt;="&amp;B448)</f>
        <v>156</v>
      </c>
      <c r="E448">
        <f>COUNTIFS(data!D:D,data!$J$2,data!F:F,"&lt;"&amp;B448)</f>
        <v>567</v>
      </c>
      <c r="F448">
        <f>COUNTIFS(data!D:D,data!$I$2,data!F:F,"&lt;"&amp;B448)</f>
        <v>243</v>
      </c>
      <c r="G448">
        <f t="shared" si="42"/>
        <v>0.21576763485477179</v>
      </c>
      <c r="H448">
        <f t="shared" si="43"/>
        <v>0.5449438202247191</v>
      </c>
      <c r="I448">
        <f t="shared" si="41"/>
        <v>0</v>
      </c>
      <c r="J448">
        <f t="shared" si="44"/>
        <v>0.65100671140939592</v>
      </c>
      <c r="K448">
        <f t="shared" si="45"/>
        <v>0.59327217125382259</v>
      </c>
      <c r="L448">
        <f>A448*COUNTIF(data!D:D,data!$I$2)/data!$L$2</f>
        <v>189.89498806682579</v>
      </c>
      <c r="M448" s="1">
        <f>A448/data!$L$2</f>
        <v>0.35560859188544153</v>
      </c>
      <c r="N448">
        <f t="shared" si="40"/>
        <v>1.5324259105648139</v>
      </c>
    </row>
    <row r="449" spans="1:14" x14ac:dyDescent="0.2">
      <c r="A449">
        <v>448</v>
      </c>
      <c r="B449">
        <f>LARGE(data!F:F,A449)</f>
        <v>0.51403229269999995</v>
      </c>
      <c r="C449">
        <f>COUNTIFS(data!D:D,data!$I$2,data!F:F,"&gt;="&amp;B449)</f>
        <v>292</v>
      </c>
      <c r="D449">
        <f>COUNTIFS(data!D:D,data!$J$2,data!F:F,"&gt;="&amp;B449)</f>
        <v>156</v>
      </c>
      <c r="E449">
        <f>COUNTIFS(data!D:D,data!$J$2,data!F:F,"&lt;"&amp;B449)</f>
        <v>567</v>
      </c>
      <c r="F449">
        <f>COUNTIFS(data!D:D,data!$I$2,data!F:F,"&lt;"&amp;B449)</f>
        <v>242</v>
      </c>
      <c r="G449">
        <f t="shared" si="42"/>
        <v>0.21576763485477179</v>
      </c>
      <c r="H449">
        <f t="shared" si="43"/>
        <v>0.54681647940074907</v>
      </c>
      <c r="I449">
        <f t="shared" si="41"/>
        <v>0</v>
      </c>
      <c r="J449">
        <f t="shared" si="44"/>
        <v>0.6517857142857143</v>
      </c>
      <c r="K449">
        <f t="shared" si="45"/>
        <v>0.59470468431771895</v>
      </c>
      <c r="L449">
        <f>A449*COUNTIF(data!D:D,data!$I$2)/data!$L$2</f>
        <v>190.3198090692124</v>
      </c>
      <c r="M449" s="1">
        <f>A449/data!$L$2</f>
        <v>0.35640413683373112</v>
      </c>
      <c r="N449">
        <f t="shared" si="40"/>
        <v>1.5342596308186196</v>
      </c>
    </row>
    <row r="450" spans="1:14" x14ac:dyDescent="0.2">
      <c r="A450">
        <v>449</v>
      </c>
      <c r="B450">
        <f>LARGE(data!F:F,A450)</f>
        <v>0.51360836970000001</v>
      </c>
      <c r="C450">
        <f>COUNTIFS(data!D:D,data!$I$2,data!F:F,"&gt;="&amp;B450)</f>
        <v>292</v>
      </c>
      <c r="D450">
        <f>COUNTIFS(data!D:D,data!$J$2,data!F:F,"&gt;="&amp;B450)</f>
        <v>157</v>
      </c>
      <c r="E450">
        <f>COUNTIFS(data!D:D,data!$J$2,data!F:F,"&lt;"&amp;B450)</f>
        <v>566</v>
      </c>
      <c r="F450">
        <f>COUNTIFS(data!D:D,data!$I$2,data!F:F,"&lt;"&amp;B450)</f>
        <v>242</v>
      </c>
      <c r="G450">
        <f t="shared" si="42"/>
        <v>0.21715076071922546</v>
      </c>
      <c r="H450">
        <f t="shared" si="43"/>
        <v>0.54681647940074907</v>
      </c>
      <c r="I450">
        <f t="shared" si="41"/>
        <v>7.563160157686682E-4</v>
      </c>
      <c r="J450">
        <f t="shared" si="44"/>
        <v>0.65033407572383073</v>
      </c>
      <c r="K450">
        <f t="shared" si="45"/>
        <v>0.59409969481180058</v>
      </c>
      <c r="L450">
        <f>A450*COUNTIF(data!D:D,data!$I$2)/data!$L$2</f>
        <v>190.74463007159903</v>
      </c>
      <c r="M450" s="1">
        <f>A450/data!$L$2</f>
        <v>0.35719968178202066</v>
      </c>
      <c r="N450">
        <f t="shared" ref="N450:N513" si="46">C450/L450</f>
        <v>1.5308425715072196</v>
      </c>
    </row>
    <row r="451" spans="1:14" x14ac:dyDescent="0.2">
      <c r="A451">
        <v>450</v>
      </c>
      <c r="B451">
        <f>LARGE(data!F:F,A451)</f>
        <v>0.51308611449999997</v>
      </c>
      <c r="C451">
        <f>COUNTIFS(data!D:D,data!$I$2,data!F:F,"&gt;="&amp;B451)</f>
        <v>292</v>
      </c>
      <c r="D451">
        <f>COUNTIFS(data!D:D,data!$J$2,data!F:F,"&gt;="&amp;B451)</f>
        <v>158</v>
      </c>
      <c r="E451">
        <f>COUNTIFS(data!D:D,data!$J$2,data!F:F,"&lt;"&amp;B451)</f>
        <v>565</v>
      </c>
      <c r="F451">
        <f>COUNTIFS(data!D:D,data!$I$2,data!F:F,"&lt;"&amp;B451)</f>
        <v>242</v>
      </c>
      <c r="G451">
        <f t="shared" si="42"/>
        <v>0.21853388658367912</v>
      </c>
      <c r="H451">
        <f t="shared" si="43"/>
        <v>0.54681647940074907</v>
      </c>
      <c r="I451">
        <f t="shared" ref="I451:I514" si="47">(G451-G450)*(H451+H450)*0.5</f>
        <v>7.563160157686682E-4</v>
      </c>
      <c r="J451">
        <f t="shared" si="44"/>
        <v>0.64888888888888885</v>
      </c>
      <c r="K451">
        <f t="shared" si="45"/>
        <v>0.5934959349593496</v>
      </c>
      <c r="L451">
        <f>A451*COUNTIF(data!D:D,data!$I$2)/data!$L$2</f>
        <v>191.16945107398567</v>
      </c>
      <c r="M451" s="1">
        <f>A451/data!$L$2</f>
        <v>0.35799522673031026</v>
      </c>
      <c r="N451">
        <f t="shared" si="46"/>
        <v>1.5274406991260925</v>
      </c>
    </row>
    <row r="452" spans="1:14" x14ac:dyDescent="0.2">
      <c r="A452">
        <v>451</v>
      </c>
      <c r="B452">
        <f>LARGE(data!F:F,A452)</f>
        <v>0.51216064979999998</v>
      </c>
      <c r="C452">
        <f>COUNTIFS(data!D:D,data!$I$2,data!F:F,"&gt;="&amp;B452)</f>
        <v>292</v>
      </c>
      <c r="D452">
        <f>COUNTIFS(data!D:D,data!$J$2,data!F:F,"&gt;="&amp;B452)</f>
        <v>159</v>
      </c>
      <c r="E452">
        <f>COUNTIFS(data!D:D,data!$J$2,data!F:F,"&lt;"&amp;B452)</f>
        <v>564</v>
      </c>
      <c r="F452">
        <f>COUNTIFS(data!D:D,data!$I$2,data!F:F,"&lt;"&amp;B452)</f>
        <v>242</v>
      </c>
      <c r="G452">
        <f t="shared" si="42"/>
        <v>0.21991701244813278</v>
      </c>
      <c r="H452">
        <f t="shared" si="43"/>
        <v>0.54681647940074907</v>
      </c>
      <c r="I452">
        <f t="shared" si="47"/>
        <v>7.563160157686682E-4</v>
      </c>
      <c r="J452">
        <f t="shared" si="44"/>
        <v>0.64745011086474502</v>
      </c>
      <c r="K452">
        <f t="shared" si="45"/>
        <v>0.59289340101522847</v>
      </c>
      <c r="L452">
        <f>A452*COUNTIF(data!D:D,data!$I$2)/data!$L$2</f>
        <v>191.59427207637231</v>
      </c>
      <c r="M452" s="1">
        <f>A452/data!$L$2</f>
        <v>0.35879077167859985</v>
      </c>
      <c r="N452">
        <f t="shared" si="46"/>
        <v>1.5240539126535291</v>
      </c>
    </row>
    <row r="453" spans="1:14" x14ac:dyDescent="0.2">
      <c r="A453">
        <v>452</v>
      </c>
      <c r="B453">
        <f>LARGE(data!F:F,A453)</f>
        <v>0.51157223549999997</v>
      </c>
      <c r="C453">
        <f>COUNTIFS(data!D:D,data!$I$2,data!F:F,"&gt;="&amp;B453)</f>
        <v>292</v>
      </c>
      <c r="D453">
        <f>COUNTIFS(data!D:D,data!$J$2,data!F:F,"&gt;="&amp;B453)</f>
        <v>160</v>
      </c>
      <c r="E453">
        <f>COUNTIFS(data!D:D,data!$J$2,data!F:F,"&lt;"&amp;B453)</f>
        <v>563</v>
      </c>
      <c r="F453">
        <f>COUNTIFS(data!D:D,data!$I$2,data!F:F,"&lt;"&amp;B453)</f>
        <v>242</v>
      </c>
      <c r="G453">
        <f t="shared" si="42"/>
        <v>0.22130013831258644</v>
      </c>
      <c r="H453">
        <f t="shared" si="43"/>
        <v>0.54681647940074907</v>
      </c>
      <c r="I453">
        <f t="shared" si="47"/>
        <v>7.563160157686682E-4</v>
      </c>
      <c r="J453">
        <f t="shared" si="44"/>
        <v>0.64601769911504425</v>
      </c>
      <c r="K453">
        <f t="shared" si="45"/>
        <v>0.59229208924949295</v>
      </c>
      <c r="L453">
        <f>A453*COUNTIF(data!D:D,data!$I$2)/data!$L$2</f>
        <v>192.01909307875894</v>
      </c>
      <c r="M453" s="1">
        <f>A453/data!$L$2</f>
        <v>0.35958631662688945</v>
      </c>
      <c r="N453">
        <f t="shared" si="46"/>
        <v>1.5206821119618177</v>
      </c>
    </row>
    <row r="454" spans="1:14" x14ac:dyDescent="0.2">
      <c r="A454">
        <v>453</v>
      </c>
      <c r="B454">
        <f>LARGE(data!F:F,A454)</f>
        <v>0.51144827559999995</v>
      </c>
      <c r="C454">
        <f>COUNTIFS(data!D:D,data!$I$2,data!F:F,"&gt;="&amp;B454)</f>
        <v>292</v>
      </c>
      <c r="D454">
        <f>COUNTIFS(data!D:D,data!$J$2,data!F:F,"&gt;="&amp;B454)</f>
        <v>161</v>
      </c>
      <c r="E454">
        <f>COUNTIFS(data!D:D,data!$J$2,data!F:F,"&lt;"&amp;B454)</f>
        <v>562</v>
      </c>
      <c r="F454">
        <f>COUNTIFS(data!D:D,data!$I$2,data!F:F,"&lt;"&amp;B454)</f>
        <v>242</v>
      </c>
      <c r="G454">
        <f t="shared" si="42"/>
        <v>0.22268326417704012</v>
      </c>
      <c r="H454">
        <f t="shared" si="43"/>
        <v>0.54681647940074907</v>
      </c>
      <c r="I454">
        <f t="shared" si="47"/>
        <v>7.5631601576868338E-4</v>
      </c>
      <c r="J454">
        <f t="shared" si="44"/>
        <v>0.64459161147902866</v>
      </c>
      <c r="K454">
        <f t="shared" si="45"/>
        <v>0.59169199594731514</v>
      </c>
      <c r="L454">
        <f>A454*COUNTIF(data!D:D,data!$I$2)/data!$L$2</f>
        <v>192.44391408114558</v>
      </c>
      <c r="M454" s="1">
        <f>A454/data!$L$2</f>
        <v>0.36038186157517899</v>
      </c>
      <c r="N454">
        <f t="shared" si="46"/>
        <v>1.5173251978073765</v>
      </c>
    </row>
    <row r="455" spans="1:14" x14ac:dyDescent="0.2">
      <c r="A455">
        <v>454</v>
      </c>
      <c r="B455">
        <f>LARGE(data!F:F,A455)</f>
        <v>0.51079408839999996</v>
      </c>
      <c r="C455">
        <f>COUNTIFS(data!D:D,data!$I$2,data!F:F,"&gt;="&amp;B455)</f>
        <v>293</v>
      </c>
      <c r="D455">
        <f>COUNTIFS(data!D:D,data!$J$2,data!F:F,"&gt;="&amp;B455)</f>
        <v>161</v>
      </c>
      <c r="E455">
        <f>COUNTIFS(data!D:D,data!$J$2,data!F:F,"&lt;"&amp;B455)</f>
        <v>562</v>
      </c>
      <c r="F455">
        <f>COUNTIFS(data!D:D,data!$I$2,data!F:F,"&lt;"&amp;B455)</f>
        <v>241</v>
      </c>
      <c r="G455">
        <f t="shared" si="42"/>
        <v>0.22268326417704012</v>
      </c>
      <c r="H455">
        <f t="shared" si="43"/>
        <v>0.54868913857677903</v>
      </c>
      <c r="I455">
        <f t="shared" si="47"/>
        <v>0</v>
      </c>
      <c r="J455">
        <f t="shared" si="44"/>
        <v>0.64537444933920707</v>
      </c>
      <c r="K455">
        <f t="shared" si="45"/>
        <v>0.59311740890688269</v>
      </c>
      <c r="L455">
        <f>A455*COUNTIF(data!D:D,data!$I$2)/data!$L$2</f>
        <v>192.86873508353221</v>
      </c>
      <c r="M455" s="1">
        <f>A455/data!$L$2</f>
        <v>0.36117740652346858</v>
      </c>
      <c r="N455">
        <f t="shared" si="46"/>
        <v>1.5191679453546503</v>
      </c>
    </row>
    <row r="456" spans="1:14" x14ac:dyDescent="0.2">
      <c r="A456">
        <v>455</v>
      </c>
      <c r="B456">
        <f>LARGE(data!F:F,A456)</f>
        <v>0.51064725229999997</v>
      </c>
      <c r="C456">
        <f>COUNTIFS(data!D:D,data!$I$2,data!F:F,"&gt;="&amp;B456)</f>
        <v>293</v>
      </c>
      <c r="D456">
        <f>COUNTIFS(data!D:D,data!$J$2,data!F:F,"&gt;="&amp;B456)</f>
        <v>162</v>
      </c>
      <c r="E456">
        <f>COUNTIFS(data!D:D,data!$J$2,data!F:F,"&lt;"&amp;B456)</f>
        <v>561</v>
      </c>
      <c r="F456">
        <f>COUNTIFS(data!D:D,data!$I$2,data!F:F,"&lt;"&amp;B456)</f>
        <v>241</v>
      </c>
      <c r="G456">
        <f t="shared" si="42"/>
        <v>0.22406639004149378</v>
      </c>
      <c r="H456">
        <f t="shared" si="43"/>
        <v>0.54868913857677903</v>
      </c>
      <c r="I456">
        <f t="shared" si="47"/>
        <v>7.5890613911034179E-4</v>
      </c>
      <c r="J456">
        <f t="shared" si="44"/>
        <v>0.643956043956044</v>
      </c>
      <c r="K456">
        <f t="shared" si="45"/>
        <v>0.59251769464105164</v>
      </c>
      <c r="L456">
        <f>A456*COUNTIF(data!D:D,data!$I$2)/data!$L$2</f>
        <v>193.29355608591885</v>
      </c>
      <c r="M456" s="1">
        <f>A456/data!$L$2</f>
        <v>0.36197295147175818</v>
      </c>
      <c r="N456">
        <f t="shared" si="46"/>
        <v>1.5158291147055192</v>
      </c>
    </row>
    <row r="457" spans="1:14" x14ac:dyDescent="0.2">
      <c r="A457">
        <v>456</v>
      </c>
      <c r="B457">
        <f>LARGE(data!F:F,A457)</f>
        <v>0.51045679990000004</v>
      </c>
      <c r="C457">
        <f>COUNTIFS(data!D:D,data!$I$2,data!F:F,"&gt;="&amp;B457)</f>
        <v>294</v>
      </c>
      <c r="D457">
        <f>COUNTIFS(data!D:D,data!$J$2,data!F:F,"&gt;="&amp;B457)</f>
        <v>162</v>
      </c>
      <c r="E457">
        <f>COUNTIFS(data!D:D,data!$J$2,data!F:F,"&lt;"&amp;B457)</f>
        <v>561</v>
      </c>
      <c r="F457">
        <f>COUNTIFS(data!D:D,data!$I$2,data!F:F,"&lt;"&amp;B457)</f>
        <v>240</v>
      </c>
      <c r="G457">
        <f t="shared" si="42"/>
        <v>0.22406639004149378</v>
      </c>
      <c r="H457">
        <f t="shared" si="43"/>
        <v>0.550561797752809</v>
      </c>
      <c r="I457">
        <f t="shared" si="47"/>
        <v>0</v>
      </c>
      <c r="J457">
        <f t="shared" si="44"/>
        <v>0.64473684210526316</v>
      </c>
      <c r="K457">
        <f t="shared" si="45"/>
        <v>0.59393939393939399</v>
      </c>
      <c r="L457">
        <f>A457*COUNTIF(data!D:D,data!$I$2)/data!$L$2</f>
        <v>193.71837708830549</v>
      </c>
      <c r="M457" s="1">
        <f>A457/data!$L$2</f>
        <v>0.36276849642004771</v>
      </c>
      <c r="N457">
        <f t="shared" si="46"/>
        <v>1.5176670609107037</v>
      </c>
    </row>
    <row r="458" spans="1:14" x14ac:dyDescent="0.2">
      <c r="A458">
        <v>457</v>
      </c>
      <c r="B458">
        <f>LARGE(data!F:F,A458)</f>
        <v>0.50774859289999996</v>
      </c>
      <c r="C458">
        <f>COUNTIFS(data!D:D,data!$I$2,data!F:F,"&gt;="&amp;B458)</f>
        <v>297</v>
      </c>
      <c r="D458">
        <f>COUNTIFS(data!D:D,data!$J$2,data!F:F,"&gt;="&amp;B458)</f>
        <v>162</v>
      </c>
      <c r="E458">
        <f>COUNTIFS(data!D:D,data!$J$2,data!F:F,"&lt;"&amp;B458)</f>
        <v>561</v>
      </c>
      <c r="F458">
        <f>COUNTIFS(data!D:D,data!$I$2,data!F:F,"&lt;"&amp;B458)</f>
        <v>237</v>
      </c>
      <c r="G458">
        <f t="shared" si="42"/>
        <v>0.22406639004149378</v>
      </c>
      <c r="H458">
        <f t="shared" si="43"/>
        <v>0.5561797752808989</v>
      </c>
      <c r="I458">
        <f t="shared" si="47"/>
        <v>0</v>
      </c>
      <c r="J458">
        <f t="shared" si="44"/>
        <v>0.6470588235294118</v>
      </c>
      <c r="K458">
        <f t="shared" si="45"/>
        <v>0.59818731117824775</v>
      </c>
      <c r="L458">
        <f>A458*COUNTIF(data!D:D,data!$I$2)/data!$L$2</f>
        <v>194.14319809069212</v>
      </c>
      <c r="M458" s="1">
        <f>A458/data!$L$2</f>
        <v>0.36356404136833731</v>
      </c>
      <c r="N458">
        <f t="shared" si="46"/>
        <v>1.5297986379170456</v>
      </c>
    </row>
    <row r="459" spans="1:14" x14ac:dyDescent="0.2">
      <c r="A459">
        <v>458</v>
      </c>
      <c r="B459">
        <f>LARGE(data!F:F,A459)</f>
        <v>0.50774859289999996</v>
      </c>
      <c r="C459">
        <f>COUNTIFS(data!D:D,data!$I$2,data!F:F,"&gt;="&amp;B459)</f>
        <v>297</v>
      </c>
      <c r="D459">
        <f>COUNTIFS(data!D:D,data!$J$2,data!F:F,"&gt;="&amp;B459)</f>
        <v>162</v>
      </c>
      <c r="E459">
        <f>COUNTIFS(data!D:D,data!$J$2,data!F:F,"&lt;"&amp;B459)</f>
        <v>561</v>
      </c>
      <c r="F459">
        <f>COUNTIFS(data!D:D,data!$I$2,data!F:F,"&lt;"&amp;B459)</f>
        <v>237</v>
      </c>
      <c r="G459">
        <f t="shared" si="42"/>
        <v>0.22406639004149378</v>
      </c>
      <c r="H459">
        <f t="shared" si="43"/>
        <v>0.5561797752808989</v>
      </c>
      <c r="I459">
        <f t="shared" si="47"/>
        <v>0</v>
      </c>
      <c r="J459">
        <f t="shared" si="44"/>
        <v>0.6470588235294118</v>
      </c>
      <c r="K459">
        <f t="shared" si="45"/>
        <v>0.59818731117824775</v>
      </c>
      <c r="L459">
        <f>A459*COUNTIF(data!D:D,data!$I$2)/data!$L$2</f>
        <v>194.56801909307876</v>
      </c>
      <c r="M459" s="1">
        <f>A459/data!$L$2</f>
        <v>0.3643595863166269</v>
      </c>
      <c r="N459">
        <f t="shared" si="46"/>
        <v>1.5264584662185368</v>
      </c>
    </row>
    <row r="460" spans="1:14" x14ac:dyDescent="0.2">
      <c r="A460">
        <v>459</v>
      </c>
      <c r="B460">
        <f>LARGE(data!F:F,A460)</f>
        <v>0.50774859289999996</v>
      </c>
      <c r="C460">
        <f>COUNTIFS(data!D:D,data!$I$2,data!F:F,"&gt;="&amp;B460)</f>
        <v>297</v>
      </c>
      <c r="D460">
        <f>COUNTIFS(data!D:D,data!$J$2,data!F:F,"&gt;="&amp;B460)</f>
        <v>162</v>
      </c>
      <c r="E460">
        <f>COUNTIFS(data!D:D,data!$J$2,data!F:F,"&lt;"&amp;B460)</f>
        <v>561</v>
      </c>
      <c r="F460">
        <f>COUNTIFS(data!D:D,data!$I$2,data!F:F,"&lt;"&amp;B460)</f>
        <v>237</v>
      </c>
      <c r="G460">
        <f t="shared" si="42"/>
        <v>0.22406639004149378</v>
      </c>
      <c r="H460">
        <f t="shared" si="43"/>
        <v>0.5561797752808989</v>
      </c>
      <c r="I460">
        <f t="shared" si="47"/>
        <v>0</v>
      </c>
      <c r="J460">
        <f t="shared" si="44"/>
        <v>0.6470588235294118</v>
      </c>
      <c r="K460">
        <f t="shared" si="45"/>
        <v>0.59818731117824775</v>
      </c>
      <c r="L460">
        <f>A460*COUNTIF(data!D:D,data!$I$2)/data!$L$2</f>
        <v>194.9928400954654</v>
      </c>
      <c r="M460" s="1">
        <f>A460/data!$L$2</f>
        <v>0.36515513126491644</v>
      </c>
      <c r="N460">
        <f t="shared" si="46"/>
        <v>1.5231328486450759</v>
      </c>
    </row>
    <row r="461" spans="1:14" x14ac:dyDescent="0.2">
      <c r="A461">
        <v>460</v>
      </c>
      <c r="B461">
        <f>LARGE(data!F:F,A461)</f>
        <v>0.50754136149999995</v>
      </c>
      <c r="C461">
        <f>COUNTIFS(data!D:D,data!$I$2,data!F:F,"&gt;="&amp;B461)</f>
        <v>298</v>
      </c>
      <c r="D461">
        <f>COUNTIFS(data!D:D,data!$J$2,data!F:F,"&gt;="&amp;B461)</f>
        <v>162</v>
      </c>
      <c r="E461">
        <f>COUNTIFS(data!D:D,data!$J$2,data!F:F,"&lt;"&amp;B461)</f>
        <v>561</v>
      </c>
      <c r="F461">
        <f>COUNTIFS(data!D:D,data!$I$2,data!F:F,"&lt;"&amp;B461)</f>
        <v>236</v>
      </c>
      <c r="G461">
        <f t="shared" si="42"/>
        <v>0.22406639004149378</v>
      </c>
      <c r="H461">
        <f t="shared" si="43"/>
        <v>0.55805243445692887</v>
      </c>
      <c r="I461">
        <f t="shared" si="47"/>
        <v>0</v>
      </c>
      <c r="J461">
        <f t="shared" si="44"/>
        <v>0.64782608695652177</v>
      </c>
      <c r="K461">
        <f t="shared" si="45"/>
        <v>0.59959758551307851</v>
      </c>
      <c r="L461">
        <f>A461*COUNTIF(data!D:D,data!$I$2)/data!$L$2</f>
        <v>195.41766109785203</v>
      </c>
      <c r="M461" s="1">
        <f>A461/data!$L$2</f>
        <v>0.36595067621320604</v>
      </c>
      <c r="N461">
        <f t="shared" si="46"/>
        <v>1.5249389350268685</v>
      </c>
    </row>
    <row r="462" spans="1:14" x14ac:dyDescent="0.2">
      <c r="A462">
        <v>461</v>
      </c>
      <c r="B462">
        <f>LARGE(data!F:F,A462)</f>
        <v>0.50594577159999998</v>
      </c>
      <c r="C462">
        <f>COUNTIFS(data!D:D,data!$I$2,data!F:F,"&gt;="&amp;B462)</f>
        <v>301</v>
      </c>
      <c r="D462">
        <f>COUNTIFS(data!D:D,data!$J$2,data!F:F,"&gt;="&amp;B462)</f>
        <v>162</v>
      </c>
      <c r="E462">
        <f>COUNTIFS(data!D:D,data!$J$2,data!F:F,"&lt;"&amp;B462)</f>
        <v>561</v>
      </c>
      <c r="F462">
        <f>COUNTIFS(data!D:D,data!$I$2,data!F:F,"&lt;"&amp;B462)</f>
        <v>233</v>
      </c>
      <c r="G462">
        <f t="shared" si="42"/>
        <v>0.22406639004149378</v>
      </c>
      <c r="H462">
        <f t="shared" si="43"/>
        <v>0.56367041198501877</v>
      </c>
      <c r="I462">
        <f t="shared" si="47"/>
        <v>0</v>
      </c>
      <c r="J462">
        <f t="shared" si="44"/>
        <v>0.6501079913606912</v>
      </c>
      <c r="K462">
        <f t="shared" si="45"/>
        <v>0.60381143430290884</v>
      </c>
      <c r="L462">
        <f>A462*COUNTIF(data!D:D,data!$I$2)/data!$L$2</f>
        <v>195.84248210023867</v>
      </c>
      <c r="M462" s="1">
        <f>A462/data!$L$2</f>
        <v>0.36674622116149563</v>
      </c>
      <c r="N462">
        <f t="shared" si="46"/>
        <v>1.5369494747617538</v>
      </c>
    </row>
    <row r="463" spans="1:14" x14ac:dyDescent="0.2">
      <c r="A463">
        <v>462</v>
      </c>
      <c r="B463">
        <f>LARGE(data!F:F,A463)</f>
        <v>0.50594577159999998</v>
      </c>
      <c r="C463">
        <f>COUNTIFS(data!D:D,data!$I$2,data!F:F,"&gt;="&amp;B463)</f>
        <v>301</v>
      </c>
      <c r="D463">
        <f>COUNTIFS(data!D:D,data!$J$2,data!F:F,"&gt;="&amp;B463)</f>
        <v>162</v>
      </c>
      <c r="E463">
        <f>COUNTIFS(data!D:D,data!$J$2,data!F:F,"&lt;"&amp;B463)</f>
        <v>561</v>
      </c>
      <c r="F463">
        <f>COUNTIFS(data!D:D,data!$I$2,data!F:F,"&lt;"&amp;B463)</f>
        <v>233</v>
      </c>
      <c r="G463">
        <f t="shared" si="42"/>
        <v>0.22406639004149378</v>
      </c>
      <c r="H463">
        <f t="shared" si="43"/>
        <v>0.56367041198501877</v>
      </c>
      <c r="I463">
        <f t="shared" si="47"/>
        <v>0</v>
      </c>
      <c r="J463">
        <f t="shared" si="44"/>
        <v>0.6501079913606912</v>
      </c>
      <c r="K463">
        <f t="shared" si="45"/>
        <v>0.60381143430290884</v>
      </c>
      <c r="L463">
        <f>A463*COUNTIF(data!D:D,data!$I$2)/data!$L$2</f>
        <v>196.26730310262531</v>
      </c>
      <c r="M463" s="1">
        <f>A463/data!$L$2</f>
        <v>0.36754176610978523</v>
      </c>
      <c r="N463">
        <f t="shared" si="46"/>
        <v>1.5336227442969015</v>
      </c>
    </row>
    <row r="464" spans="1:14" x14ac:dyDescent="0.2">
      <c r="A464">
        <v>463</v>
      </c>
      <c r="B464">
        <f>LARGE(data!F:F,A464)</f>
        <v>0.50594577159999998</v>
      </c>
      <c r="C464">
        <f>COUNTIFS(data!D:D,data!$I$2,data!F:F,"&gt;="&amp;B464)</f>
        <v>301</v>
      </c>
      <c r="D464">
        <f>COUNTIFS(data!D:D,data!$J$2,data!F:F,"&gt;="&amp;B464)</f>
        <v>162</v>
      </c>
      <c r="E464">
        <f>COUNTIFS(data!D:D,data!$J$2,data!F:F,"&lt;"&amp;B464)</f>
        <v>561</v>
      </c>
      <c r="F464">
        <f>COUNTIFS(data!D:D,data!$I$2,data!F:F,"&lt;"&amp;B464)</f>
        <v>233</v>
      </c>
      <c r="G464">
        <f t="shared" si="42"/>
        <v>0.22406639004149378</v>
      </c>
      <c r="H464">
        <f t="shared" si="43"/>
        <v>0.56367041198501877</v>
      </c>
      <c r="I464">
        <f t="shared" si="47"/>
        <v>0</v>
      </c>
      <c r="J464">
        <f t="shared" si="44"/>
        <v>0.6501079913606912</v>
      </c>
      <c r="K464">
        <f t="shared" si="45"/>
        <v>0.60381143430290884</v>
      </c>
      <c r="L464">
        <f>A464*COUNTIF(data!D:D,data!$I$2)/data!$L$2</f>
        <v>196.69212410501194</v>
      </c>
      <c r="M464" s="1">
        <f>A464/data!$L$2</f>
        <v>0.36833731105807477</v>
      </c>
      <c r="N464">
        <f t="shared" si="46"/>
        <v>1.5303103841580314</v>
      </c>
    </row>
    <row r="465" spans="1:14" x14ac:dyDescent="0.2">
      <c r="A465">
        <v>464</v>
      </c>
      <c r="B465">
        <f>LARGE(data!F:F,A465)</f>
        <v>0.50461931360000001</v>
      </c>
      <c r="C465">
        <f>COUNTIFS(data!D:D,data!$I$2,data!F:F,"&gt;="&amp;B465)</f>
        <v>301</v>
      </c>
      <c r="D465">
        <f>COUNTIFS(data!D:D,data!$J$2,data!F:F,"&gt;="&amp;B465)</f>
        <v>163</v>
      </c>
      <c r="E465">
        <f>COUNTIFS(data!D:D,data!$J$2,data!F:F,"&lt;"&amp;B465)</f>
        <v>560</v>
      </c>
      <c r="F465">
        <f>COUNTIFS(data!D:D,data!$I$2,data!F:F,"&lt;"&amp;B465)</f>
        <v>233</v>
      </c>
      <c r="G465">
        <f t="shared" si="42"/>
        <v>0.22544951590594745</v>
      </c>
      <c r="H465">
        <f t="shared" si="43"/>
        <v>0.56367041198501877</v>
      </c>
      <c r="I465">
        <f t="shared" si="47"/>
        <v>7.7962712584372994E-4</v>
      </c>
      <c r="J465">
        <f t="shared" si="44"/>
        <v>0.64870689655172409</v>
      </c>
      <c r="K465">
        <f t="shared" si="45"/>
        <v>0.60320641282565135</v>
      </c>
      <c r="L465">
        <f>A465*COUNTIF(data!D:D,data!$I$2)/data!$L$2</f>
        <v>197.11694510739858</v>
      </c>
      <c r="M465" s="1">
        <f>A465/data!$L$2</f>
        <v>0.36913285600636436</v>
      </c>
      <c r="N465">
        <f t="shared" si="46"/>
        <v>1.5270123014335528</v>
      </c>
    </row>
    <row r="466" spans="1:14" x14ac:dyDescent="0.2">
      <c r="A466">
        <v>465</v>
      </c>
      <c r="B466">
        <f>LARGE(data!F:F,A466)</f>
        <v>0.50434438130000003</v>
      </c>
      <c r="C466">
        <f>COUNTIFS(data!D:D,data!$I$2,data!F:F,"&gt;="&amp;B466)</f>
        <v>302</v>
      </c>
      <c r="D466">
        <f>COUNTIFS(data!D:D,data!$J$2,data!F:F,"&gt;="&amp;B466)</f>
        <v>163</v>
      </c>
      <c r="E466">
        <f>COUNTIFS(data!D:D,data!$J$2,data!F:F,"&lt;"&amp;B466)</f>
        <v>560</v>
      </c>
      <c r="F466">
        <f>COUNTIFS(data!D:D,data!$I$2,data!F:F,"&lt;"&amp;B466)</f>
        <v>232</v>
      </c>
      <c r="G466">
        <f t="shared" si="42"/>
        <v>0.22544951590594745</v>
      </c>
      <c r="H466">
        <f t="shared" si="43"/>
        <v>0.56554307116104874</v>
      </c>
      <c r="I466">
        <f t="shared" si="47"/>
        <v>0</v>
      </c>
      <c r="J466">
        <f t="shared" si="44"/>
        <v>0.64946236559139781</v>
      </c>
      <c r="K466">
        <f t="shared" si="45"/>
        <v>0.60460460460460452</v>
      </c>
      <c r="L466">
        <f>A466*COUNTIF(data!D:D,data!$I$2)/data!$L$2</f>
        <v>197.54176610978521</v>
      </c>
      <c r="M466" s="1">
        <f>A466/data!$L$2</f>
        <v>0.36992840095465396</v>
      </c>
      <c r="N466">
        <f t="shared" si="46"/>
        <v>1.5287906246224476</v>
      </c>
    </row>
    <row r="467" spans="1:14" x14ac:dyDescent="0.2">
      <c r="A467">
        <v>466</v>
      </c>
      <c r="B467">
        <f>LARGE(data!F:F,A467)</f>
        <v>0.50410728260000004</v>
      </c>
      <c r="C467">
        <f>COUNTIFS(data!D:D,data!$I$2,data!F:F,"&gt;="&amp;B467)</f>
        <v>303</v>
      </c>
      <c r="D467">
        <f>COUNTIFS(data!D:D,data!$J$2,data!F:F,"&gt;="&amp;B467)</f>
        <v>163</v>
      </c>
      <c r="E467">
        <f>COUNTIFS(data!D:D,data!$J$2,data!F:F,"&lt;"&amp;B467)</f>
        <v>560</v>
      </c>
      <c r="F467">
        <f>COUNTIFS(data!D:D,data!$I$2,data!F:F,"&lt;"&amp;B467)</f>
        <v>231</v>
      </c>
      <c r="G467">
        <f t="shared" si="42"/>
        <v>0.22544951590594745</v>
      </c>
      <c r="H467">
        <f t="shared" si="43"/>
        <v>0.56741573033707871</v>
      </c>
      <c r="I467">
        <f t="shared" si="47"/>
        <v>0</v>
      </c>
      <c r="J467">
        <f t="shared" si="44"/>
        <v>0.65021459227467815</v>
      </c>
      <c r="K467">
        <f t="shared" si="45"/>
        <v>0.60599999999999998</v>
      </c>
      <c r="L467">
        <f>A467*COUNTIF(data!D:D,data!$I$2)/data!$L$2</f>
        <v>197.96658711217185</v>
      </c>
      <c r="M467" s="1">
        <f>A467/data!$L$2</f>
        <v>0.3707239459029435</v>
      </c>
      <c r="N467">
        <f t="shared" si="46"/>
        <v>1.5305613155229782</v>
      </c>
    </row>
    <row r="468" spans="1:14" x14ac:dyDescent="0.2">
      <c r="A468">
        <v>467</v>
      </c>
      <c r="B468">
        <f>LARGE(data!F:F,A468)</f>
        <v>0.50266481630000004</v>
      </c>
      <c r="C468">
        <f>COUNTIFS(data!D:D,data!$I$2,data!F:F,"&gt;="&amp;B468)</f>
        <v>304</v>
      </c>
      <c r="D468">
        <f>COUNTIFS(data!D:D,data!$J$2,data!F:F,"&gt;="&amp;B468)</f>
        <v>163</v>
      </c>
      <c r="E468">
        <f>COUNTIFS(data!D:D,data!$J$2,data!F:F,"&lt;"&amp;B468)</f>
        <v>560</v>
      </c>
      <c r="F468">
        <f>COUNTIFS(data!D:D,data!$I$2,data!F:F,"&lt;"&amp;B468)</f>
        <v>230</v>
      </c>
      <c r="G468">
        <f t="shared" si="42"/>
        <v>0.22544951590594745</v>
      </c>
      <c r="H468">
        <f t="shared" si="43"/>
        <v>0.56928838951310856</v>
      </c>
      <c r="I468">
        <f t="shared" si="47"/>
        <v>0</v>
      </c>
      <c r="J468">
        <f t="shared" si="44"/>
        <v>0.65096359743040688</v>
      </c>
      <c r="K468">
        <f t="shared" si="45"/>
        <v>0.60739260739260736</v>
      </c>
      <c r="L468">
        <f>A468*COUNTIF(data!D:D,data!$I$2)/data!$L$2</f>
        <v>198.39140811455846</v>
      </c>
      <c r="M468" s="1">
        <f>A468/data!$L$2</f>
        <v>0.37151949085123309</v>
      </c>
      <c r="N468">
        <f t="shared" si="46"/>
        <v>1.5323244231648343</v>
      </c>
    </row>
    <row r="469" spans="1:14" x14ac:dyDescent="0.2">
      <c r="A469">
        <v>468</v>
      </c>
      <c r="B469">
        <f>LARGE(data!F:F,A469)</f>
        <v>0.50250954790000002</v>
      </c>
      <c r="C469">
        <f>COUNTIFS(data!D:D,data!$I$2,data!F:F,"&gt;="&amp;B469)</f>
        <v>305</v>
      </c>
      <c r="D469">
        <f>COUNTIFS(data!D:D,data!$J$2,data!F:F,"&gt;="&amp;B469)</f>
        <v>164</v>
      </c>
      <c r="E469">
        <f>COUNTIFS(data!D:D,data!$J$2,data!F:F,"&lt;"&amp;B469)</f>
        <v>559</v>
      </c>
      <c r="F469">
        <f>COUNTIFS(data!D:D,data!$I$2,data!F:F,"&lt;"&amp;B469)</f>
        <v>229</v>
      </c>
      <c r="G469">
        <f t="shared" si="42"/>
        <v>0.22683264177040111</v>
      </c>
      <c r="H469">
        <f t="shared" si="43"/>
        <v>0.57116104868913853</v>
      </c>
      <c r="I469">
        <f t="shared" si="47"/>
        <v>7.8869255753958722E-4</v>
      </c>
      <c r="J469">
        <f t="shared" si="44"/>
        <v>0.65031982942430699</v>
      </c>
      <c r="K469">
        <f t="shared" si="45"/>
        <v>0.60817547357926216</v>
      </c>
      <c r="L469">
        <f>A469*COUNTIF(data!D:D,data!$I$2)/data!$L$2</f>
        <v>198.8162291169451</v>
      </c>
      <c r="M469" s="1">
        <f>A469/data!$L$2</f>
        <v>0.37231503579952269</v>
      </c>
      <c r="N469">
        <f t="shared" si="46"/>
        <v>1.534079996158648</v>
      </c>
    </row>
    <row r="470" spans="1:14" x14ac:dyDescent="0.2">
      <c r="A470">
        <v>469</v>
      </c>
      <c r="B470">
        <f>LARGE(data!F:F,A470)</f>
        <v>0.50250954790000002</v>
      </c>
      <c r="C470">
        <f>COUNTIFS(data!D:D,data!$I$2,data!F:F,"&gt;="&amp;B470)</f>
        <v>305</v>
      </c>
      <c r="D470">
        <f>COUNTIFS(data!D:D,data!$J$2,data!F:F,"&gt;="&amp;B470)</f>
        <v>164</v>
      </c>
      <c r="E470">
        <f>COUNTIFS(data!D:D,data!$J$2,data!F:F,"&lt;"&amp;B470)</f>
        <v>559</v>
      </c>
      <c r="F470">
        <f>COUNTIFS(data!D:D,data!$I$2,data!F:F,"&lt;"&amp;B470)</f>
        <v>229</v>
      </c>
      <c r="G470">
        <f t="shared" si="42"/>
        <v>0.22683264177040111</v>
      </c>
      <c r="H470">
        <f t="shared" si="43"/>
        <v>0.57116104868913853</v>
      </c>
      <c r="I470">
        <f t="shared" si="47"/>
        <v>0</v>
      </c>
      <c r="J470">
        <f t="shared" si="44"/>
        <v>0.65031982942430699</v>
      </c>
      <c r="K470">
        <f t="shared" si="45"/>
        <v>0.60817547357926216</v>
      </c>
      <c r="L470">
        <f>A470*COUNTIF(data!D:D,data!$I$2)/data!$L$2</f>
        <v>199.24105011933173</v>
      </c>
      <c r="M470" s="1">
        <f>A470/data!$L$2</f>
        <v>0.37311058074781223</v>
      </c>
      <c r="N470">
        <f t="shared" si="46"/>
        <v>1.5308090366785656</v>
      </c>
    </row>
    <row r="471" spans="1:14" x14ac:dyDescent="0.2">
      <c r="A471">
        <v>470</v>
      </c>
      <c r="B471">
        <f>LARGE(data!F:F,A471)</f>
        <v>0.50209601879999999</v>
      </c>
      <c r="C471">
        <f>COUNTIFS(data!D:D,data!$I$2,data!F:F,"&gt;="&amp;B471)</f>
        <v>305</v>
      </c>
      <c r="D471">
        <f>COUNTIFS(data!D:D,data!$J$2,data!F:F,"&gt;="&amp;B471)</f>
        <v>165</v>
      </c>
      <c r="E471">
        <f>COUNTIFS(data!D:D,data!$J$2,data!F:F,"&lt;"&amp;B471)</f>
        <v>558</v>
      </c>
      <c r="F471">
        <f>COUNTIFS(data!D:D,data!$I$2,data!F:F,"&lt;"&amp;B471)</f>
        <v>229</v>
      </c>
      <c r="G471">
        <f t="shared" si="42"/>
        <v>0.22821576763485477</v>
      </c>
      <c r="H471">
        <f t="shared" si="43"/>
        <v>0.57116104868913853</v>
      </c>
      <c r="I471">
        <f t="shared" si="47"/>
        <v>7.8998761921042395E-4</v>
      </c>
      <c r="J471">
        <f t="shared" si="44"/>
        <v>0.64893617021276595</v>
      </c>
      <c r="K471">
        <f t="shared" si="45"/>
        <v>0.60756972111553775</v>
      </c>
      <c r="L471">
        <f>A471*COUNTIF(data!D:D,data!$I$2)/data!$L$2</f>
        <v>199.66587112171837</v>
      </c>
      <c r="M471" s="1">
        <f>A471/data!$L$2</f>
        <v>0.37390612569610182</v>
      </c>
      <c r="N471">
        <f t="shared" si="46"/>
        <v>1.5275519961749942</v>
      </c>
    </row>
    <row r="472" spans="1:14" x14ac:dyDescent="0.2">
      <c r="A472">
        <v>471</v>
      </c>
      <c r="B472">
        <f>LARGE(data!F:F,A472)</f>
        <v>0.5019703539</v>
      </c>
      <c r="C472">
        <f>COUNTIFS(data!D:D,data!$I$2,data!F:F,"&gt;="&amp;B472)</f>
        <v>306</v>
      </c>
      <c r="D472">
        <f>COUNTIFS(data!D:D,data!$J$2,data!F:F,"&gt;="&amp;B472)</f>
        <v>165</v>
      </c>
      <c r="E472">
        <f>COUNTIFS(data!D:D,data!$J$2,data!F:F,"&lt;"&amp;B472)</f>
        <v>558</v>
      </c>
      <c r="F472">
        <f>COUNTIFS(data!D:D,data!$I$2,data!F:F,"&lt;"&amp;B472)</f>
        <v>228</v>
      </c>
      <c r="G472">
        <f t="shared" si="42"/>
        <v>0.22821576763485477</v>
      </c>
      <c r="H472">
        <f t="shared" si="43"/>
        <v>0.5730337078651685</v>
      </c>
      <c r="I472">
        <f t="shared" si="47"/>
        <v>0</v>
      </c>
      <c r="J472">
        <f t="shared" si="44"/>
        <v>0.64968152866242035</v>
      </c>
      <c r="K472">
        <f t="shared" si="45"/>
        <v>0.60895522388059697</v>
      </c>
      <c r="L472">
        <f>A472*COUNTIF(data!D:D,data!$I$2)/data!$L$2</f>
        <v>200.090692124105</v>
      </c>
      <c r="M472" s="1">
        <f>A472/data!$L$2</f>
        <v>0.37470167064439142</v>
      </c>
      <c r="N472">
        <f t="shared" si="46"/>
        <v>1.5293065197165963</v>
      </c>
    </row>
    <row r="473" spans="1:14" x14ac:dyDescent="0.2">
      <c r="A473">
        <v>472</v>
      </c>
      <c r="B473">
        <f>LARGE(data!F:F,A473)</f>
        <v>0.50100278659999997</v>
      </c>
      <c r="C473">
        <f>COUNTIFS(data!D:D,data!$I$2,data!F:F,"&gt;="&amp;B473)</f>
        <v>309</v>
      </c>
      <c r="D473">
        <f>COUNTIFS(data!D:D,data!$J$2,data!F:F,"&gt;="&amp;B473)</f>
        <v>165</v>
      </c>
      <c r="E473">
        <f>COUNTIFS(data!D:D,data!$J$2,data!F:F,"&lt;"&amp;B473)</f>
        <v>558</v>
      </c>
      <c r="F473">
        <f>COUNTIFS(data!D:D,data!$I$2,data!F:F,"&lt;"&amp;B473)</f>
        <v>225</v>
      </c>
      <c r="G473">
        <f t="shared" si="42"/>
        <v>0.22821576763485477</v>
      </c>
      <c r="H473">
        <f t="shared" si="43"/>
        <v>0.5786516853932584</v>
      </c>
      <c r="I473">
        <f t="shared" si="47"/>
        <v>0</v>
      </c>
      <c r="J473">
        <f t="shared" si="44"/>
        <v>0.65189873417721522</v>
      </c>
      <c r="K473">
        <f t="shared" si="45"/>
        <v>0.61309523809523814</v>
      </c>
      <c r="L473">
        <f>A473*COUNTIF(data!D:D,data!$I$2)/data!$L$2</f>
        <v>200.51551312649164</v>
      </c>
      <c r="M473" s="1">
        <f>A473/data!$L$2</f>
        <v>0.37549721559268101</v>
      </c>
      <c r="N473">
        <f t="shared" si="46"/>
        <v>1.5410278994477242</v>
      </c>
    </row>
    <row r="474" spans="1:14" x14ac:dyDescent="0.2">
      <c r="A474">
        <v>473</v>
      </c>
      <c r="B474">
        <f>LARGE(data!F:F,A474)</f>
        <v>0.50100278659999997</v>
      </c>
      <c r="C474">
        <f>COUNTIFS(data!D:D,data!$I$2,data!F:F,"&gt;="&amp;B474)</f>
        <v>309</v>
      </c>
      <c r="D474">
        <f>COUNTIFS(data!D:D,data!$J$2,data!F:F,"&gt;="&amp;B474)</f>
        <v>165</v>
      </c>
      <c r="E474">
        <f>COUNTIFS(data!D:D,data!$J$2,data!F:F,"&lt;"&amp;B474)</f>
        <v>558</v>
      </c>
      <c r="F474">
        <f>COUNTIFS(data!D:D,data!$I$2,data!F:F,"&lt;"&amp;B474)</f>
        <v>225</v>
      </c>
      <c r="G474">
        <f t="shared" si="42"/>
        <v>0.22821576763485477</v>
      </c>
      <c r="H474">
        <f t="shared" si="43"/>
        <v>0.5786516853932584</v>
      </c>
      <c r="I474">
        <f t="shared" si="47"/>
        <v>0</v>
      </c>
      <c r="J474">
        <f t="shared" si="44"/>
        <v>0.65189873417721522</v>
      </c>
      <c r="K474">
        <f t="shared" si="45"/>
        <v>0.61309523809523814</v>
      </c>
      <c r="L474">
        <f>A474*COUNTIF(data!D:D,data!$I$2)/data!$L$2</f>
        <v>200.94033412887828</v>
      </c>
      <c r="M474" s="1">
        <f>A474/data!$L$2</f>
        <v>0.37629276054097055</v>
      </c>
      <c r="N474">
        <f t="shared" si="46"/>
        <v>1.5377699123452977</v>
      </c>
    </row>
    <row r="475" spans="1:14" x14ac:dyDescent="0.2">
      <c r="A475">
        <v>474</v>
      </c>
      <c r="B475">
        <f>LARGE(data!F:F,A475)</f>
        <v>0.50100278659999997</v>
      </c>
      <c r="C475">
        <f>COUNTIFS(data!D:D,data!$I$2,data!F:F,"&gt;="&amp;B475)</f>
        <v>309</v>
      </c>
      <c r="D475">
        <f>COUNTIFS(data!D:D,data!$J$2,data!F:F,"&gt;="&amp;B475)</f>
        <v>165</v>
      </c>
      <c r="E475">
        <f>COUNTIFS(data!D:D,data!$J$2,data!F:F,"&lt;"&amp;B475)</f>
        <v>558</v>
      </c>
      <c r="F475">
        <f>COUNTIFS(data!D:D,data!$I$2,data!F:F,"&lt;"&amp;B475)</f>
        <v>225</v>
      </c>
      <c r="G475">
        <f t="shared" si="42"/>
        <v>0.22821576763485477</v>
      </c>
      <c r="H475">
        <f t="shared" si="43"/>
        <v>0.5786516853932584</v>
      </c>
      <c r="I475">
        <f t="shared" si="47"/>
        <v>0</v>
      </c>
      <c r="J475">
        <f t="shared" si="44"/>
        <v>0.65189873417721522</v>
      </c>
      <c r="K475">
        <f t="shared" si="45"/>
        <v>0.61309523809523814</v>
      </c>
      <c r="L475">
        <f>A475*COUNTIF(data!D:D,data!$I$2)/data!$L$2</f>
        <v>201.36515513126491</v>
      </c>
      <c r="M475" s="1">
        <f>A475/data!$L$2</f>
        <v>0.37708830548926014</v>
      </c>
      <c r="N475">
        <f t="shared" si="46"/>
        <v>1.5345256720238942</v>
      </c>
    </row>
    <row r="476" spans="1:14" x14ac:dyDescent="0.2">
      <c r="A476">
        <v>475</v>
      </c>
      <c r="B476">
        <f>LARGE(data!F:F,A476)</f>
        <v>0.5008632059</v>
      </c>
      <c r="C476">
        <f>COUNTIFS(data!D:D,data!$I$2,data!F:F,"&gt;="&amp;B476)</f>
        <v>309</v>
      </c>
      <c r="D476">
        <f>COUNTIFS(data!D:D,data!$J$2,data!F:F,"&gt;="&amp;B476)</f>
        <v>166</v>
      </c>
      <c r="E476">
        <f>COUNTIFS(data!D:D,data!$J$2,data!F:F,"&lt;"&amp;B476)</f>
        <v>557</v>
      </c>
      <c r="F476">
        <f>COUNTIFS(data!D:D,data!$I$2,data!F:F,"&lt;"&amp;B476)</f>
        <v>225</v>
      </c>
      <c r="G476">
        <f t="shared" si="42"/>
        <v>0.22959889349930843</v>
      </c>
      <c r="H476">
        <f t="shared" si="43"/>
        <v>0.5786516853932584</v>
      </c>
      <c r="I476">
        <f t="shared" si="47"/>
        <v>8.0034811257711808E-4</v>
      </c>
      <c r="J476">
        <f t="shared" si="44"/>
        <v>0.65052631578947373</v>
      </c>
      <c r="K476">
        <f t="shared" si="45"/>
        <v>0.61248761149653119</v>
      </c>
      <c r="L476">
        <f>A476*COUNTIF(data!D:D,data!$I$2)/data!$L$2</f>
        <v>201.78997613365155</v>
      </c>
      <c r="M476" s="1">
        <f>A476/data!$L$2</f>
        <v>0.37788385043754974</v>
      </c>
      <c r="N476">
        <f t="shared" si="46"/>
        <v>1.5312950916617387</v>
      </c>
    </row>
    <row r="477" spans="1:14" x14ac:dyDescent="0.2">
      <c r="A477">
        <v>476</v>
      </c>
      <c r="B477">
        <f>LARGE(data!F:F,A477)</f>
        <v>0.50036600740000003</v>
      </c>
      <c r="C477">
        <f>COUNTIFS(data!D:D,data!$I$2,data!F:F,"&gt;="&amp;B477)</f>
        <v>309</v>
      </c>
      <c r="D477">
        <f>COUNTIFS(data!D:D,data!$J$2,data!F:F,"&gt;="&amp;B477)</f>
        <v>167</v>
      </c>
      <c r="E477">
        <f>COUNTIFS(data!D:D,data!$J$2,data!F:F,"&lt;"&amp;B477)</f>
        <v>556</v>
      </c>
      <c r="F477">
        <f>COUNTIFS(data!D:D,data!$I$2,data!F:F,"&lt;"&amp;B477)</f>
        <v>225</v>
      </c>
      <c r="G477">
        <f t="shared" si="42"/>
        <v>0.23098201936376211</v>
      </c>
      <c r="H477">
        <f t="shared" si="43"/>
        <v>0.5786516853932584</v>
      </c>
      <c r="I477">
        <f t="shared" si="47"/>
        <v>8.0034811257713413E-4</v>
      </c>
      <c r="J477">
        <f t="shared" si="44"/>
        <v>0.64915966386554624</v>
      </c>
      <c r="K477">
        <f t="shared" si="45"/>
        <v>0.61188118811881187</v>
      </c>
      <c r="L477">
        <f>A477*COUNTIF(data!D:D,data!$I$2)/data!$L$2</f>
        <v>202.21479713603819</v>
      </c>
      <c r="M477" s="1">
        <f>A477/data!$L$2</f>
        <v>0.37867939538583928</v>
      </c>
      <c r="N477">
        <f t="shared" si="46"/>
        <v>1.5280780851666509</v>
      </c>
    </row>
    <row r="478" spans="1:14" x14ac:dyDescent="0.2">
      <c r="A478">
        <v>477</v>
      </c>
      <c r="B478">
        <f>LARGE(data!F:F,A478)</f>
        <v>0.50023388209999997</v>
      </c>
      <c r="C478">
        <f>COUNTIFS(data!D:D,data!$I$2,data!F:F,"&gt;="&amp;B478)</f>
        <v>309</v>
      </c>
      <c r="D478">
        <f>COUNTIFS(data!D:D,data!$J$2,data!F:F,"&gt;="&amp;B478)</f>
        <v>168</v>
      </c>
      <c r="E478">
        <f>COUNTIFS(data!D:D,data!$J$2,data!F:F,"&lt;"&amp;B478)</f>
        <v>555</v>
      </c>
      <c r="F478">
        <f>COUNTIFS(data!D:D,data!$I$2,data!F:F,"&lt;"&amp;B478)</f>
        <v>225</v>
      </c>
      <c r="G478">
        <f t="shared" si="42"/>
        <v>0.23236514522821577</v>
      </c>
      <c r="H478">
        <f t="shared" si="43"/>
        <v>0.5786516853932584</v>
      </c>
      <c r="I478">
        <f t="shared" si="47"/>
        <v>8.0034811257711808E-4</v>
      </c>
      <c r="J478">
        <f t="shared" si="44"/>
        <v>0.64779874213836475</v>
      </c>
      <c r="K478">
        <f t="shared" si="45"/>
        <v>0.6112759643916913</v>
      </c>
      <c r="L478">
        <f>A478*COUNTIF(data!D:D,data!$I$2)/data!$L$2</f>
        <v>202.63961813842482</v>
      </c>
      <c r="M478" s="1">
        <f>A478/data!$L$2</f>
        <v>0.37947494033412887</v>
      </c>
      <c r="N478">
        <f t="shared" si="46"/>
        <v>1.5248745671683981</v>
      </c>
    </row>
    <row r="479" spans="1:14" x14ac:dyDescent="0.2">
      <c r="A479">
        <v>478</v>
      </c>
      <c r="B479">
        <f>LARGE(data!F:F,A479)</f>
        <v>0.5001679738</v>
      </c>
      <c r="C479">
        <f>COUNTIFS(data!D:D,data!$I$2,data!F:F,"&gt;="&amp;B479)</f>
        <v>312</v>
      </c>
      <c r="D479">
        <f>COUNTIFS(data!D:D,data!$J$2,data!F:F,"&gt;="&amp;B479)</f>
        <v>168</v>
      </c>
      <c r="E479">
        <f>COUNTIFS(data!D:D,data!$J$2,data!F:F,"&lt;"&amp;B479)</f>
        <v>555</v>
      </c>
      <c r="F479">
        <f>COUNTIFS(data!D:D,data!$I$2,data!F:F,"&lt;"&amp;B479)</f>
        <v>222</v>
      </c>
      <c r="G479">
        <f t="shared" si="42"/>
        <v>0.23236514522821577</v>
      </c>
      <c r="H479">
        <f t="shared" si="43"/>
        <v>0.5842696629213483</v>
      </c>
      <c r="I479">
        <f t="shared" si="47"/>
        <v>0</v>
      </c>
      <c r="J479">
        <f t="shared" si="44"/>
        <v>0.65</v>
      </c>
      <c r="K479">
        <f t="shared" si="45"/>
        <v>0.61538461538461542</v>
      </c>
      <c r="L479">
        <f>A479*COUNTIF(data!D:D,data!$I$2)/data!$L$2</f>
        <v>203.06443914081146</v>
      </c>
      <c r="M479" s="1">
        <f>A479/data!$L$2</f>
        <v>0.38027048528241847</v>
      </c>
      <c r="N479">
        <f t="shared" si="46"/>
        <v>1.5364580884772694</v>
      </c>
    </row>
    <row r="480" spans="1:14" x14ac:dyDescent="0.2">
      <c r="A480">
        <v>479</v>
      </c>
      <c r="B480">
        <f>LARGE(data!F:F,A480)</f>
        <v>0.5001679738</v>
      </c>
      <c r="C480">
        <f>COUNTIFS(data!D:D,data!$I$2,data!F:F,"&gt;="&amp;B480)</f>
        <v>312</v>
      </c>
      <c r="D480">
        <f>COUNTIFS(data!D:D,data!$J$2,data!F:F,"&gt;="&amp;B480)</f>
        <v>168</v>
      </c>
      <c r="E480">
        <f>COUNTIFS(data!D:D,data!$J$2,data!F:F,"&lt;"&amp;B480)</f>
        <v>555</v>
      </c>
      <c r="F480">
        <f>COUNTIFS(data!D:D,data!$I$2,data!F:F,"&lt;"&amp;B480)</f>
        <v>222</v>
      </c>
      <c r="G480">
        <f t="shared" si="42"/>
        <v>0.23236514522821577</v>
      </c>
      <c r="H480">
        <f t="shared" si="43"/>
        <v>0.5842696629213483</v>
      </c>
      <c r="I480">
        <f t="shared" si="47"/>
        <v>0</v>
      </c>
      <c r="J480">
        <f t="shared" si="44"/>
        <v>0.65</v>
      </c>
      <c r="K480">
        <f t="shared" si="45"/>
        <v>0.61538461538461542</v>
      </c>
      <c r="L480">
        <f>A480*COUNTIF(data!D:D,data!$I$2)/data!$L$2</f>
        <v>203.48926014319809</v>
      </c>
      <c r="M480" s="1">
        <f>A480/data!$L$2</f>
        <v>0.38106603023070801</v>
      </c>
      <c r="N480">
        <f t="shared" si="46"/>
        <v>1.5332504515493419</v>
      </c>
    </row>
    <row r="481" spans="1:14" x14ac:dyDescent="0.2">
      <c r="A481">
        <v>480</v>
      </c>
      <c r="B481">
        <f>LARGE(data!F:F,A481)</f>
        <v>0.5001679738</v>
      </c>
      <c r="C481">
        <f>COUNTIFS(data!D:D,data!$I$2,data!F:F,"&gt;="&amp;B481)</f>
        <v>312</v>
      </c>
      <c r="D481">
        <f>COUNTIFS(data!D:D,data!$J$2,data!F:F,"&gt;="&amp;B481)</f>
        <v>168</v>
      </c>
      <c r="E481">
        <f>COUNTIFS(data!D:D,data!$J$2,data!F:F,"&lt;"&amp;B481)</f>
        <v>555</v>
      </c>
      <c r="F481">
        <f>COUNTIFS(data!D:D,data!$I$2,data!F:F,"&lt;"&amp;B481)</f>
        <v>222</v>
      </c>
      <c r="G481">
        <f t="shared" si="42"/>
        <v>0.23236514522821577</v>
      </c>
      <c r="H481">
        <f t="shared" si="43"/>
        <v>0.5842696629213483</v>
      </c>
      <c r="I481">
        <f t="shared" si="47"/>
        <v>0</v>
      </c>
      <c r="J481">
        <f t="shared" si="44"/>
        <v>0.65</v>
      </c>
      <c r="K481">
        <f t="shared" si="45"/>
        <v>0.61538461538461542</v>
      </c>
      <c r="L481">
        <f>A481*COUNTIF(data!D:D,data!$I$2)/data!$L$2</f>
        <v>203.91408114558473</v>
      </c>
      <c r="M481" s="1">
        <f>A481/data!$L$2</f>
        <v>0.3818615751789976</v>
      </c>
      <c r="N481">
        <f t="shared" si="46"/>
        <v>1.5300561797752807</v>
      </c>
    </row>
    <row r="482" spans="1:14" x14ac:dyDescent="0.2">
      <c r="A482">
        <v>481</v>
      </c>
      <c r="B482">
        <f>LARGE(data!F:F,A482)</f>
        <v>0.49855977480000002</v>
      </c>
      <c r="C482">
        <f>COUNTIFS(data!D:D,data!$I$2,data!F:F,"&gt;="&amp;B482)</f>
        <v>312</v>
      </c>
      <c r="D482">
        <f>COUNTIFS(data!D:D,data!$J$2,data!F:F,"&gt;="&amp;B482)</f>
        <v>169</v>
      </c>
      <c r="E482">
        <f>COUNTIFS(data!D:D,data!$J$2,data!F:F,"&lt;"&amp;B482)</f>
        <v>554</v>
      </c>
      <c r="F482">
        <f>COUNTIFS(data!D:D,data!$I$2,data!F:F,"&lt;"&amp;B482)</f>
        <v>222</v>
      </c>
      <c r="G482">
        <f t="shared" si="42"/>
        <v>0.23374827109266944</v>
      </c>
      <c r="H482">
        <f t="shared" si="43"/>
        <v>0.5842696629213483</v>
      </c>
      <c r="I482">
        <f t="shared" si="47"/>
        <v>8.0811848260213862E-4</v>
      </c>
      <c r="J482">
        <f t="shared" si="44"/>
        <v>0.64864864864864868</v>
      </c>
      <c r="K482">
        <f t="shared" si="45"/>
        <v>0.61477832512315267</v>
      </c>
      <c r="L482">
        <f>A482*COUNTIF(data!D:D,data!$I$2)/data!$L$2</f>
        <v>204.33890214797137</v>
      </c>
      <c r="M482" s="1">
        <f>A482/data!$L$2</f>
        <v>0.3826571201272872</v>
      </c>
      <c r="N482">
        <f t="shared" si="46"/>
        <v>1.526875189796538</v>
      </c>
    </row>
    <row r="483" spans="1:14" x14ac:dyDescent="0.2">
      <c r="A483">
        <v>482</v>
      </c>
      <c r="B483">
        <f>LARGE(data!F:F,A483)</f>
        <v>0.49819768190000002</v>
      </c>
      <c r="C483">
        <f>COUNTIFS(data!D:D,data!$I$2,data!F:F,"&gt;="&amp;B483)</f>
        <v>312</v>
      </c>
      <c r="D483">
        <f>COUNTIFS(data!D:D,data!$J$2,data!F:F,"&gt;="&amp;B483)</f>
        <v>170</v>
      </c>
      <c r="E483">
        <f>COUNTIFS(data!D:D,data!$J$2,data!F:F,"&lt;"&amp;B483)</f>
        <v>553</v>
      </c>
      <c r="F483">
        <f>COUNTIFS(data!D:D,data!$I$2,data!F:F,"&lt;"&amp;B483)</f>
        <v>222</v>
      </c>
      <c r="G483">
        <f t="shared" si="42"/>
        <v>0.2351313969571231</v>
      </c>
      <c r="H483">
        <f t="shared" si="43"/>
        <v>0.5842696629213483</v>
      </c>
      <c r="I483">
        <f t="shared" si="47"/>
        <v>8.0811848260213862E-4</v>
      </c>
      <c r="J483">
        <f t="shared" si="44"/>
        <v>0.64730290456431538</v>
      </c>
      <c r="K483">
        <f t="shared" si="45"/>
        <v>0.61417322834645671</v>
      </c>
      <c r="L483">
        <f>A483*COUNTIF(data!D:D,data!$I$2)/data!$L$2</f>
        <v>204.763723150358</v>
      </c>
      <c r="M483" s="1">
        <f>A483/data!$L$2</f>
        <v>0.38345266507557679</v>
      </c>
      <c r="N483">
        <f t="shared" si="46"/>
        <v>1.5237073989463377</v>
      </c>
    </row>
    <row r="484" spans="1:14" x14ac:dyDescent="0.2">
      <c r="A484">
        <v>483</v>
      </c>
      <c r="B484">
        <f>LARGE(data!F:F,A484)</f>
        <v>0.49808526479999998</v>
      </c>
      <c r="C484">
        <f>COUNTIFS(data!D:D,data!$I$2,data!F:F,"&gt;="&amp;B484)</f>
        <v>313</v>
      </c>
      <c r="D484">
        <f>COUNTIFS(data!D:D,data!$J$2,data!F:F,"&gt;="&amp;B484)</f>
        <v>170</v>
      </c>
      <c r="E484">
        <f>COUNTIFS(data!D:D,data!$J$2,data!F:F,"&lt;"&amp;B484)</f>
        <v>553</v>
      </c>
      <c r="F484">
        <f>COUNTIFS(data!D:D,data!$I$2,data!F:F,"&lt;"&amp;B484)</f>
        <v>221</v>
      </c>
      <c r="G484">
        <f t="shared" si="42"/>
        <v>0.2351313969571231</v>
      </c>
      <c r="H484">
        <f t="shared" si="43"/>
        <v>0.58614232209737827</v>
      </c>
      <c r="I484">
        <f t="shared" si="47"/>
        <v>0</v>
      </c>
      <c r="J484">
        <f t="shared" si="44"/>
        <v>0.6480331262939959</v>
      </c>
      <c r="K484">
        <f t="shared" si="45"/>
        <v>0.615535889872173</v>
      </c>
      <c r="L484">
        <f>A484*COUNTIF(data!D:D,data!$I$2)/data!$L$2</f>
        <v>205.18854415274464</v>
      </c>
      <c r="M484" s="1">
        <f>A484/data!$L$2</f>
        <v>0.38424821002386633</v>
      </c>
      <c r="N484">
        <f t="shared" si="46"/>
        <v>1.5254262916695744</v>
      </c>
    </row>
    <row r="485" spans="1:14" x14ac:dyDescent="0.2">
      <c r="A485">
        <v>484</v>
      </c>
      <c r="B485">
        <f>LARGE(data!F:F,A485)</f>
        <v>0.49761424669999998</v>
      </c>
      <c r="C485">
        <f>COUNTIFS(data!D:D,data!$I$2,data!F:F,"&gt;="&amp;B485)</f>
        <v>313</v>
      </c>
      <c r="D485">
        <f>COUNTIFS(data!D:D,data!$J$2,data!F:F,"&gt;="&amp;B485)</f>
        <v>171</v>
      </c>
      <c r="E485">
        <f>COUNTIFS(data!D:D,data!$J$2,data!F:F,"&lt;"&amp;B485)</f>
        <v>552</v>
      </c>
      <c r="F485">
        <f>COUNTIFS(data!D:D,data!$I$2,data!F:F,"&lt;"&amp;B485)</f>
        <v>221</v>
      </c>
      <c r="G485">
        <f t="shared" si="42"/>
        <v>0.23651452282157676</v>
      </c>
      <c r="H485">
        <f t="shared" si="43"/>
        <v>0.58614232209737827</v>
      </c>
      <c r="I485">
        <f t="shared" si="47"/>
        <v>8.107086059438121E-4</v>
      </c>
      <c r="J485">
        <f t="shared" si="44"/>
        <v>0.64669421487603307</v>
      </c>
      <c r="K485">
        <f t="shared" si="45"/>
        <v>0.61493123772102165</v>
      </c>
      <c r="L485">
        <f>A485*COUNTIF(data!D:D,data!$I$2)/data!$L$2</f>
        <v>205.61336515513128</v>
      </c>
      <c r="M485" s="1">
        <f>A485/data!$L$2</f>
        <v>0.38504375497215593</v>
      </c>
      <c r="N485">
        <f t="shared" si="46"/>
        <v>1.5222745844553811</v>
      </c>
    </row>
    <row r="486" spans="1:14" x14ac:dyDescent="0.2">
      <c r="A486">
        <v>485</v>
      </c>
      <c r="B486">
        <f>LARGE(data!F:F,A486)</f>
        <v>0.49723063439999998</v>
      </c>
      <c r="C486">
        <f>COUNTIFS(data!D:D,data!$I$2,data!F:F,"&gt;="&amp;B486)</f>
        <v>313</v>
      </c>
      <c r="D486">
        <f>COUNTIFS(data!D:D,data!$J$2,data!F:F,"&gt;="&amp;B486)</f>
        <v>172</v>
      </c>
      <c r="E486">
        <f>COUNTIFS(data!D:D,data!$J$2,data!F:F,"&lt;"&amp;B486)</f>
        <v>551</v>
      </c>
      <c r="F486">
        <f>COUNTIFS(data!D:D,data!$I$2,data!F:F,"&lt;"&amp;B486)</f>
        <v>221</v>
      </c>
      <c r="G486">
        <f t="shared" si="42"/>
        <v>0.23789764868603042</v>
      </c>
      <c r="H486">
        <f t="shared" si="43"/>
        <v>0.58614232209737827</v>
      </c>
      <c r="I486">
        <f t="shared" si="47"/>
        <v>8.107086059438121E-4</v>
      </c>
      <c r="J486">
        <f t="shared" si="44"/>
        <v>0.64536082474226808</v>
      </c>
      <c r="K486">
        <f t="shared" si="45"/>
        <v>0.61432777232580971</v>
      </c>
      <c r="L486">
        <f>A486*COUNTIF(data!D:D,data!$I$2)/data!$L$2</f>
        <v>206.03818615751791</v>
      </c>
      <c r="M486" s="1">
        <f>A486/data!$L$2</f>
        <v>0.38583929992044552</v>
      </c>
      <c r="N486">
        <f t="shared" si="46"/>
        <v>1.519135873971968</v>
      </c>
    </row>
    <row r="487" spans="1:14" x14ac:dyDescent="0.2">
      <c r="A487">
        <v>486</v>
      </c>
      <c r="B487">
        <f>LARGE(data!F:F,A487)</f>
        <v>0.49613008720000001</v>
      </c>
      <c r="C487">
        <f>COUNTIFS(data!D:D,data!$I$2,data!F:F,"&gt;="&amp;B487)</f>
        <v>313</v>
      </c>
      <c r="D487">
        <f>COUNTIFS(data!D:D,data!$J$2,data!F:F,"&gt;="&amp;B487)</f>
        <v>173</v>
      </c>
      <c r="E487">
        <f>COUNTIFS(data!D:D,data!$J$2,data!F:F,"&lt;"&amp;B487)</f>
        <v>550</v>
      </c>
      <c r="F487">
        <f>COUNTIFS(data!D:D,data!$I$2,data!F:F,"&lt;"&amp;B487)</f>
        <v>221</v>
      </c>
      <c r="G487">
        <f t="shared" si="42"/>
        <v>0.2392807745504841</v>
      </c>
      <c r="H487">
        <f t="shared" si="43"/>
        <v>0.58614232209737827</v>
      </c>
      <c r="I487">
        <f t="shared" si="47"/>
        <v>8.1070860594382847E-4</v>
      </c>
      <c r="J487">
        <f t="shared" si="44"/>
        <v>0.6440329218106996</v>
      </c>
      <c r="K487">
        <f t="shared" si="45"/>
        <v>0.61372549019607847</v>
      </c>
      <c r="L487">
        <f>A487*COUNTIF(data!D:D,data!$I$2)/data!$L$2</f>
        <v>206.46300715990452</v>
      </c>
      <c r="M487" s="1">
        <f>A487/data!$L$2</f>
        <v>0.38663484486873506</v>
      </c>
      <c r="N487">
        <f t="shared" si="46"/>
        <v>1.516010079992602</v>
      </c>
    </row>
    <row r="488" spans="1:14" x14ac:dyDescent="0.2">
      <c r="A488">
        <v>487</v>
      </c>
      <c r="B488">
        <f>LARGE(data!F:F,A488)</f>
        <v>0.49581029799999998</v>
      </c>
      <c r="C488">
        <f>COUNTIFS(data!D:D,data!$I$2,data!F:F,"&gt;="&amp;B488)</f>
        <v>314</v>
      </c>
      <c r="D488">
        <f>COUNTIFS(data!D:D,data!$J$2,data!F:F,"&gt;="&amp;B488)</f>
        <v>173</v>
      </c>
      <c r="E488">
        <f>COUNTIFS(data!D:D,data!$J$2,data!F:F,"&lt;"&amp;B488)</f>
        <v>550</v>
      </c>
      <c r="F488">
        <f>COUNTIFS(data!D:D,data!$I$2,data!F:F,"&lt;"&amp;B488)</f>
        <v>220</v>
      </c>
      <c r="G488">
        <f t="shared" si="42"/>
        <v>0.2392807745504841</v>
      </c>
      <c r="H488">
        <f t="shared" si="43"/>
        <v>0.58801498127340823</v>
      </c>
      <c r="I488">
        <f t="shared" si="47"/>
        <v>0</v>
      </c>
      <c r="J488">
        <f t="shared" si="44"/>
        <v>0.64476386036960986</v>
      </c>
      <c r="K488">
        <f t="shared" si="45"/>
        <v>0.61508325171400591</v>
      </c>
      <c r="L488">
        <f>A488*COUNTIF(data!D:D,data!$I$2)/data!$L$2</f>
        <v>206.88782816229116</v>
      </c>
      <c r="M488" s="1">
        <f>A488/data!$L$2</f>
        <v>0.38743038981702466</v>
      </c>
      <c r="N488">
        <f t="shared" si="46"/>
        <v>1.5177306600835199</v>
      </c>
    </row>
    <row r="489" spans="1:14" x14ac:dyDescent="0.2">
      <c r="A489">
        <v>488</v>
      </c>
      <c r="B489">
        <f>LARGE(data!F:F,A489)</f>
        <v>0.4957586893</v>
      </c>
      <c r="C489">
        <f>COUNTIFS(data!D:D,data!$I$2,data!F:F,"&gt;="&amp;B489)</f>
        <v>314</v>
      </c>
      <c r="D489">
        <f>COUNTIFS(data!D:D,data!$J$2,data!F:F,"&gt;="&amp;B489)</f>
        <v>174</v>
      </c>
      <c r="E489">
        <f>COUNTIFS(data!D:D,data!$J$2,data!F:F,"&lt;"&amp;B489)</f>
        <v>549</v>
      </c>
      <c r="F489">
        <f>COUNTIFS(data!D:D,data!$I$2,data!F:F,"&lt;"&amp;B489)</f>
        <v>220</v>
      </c>
      <c r="G489">
        <f t="shared" si="42"/>
        <v>0.24066390041493776</v>
      </c>
      <c r="H489">
        <f t="shared" si="43"/>
        <v>0.58801498127340823</v>
      </c>
      <c r="I489">
        <f t="shared" si="47"/>
        <v>8.1329872928548568E-4</v>
      </c>
      <c r="J489">
        <f t="shared" si="44"/>
        <v>0.64344262295081966</v>
      </c>
      <c r="K489">
        <f t="shared" si="45"/>
        <v>0.61448140900195702</v>
      </c>
      <c r="L489">
        <f>A489*COUNTIF(data!D:D,data!$I$2)/data!$L$2</f>
        <v>207.31264916467779</v>
      </c>
      <c r="M489" s="1">
        <f>A489/data!$L$2</f>
        <v>0.38822593476531425</v>
      </c>
      <c r="N489">
        <f t="shared" si="46"/>
        <v>1.5146205562718733</v>
      </c>
    </row>
    <row r="490" spans="1:14" x14ac:dyDescent="0.2">
      <c r="A490">
        <v>489</v>
      </c>
      <c r="B490">
        <f>LARGE(data!F:F,A490)</f>
        <v>0.49484953549999999</v>
      </c>
      <c r="C490">
        <f>COUNTIFS(data!D:D,data!$I$2,data!F:F,"&gt;="&amp;B490)</f>
        <v>315</v>
      </c>
      <c r="D490">
        <f>COUNTIFS(data!D:D,data!$J$2,data!F:F,"&gt;="&amp;B490)</f>
        <v>174</v>
      </c>
      <c r="E490">
        <f>COUNTIFS(data!D:D,data!$J$2,data!F:F,"&lt;"&amp;B490)</f>
        <v>549</v>
      </c>
      <c r="F490">
        <f>COUNTIFS(data!D:D,data!$I$2,data!F:F,"&lt;"&amp;B490)</f>
        <v>219</v>
      </c>
      <c r="G490">
        <f t="shared" si="42"/>
        <v>0.24066390041493776</v>
      </c>
      <c r="H490">
        <f t="shared" si="43"/>
        <v>0.5898876404494382</v>
      </c>
      <c r="I490">
        <f t="shared" si="47"/>
        <v>0</v>
      </c>
      <c r="J490">
        <f t="shared" si="44"/>
        <v>0.64417177914110424</v>
      </c>
      <c r="K490">
        <f t="shared" si="45"/>
        <v>0.6158357771260996</v>
      </c>
      <c r="L490">
        <f>A490*COUNTIF(data!D:D,data!$I$2)/data!$L$2</f>
        <v>207.73747016706443</v>
      </c>
      <c r="M490" s="1">
        <f>A490/data!$L$2</f>
        <v>0.38902147971360385</v>
      </c>
      <c r="N490">
        <f t="shared" si="46"/>
        <v>1.5163369407872063</v>
      </c>
    </row>
    <row r="491" spans="1:14" x14ac:dyDescent="0.2">
      <c r="A491">
        <v>490</v>
      </c>
      <c r="B491">
        <f>LARGE(data!F:F,A491)</f>
        <v>0.49446009629999998</v>
      </c>
      <c r="C491">
        <f>COUNTIFS(data!D:D,data!$I$2,data!F:F,"&gt;="&amp;B491)</f>
        <v>316</v>
      </c>
      <c r="D491">
        <f>COUNTIFS(data!D:D,data!$J$2,data!F:F,"&gt;="&amp;B491)</f>
        <v>174</v>
      </c>
      <c r="E491">
        <f>COUNTIFS(data!D:D,data!$J$2,data!F:F,"&lt;"&amp;B491)</f>
        <v>549</v>
      </c>
      <c r="F491">
        <f>COUNTIFS(data!D:D,data!$I$2,data!F:F,"&lt;"&amp;B491)</f>
        <v>218</v>
      </c>
      <c r="G491">
        <f t="shared" si="42"/>
        <v>0.24066390041493776</v>
      </c>
      <c r="H491">
        <f t="shared" si="43"/>
        <v>0.59176029962546817</v>
      </c>
      <c r="I491">
        <f t="shared" si="47"/>
        <v>0</v>
      </c>
      <c r="J491">
        <f t="shared" si="44"/>
        <v>0.64489795918367343</v>
      </c>
      <c r="K491">
        <f t="shared" si="45"/>
        <v>0.61718750000000011</v>
      </c>
      <c r="L491">
        <f>A491*COUNTIF(data!D:D,data!$I$2)/data!$L$2</f>
        <v>208.16229116945107</v>
      </c>
      <c r="M491" s="1">
        <f>A491/data!$L$2</f>
        <v>0.38981702466189339</v>
      </c>
      <c r="N491">
        <f t="shared" si="46"/>
        <v>1.5180463196514562</v>
      </c>
    </row>
    <row r="492" spans="1:14" x14ac:dyDescent="0.2">
      <c r="A492">
        <v>491</v>
      </c>
      <c r="B492">
        <f>LARGE(data!F:F,A492)</f>
        <v>0.4943484259</v>
      </c>
      <c r="C492">
        <f>COUNTIFS(data!D:D,data!$I$2,data!F:F,"&gt;="&amp;B492)</f>
        <v>316</v>
      </c>
      <c r="D492">
        <f>COUNTIFS(data!D:D,data!$J$2,data!F:F,"&gt;="&amp;B492)</f>
        <v>175</v>
      </c>
      <c r="E492">
        <f>COUNTIFS(data!D:D,data!$J$2,data!F:F,"&lt;"&amp;B492)</f>
        <v>548</v>
      </c>
      <c r="F492">
        <f>COUNTIFS(data!D:D,data!$I$2,data!F:F,"&lt;"&amp;B492)</f>
        <v>218</v>
      </c>
      <c r="G492">
        <f t="shared" si="42"/>
        <v>0.24204702627939143</v>
      </c>
      <c r="H492">
        <f t="shared" si="43"/>
        <v>0.59176029962546817</v>
      </c>
      <c r="I492">
        <f t="shared" si="47"/>
        <v>8.1847897596883275E-4</v>
      </c>
      <c r="J492">
        <f t="shared" si="44"/>
        <v>0.64358452138492872</v>
      </c>
      <c r="K492">
        <f t="shared" si="45"/>
        <v>0.61658536585365853</v>
      </c>
      <c r="L492">
        <f>A492*COUNTIF(data!D:D,data!$I$2)/data!$L$2</f>
        <v>208.5871121718377</v>
      </c>
      <c r="M492" s="1">
        <f>A492/data!$L$2</f>
        <v>0.39061256961018298</v>
      </c>
      <c r="N492">
        <f t="shared" si="46"/>
        <v>1.5149545756195795</v>
      </c>
    </row>
    <row r="493" spans="1:14" x14ac:dyDescent="0.2">
      <c r="A493">
        <v>492</v>
      </c>
      <c r="B493">
        <f>LARGE(data!F:F,A493)</f>
        <v>0.49354039490000001</v>
      </c>
      <c r="C493">
        <f>COUNTIFS(data!D:D,data!$I$2,data!F:F,"&gt;="&amp;B493)</f>
        <v>317</v>
      </c>
      <c r="D493">
        <f>COUNTIFS(data!D:D,data!$J$2,data!F:F,"&gt;="&amp;B493)</f>
        <v>175</v>
      </c>
      <c r="E493">
        <f>COUNTIFS(data!D:D,data!$J$2,data!F:F,"&lt;"&amp;B493)</f>
        <v>548</v>
      </c>
      <c r="F493">
        <f>COUNTIFS(data!D:D,data!$I$2,data!F:F,"&lt;"&amp;B493)</f>
        <v>217</v>
      </c>
      <c r="G493">
        <f t="shared" si="42"/>
        <v>0.24204702627939143</v>
      </c>
      <c r="H493">
        <f t="shared" si="43"/>
        <v>0.59363295880149813</v>
      </c>
      <c r="I493">
        <f t="shared" si="47"/>
        <v>0</v>
      </c>
      <c r="J493">
        <f t="shared" si="44"/>
        <v>0.64430894308943087</v>
      </c>
      <c r="K493">
        <f t="shared" si="45"/>
        <v>0.61793372319688111</v>
      </c>
      <c r="L493">
        <f>A493*COUNTIF(data!D:D,data!$I$2)/data!$L$2</f>
        <v>209.01193317422434</v>
      </c>
      <c r="M493" s="1">
        <f>A493/data!$L$2</f>
        <v>0.39140811455847258</v>
      </c>
      <c r="N493">
        <f t="shared" si="46"/>
        <v>1.5166598154745592</v>
      </c>
    </row>
    <row r="494" spans="1:14" x14ac:dyDescent="0.2">
      <c r="A494">
        <v>493</v>
      </c>
      <c r="B494">
        <f>LARGE(data!F:F,A494)</f>
        <v>0.49320465260000002</v>
      </c>
      <c r="C494">
        <f>COUNTIFS(data!D:D,data!$I$2,data!F:F,"&gt;="&amp;B494)</f>
        <v>318</v>
      </c>
      <c r="D494">
        <f>COUNTIFS(data!D:D,data!$J$2,data!F:F,"&gt;="&amp;B494)</f>
        <v>175</v>
      </c>
      <c r="E494">
        <f>COUNTIFS(data!D:D,data!$J$2,data!F:F,"&lt;"&amp;B494)</f>
        <v>548</v>
      </c>
      <c r="F494">
        <f>COUNTIFS(data!D:D,data!$I$2,data!F:F,"&lt;"&amp;B494)</f>
        <v>216</v>
      </c>
      <c r="G494">
        <f t="shared" si="42"/>
        <v>0.24204702627939143</v>
      </c>
      <c r="H494">
        <f t="shared" si="43"/>
        <v>0.5955056179775281</v>
      </c>
      <c r="I494">
        <f t="shared" si="47"/>
        <v>0</v>
      </c>
      <c r="J494">
        <f t="shared" si="44"/>
        <v>0.64503042596348881</v>
      </c>
      <c r="K494">
        <f t="shared" si="45"/>
        <v>0.61927945472249268</v>
      </c>
      <c r="L494">
        <f>A494*COUNTIF(data!D:D,data!$I$2)/data!$L$2</f>
        <v>209.43675417661098</v>
      </c>
      <c r="M494" s="1">
        <f>A494/data!$L$2</f>
        <v>0.39220365950676211</v>
      </c>
      <c r="N494">
        <f t="shared" si="46"/>
        <v>1.5183581375207968</v>
      </c>
    </row>
    <row r="495" spans="1:14" x14ac:dyDescent="0.2">
      <c r="A495">
        <v>494</v>
      </c>
      <c r="B495">
        <f>LARGE(data!F:F,A495)</f>
        <v>0.4930834784</v>
      </c>
      <c r="C495">
        <f>COUNTIFS(data!D:D,data!$I$2,data!F:F,"&gt;="&amp;B495)</f>
        <v>320</v>
      </c>
      <c r="D495">
        <f>COUNTIFS(data!D:D,data!$J$2,data!F:F,"&gt;="&amp;B495)</f>
        <v>175</v>
      </c>
      <c r="E495">
        <f>COUNTIFS(data!D:D,data!$J$2,data!F:F,"&lt;"&amp;B495)</f>
        <v>548</v>
      </c>
      <c r="F495">
        <f>COUNTIFS(data!D:D,data!$I$2,data!F:F,"&lt;"&amp;B495)</f>
        <v>214</v>
      </c>
      <c r="G495">
        <f t="shared" si="42"/>
        <v>0.24204702627939143</v>
      </c>
      <c r="H495">
        <f t="shared" si="43"/>
        <v>0.59925093632958804</v>
      </c>
      <c r="I495">
        <f t="shared" si="47"/>
        <v>0</v>
      </c>
      <c r="J495">
        <f t="shared" si="44"/>
        <v>0.64646464646464652</v>
      </c>
      <c r="K495">
        <f t="shared" si="45"/>
        <v>0.62196307094266279</v>
      </c>
      <c r="L495">
        <f>A495*COUNTIF(data!D:D,data!$I$2)/data!$L$2</f>
        <v>209.86157517899761</v>
      </c>
      <c r="M495" s="1">
        <f>A495/data!$L$2</f>
        <v>0.39299920445505171</v>
      </c>
      <c r="N495">
        <f t="shared" si="46"/>
        <v>1.5248146294864213</v>
      </c>
    </row>
    <row r="496" spans="1:14" x14ac:dyDescent="0.2">
      <c r="A496">
        <v>495</v>
      </c>
      <c r="B496">
        <f>LARGE(data!F:F,A496)</f>
        <v>0.4930834784</v>
      </c>
      <c r="C496">
        <f>COUNTIFS(data!D:D,data!$I$2,data!F:F,"&gt;="&amp;B496)</f>
        <v>320</v>
      </c>
      <c r="D496">
        <f>COUNTIFS(data!D:D,data!$J$2,data!F:F,"&gt;="&amp;B496)</f>
        <v>175</v>
      </c>
      <c r="E496">
        <f>COUNTIFS(data!D:D,data!$J$2,data!F:F,"&lt;"&amp;B496)</f>
        <v>548</v>
      </c>
      <c r="F496">
        <f>COUNTIFS(data!D:D,data!$I$2,data!F:F,"&lt;"&amp;B496)</f>
        <v>214</v>
      </c>
      <c r="G496">
        <f t="shared" si="42"/>
        <v>0.24204702627939143</v>
      </c>
      <c r="H496">
        <f t="shared" si="43"/>
        <v>0.59925093632958804</v>
      </c>
      <c r="I496">
        <f t="shared" si="47"/>
        <v>0</v>
      </c>
      <c r="J496">
        <f t="shared" si="44"/>
        <v>0.64646464646464652</v>
      </c>
      <c r="K496">
        <f t="shared" si="45"/>
        <v>0.62196307094266279</v>
      </c>
      <c r="L496">
        <f>A496*COUNTIF(data!D:D,data!$I$2)/data!$L$2</f>
        <v>210.28639618138425</v>
      </c>
      <c r="M496" s="1">
        <f>A496/data!$L$2</f>
        <v>0.3937947494033413</v>
      </c>
      <c r="N496">
        <f t="shared" si="46"/>
        <v>1.5217341958914992</v>
      </c>
    </row>
    <row r="497" spans="1:14" x14ac:dyDescent="0.2">
      <c r="A497">
        <v>496</v>
      </c>
      <c r="B497">
        <f>LARGE(data!F:F,A497)</f>
        <v>0.4930226915</v>
      </c>
      <c r="C497">
        <f>COUNTIFS(data!D:D,data!$I$2,data!F:F,"&gt;="&amp;B497)</f>
        <v>322</v>
      </c>
      <c r="D497">
        <f>COUNTIFS(data!D:D,data!$J$2,data!F:F,"&gt;="&amp;B497)</f>
        <v>175</v>
      </c>
      <c r="E497">
        <f>COUNTIFS(data!D:D,data!$J$2,data!F:F,"&lt;"&amp;B497)</f>
        <v>548</v>
      </c>
      <c r="F497">
        <f>COUNTIFS(data!D:D,data!$I$2,data!F:F,"&lt;"&amp;B497)</f>
        <v>212</v>
      </c>
      <c r="G497">
        <f t="shared" si="42"/>
        <v>0.24204702627939143</v>
      </c>
      <c r="H497">
        <f t="shared" si="43"/>
        <v>0.60299625468164797</v>
      </c>
      <c r="I497">
        <f t="shared" si="47"/>
        <v>0</v>
      </c>
      <c r="J497">
        <f t="shared" si="44"/>
        <v>0.647887323943662</v>
      </c>
      <c r="K497">
        <f t="shared" si="45"/>
        <v>0.62463627546071787</v>
      </c>
      <c r="L497">
        <f>A497*COUNTIF(data!D:D,data!$I$2)/data!$L$2</f>
        <v>210.71121718377088</v>
      </c>
      <c r="M497" s="1">
        <f>A497/data!$L$2</f>
        <v>0.39459029435163084</v>
      </c>
      <c r="N497">
        <f t="shared" si="46"/>
        <v>1.5281578470460311</v>
      </c>
    </row>
    <row r="498" spans="1:14" x14ac:dyDescent="0.2">
      <c r="A498">
        <v>497</v>
      </c>
      <c r="B498">
        <f>LARGE(data!F:F,A498)</f>
        <v>0.4930226915</v>
      </c>
      <c r="C498">
        <f>COUNTIFS(data!D:D,data!$I$2,data!F:F,"&gt;="&amp;B498)</f>
        <v>322</v>
      </c>
      <c r="D498">
        <f>COUNTIFS(data!D:D,data!$J$2,data!F:F,"&gt;="&amp;B498)</f>
        <v>175</v>
      </c>
      <c r="E498">
        <f>COUNTIFS(data!D:D,data!$J$2,data!F:F,"&lt;"&amp;B498)</f>
        <v>548</v>
      </c>
      <c r="F498">
        <f>COUNTIFS(data!D:D,data!$I$2,data!F:F,"&lt;"&amp;B498)</f>
        <v>212</v>
      </c>
      <c r="G498">
        <f t="shared" si="42"/>
        <v>0.24204702627939143</v>
      </c>
      <c r="H498">
        <f t="shared" si="43"/>
        <v>0.60299625468164797</v>
      </c>
      <c r="I498">
        <f t="shared" si="47"/>
        <v>0</v>
      </c>
      <c r="J498">
        <f t="shared" si="44"/>
        <v>0.647887323943662</v>
      </c>
      <c r="K498">
        <f t="shared" si="45"/>
        <v>0.62463627546071787</v>
      </c>
      <c r="L498">
        <f>A498*COUNTIF(data!D:D,data!$I$2)/data!$L$2</f>
        <v>211.13603818615752</v>
      </c>
      <c r="M498" s="1">
        <f>A498/data!$L$2</f>
        <v>0.39538583929992044</v>
      </c>
      <c r="N498">
        <f t="shared" si="46"/>
        <v>1.5250830827662605</v>
      </c>
    </row>
    <row r="499" spans="1:14" x14ac:dyDescent="0.2">
      <c r="A499">
        <v>498</v>
      </c>
      <c r="B499">
        <f>LARGE(data!F:F,A499)</f>
        <v>0.49203747149999999</v>
      </c>
      <c r="C499">
        <f>COUNTIFS(data!D:D,data!$I$2,data!F:F,"&gt;="&amp;B499)</f>
        <v>324</v>
      </c>
      <c r="D499">
        <f>COUNTIFS(data!D:D,data!$J$2,data!F:F,"&gt;="&amp;B499)</f>
        <v>175</v>
      </c>
      <c r="E499">
        <f>COUNTIFS(data!D:D,data!$J$2,data!F:F,"&lt;"&amp;B499)</f>
        <v>548</v>
      </c>
      <c r="F499">
        <f>COUNTIFS(data!D:D,data!$I$2,data!F:F,"&lt;"&amp;B499)</f>
        <v>210</v>
      </c>
      <c r="G499">
        <f t="shared" si="42"/>
        <v>0.24204702627939143</v>
      </c>
      <c r="H499">
        <f t="shared" si="43"/>
        <v>0.6067415730337079</v>
      </c>
      <c r="I499">
        <f t="shared" si="47"/>
        <v>0</v>
      </c>
      <c r="J499">
        <f t="shared" si="44"/>
        <v>0.64929859719438876</v>
      </c>
      <c r="K499">
        <f t="shared" si="45"/>
        <v>0.62729912875121019</v>
      </c>
      <c r="L499">
        <f>A499*COUNTIF(data!D:D,data!$I$2)/data!$L$2</f>
        <v>211.56085918854416</v>
      </c>
      <c r="M499" s="1">
        <f>A499/data!$L$2</f>
        <v>0.39618138424821003</v>
      </c>
      <c r="N499">
        <f t="shared" si="46"/>
        <v>1.5314742114525517</v>
      </c>
    </row>
    <row r="500" spans="1:14" x14ac:dyDescent="0.2">
      <c r="A500">
        <v>499</v>
      </c>
      <c r="B500">
        <f>LARGE(data!F:F,A500)</f>
        <v>0.49203747149999999</v>
      </c>
      <c r="C500">
        <f>COUNTIFS(data!D:D,data!$I$2,data!F:F,"&gt;="&amp;B500)</f>
        <v>324</v>
      </c>
      <c r="D500">
        <f>COUNTIFS(data!D:D,data!$J$2,data!F:F,"&gt;="&amp;B500)</f>
        <v>175</v>
      </c>
      <c r="E500">
        <f>COUNTIFS(data!D:D,data!$J$2,data!F:F,"&lt;"&amp;B500)</f>
        <v>548</v>
      </c>
      <c r="F500">
        <f>COUNTIFS(data!D:D,data!$I$2,data!F:F,"&lt;"&amp;B500)</f>
        <v>210</v>
      </c>
      <c r="G500">
        <f t="shared" si="42"/>
        <v>0.24204702627939143</v>
      </c>
      <c r="H500">
        <f t="shared" si="43"/>
        <v>0.6067415730337079</v>
      </c>
      <c r="I500">
        <f t="shared" si="47"/>
        <v>0</v>
      </c>
      <c r="J500">
        <f t="shared" si="44"/>
        <v>0.64929859719438876</v>
      </c>
      <c r="K500">
        <f t="shared" si="45"/>
        <v>0.62729912875121019</v>
      </c>
      <c r="L500">
        <f>A500*COUNTIF(data!D:D,data!$I$2)/data!$L$2</f>
        <v>211.98568019093079</v>
      </c>
      <c r="M500" s="1">
        <f>A500/data!$L$2</f>
        <v>0.39697692919649963</v>
      </c>
      <c r="N500">
        <f t="shared" si="46"/>
        <v>1.5284051248564545</v>
      </c>
    </row>
    <row r="501" spans="1:14" x14ac:dyDescent="0.2">
      <c r="A501">
        <v>500</v>
      </c>
      <c r="B501">
        <f>LARGE(data!F:F,A501)</f>
        <v>0.49182053710000001</v>
      </c>
      <c r="C501">
        <f>COUNTIFS(data!D:D,data!$I$2,data!F:F,"&gt;="&amp;B501)</f>
        <v>326</v>
      </c>
      <c r="D501">
        <f>COUNTIFS(data!D:D,data!$J$2,data!F:F,"&gt;="&amp;B501)</f>
        <v>175</v>
      </c>
      <c r="E501">
        <f>COUNTIFS(data!D:D,data!$J$2,data!F:F,"&lt;"&amp;B501)</f>
        <v>548</v>
      </c>
      <c r="F501">
        <f>COUNTIFS(data!D:D,data!$I$2,data!F:F,"&lt;"&amp;B501)</f>
        <v>208</v>
      </c>
      <c r="G501">
        <f t="shared" si="42"/>
        <v>0.24204702627939143</v>
      </c>
      <c r="H501">
        <f t="shared" si="43"/>
        <v>0.61048689138576784</v>
      </c>
      <c r="I501">
        <f t="shared" si="47"/>
        <v>0</v>
      </c>
      <c r="J501">
        <f t="shared" si="44"/>
        <v>0.65069860279441116</v>
      </c>
      <c r="K501">
        <f t="shared" si="45"/>
        <v>0.62995169082125602</v>
      </c>
      <c r="L501">
        <f>A501*COUNTIF(data!D:D,data!$I$2)/data!$L$2</f>
        <v>212.41050119331743</v>
      </c>
      <c r="M501" s="1">
        <f>A501/data!$L$2</f>
        <v>0.39777247414478917</v>
      </c>
      <c r="N501">
        <f t="shared" si="46"/>
        <v>1.5347640449438202</v>
      </c>
    </row>
    <row r="502" spans="1:14" x14ac:dyDescent="0.2">
      <c r="A502">
        <v>501</v>
      </c>
      <c r="B502">
        <f>LARGE(data!F:F,A502)</f>
        <v>0.49182053710000001</v>
      </c>
      <c r="C502">
        <f>COUNTIFS(data!D:D,data!$I$2,data!F:F,"&gt;="&amp;B502)</f>
        <v>326</v>
      </c>
      <c r="D502">
        <f>COUNTIFS(data!D:D,data!$J$2,data!F:F,"&gt;="&amp;B502)</f>
        <v>175</v>
      </c>
      <c r="E502">
        <f>COUNTIFS(data!D:D,data!$J$2,data!F:F,"&lt;"&amp;B502)</f>
        <v>548</v>
      </c>
      <c r="F502">
        <f>COUNTIFS(data!D:D,data!$I$2,data!F:F,"&lt;"&amp;B502)</f>
        <v>208</v>
      </c>
      <c r="G502">
        <f t="shared" si="42"/>
        <v>0.24204702627939143</v>
      </c>
      <c r="H502">
        <f t="shared" si="43"/>
        <v>0.61048689138576784</v>
      </c>
      <c r="I502">
        <f t="shared" si="47"/>
        <v>0</v>
      </c>
      <c r="J502">
        <f t="shared" si="44"/>
        <v>0.65069860279441116</v>
      </c>
      <c r="K502">
        <f t="shared" si="45"/>
        <v>0.62995169082125602</v>
      </c>
      <c r="L502">
        <f>A502*COUNTIF(data!D:D,data!$I$2)/data!$L$2</f>
        <v>212.83532219570407</v>
      </c>
      <c r="M502" s="1">
        <f>A502/data!$L$2</f>
        <v>0.39856801909307876</v>
      </c>
      <c r="N502">
        <f t="shared" si="46"/>
        <v>1.531700643656507</v>
      </c>
    </row>
    <row r="503" spans="1:14" x14ac:dyDescent="0.2">
      <c r="A503">
        <v>502</v>
      </c>
      <c r="B503">
        <f>LARGE(data!F:F,A503)</f>
        <v>0.49146765860000002</v>
      </c>
      <c r="C503">
        <f>COUNTIFS(data!D:D,data!$I$2,data!F:F,"&gt;="&amp;B503)</f>
        <v>327</v>
      </c>
      <c r="D503">
        <f>COUNTIFS(data!D:D,data!$J$2,data!F:F,"&gt;="&amp;B503)</f>
        <v>175</v>
      </c>
      <c r="E503">
        <f>COUNTIFS(data!D:D,data!$J$2,data!F:F,"&lt;"&amp;B503)</f>
        <v>548</v>
      </c>
      <c r="F503">
        <f>COUNTIFS(data!D:D,data!$I$2,data!F:F,"&lt;"&amp;B503)</f>
        <v>207</v>
      </c>
      <c r="G503">
        <f t="shared" ref="G503:G566" si="48">D503/(E503+D503)</f>
        <v>0.24204702627939143</v>
      </c>
      <c r="H503">
        <f t="shared" ref="H503:H566" si="49">C503/(C503+F503)</f>
        <v>0.61235955056179781</v>
      </c>
      <c r="I503">
        <f t="shared" si="47"/>
        <v>0</v>
      </c>
      <c r="J503">
        <f t="shared" ref="J503:J566" si="50">C503/(C503+D503)</f>
        <v>0.65139442231075695</v>
      </c>
      <c r="K503">
        <f t="shared" ref="K503:K566" si="51">2*J503*H503/(J503+H503)</f>
        <v>0.63127413127413123</v>
      </c>
      <c r="L503">
        <f>A503*COUNTIF(data!D:D,data!$I$2)/data!$L$2</f>
        <v>213.2601431980907</v>
      </c>
      <c r="M503" s="1">
        <f>A503/data!$L$2</f>
        <v>0.39936356404136836</v>
      </c>
      <c r="N503">
        <f t="shared" si="46"/>
        <v>1.5333385558888042</v>
      </c>
    </row>
    <row r="504" spans="1:14" x14ac:dyDescent="0.2">
      <c r="A504">
        <v>503</v>
      </c>
      <c r="B504">
        <f>LARGE(data!F:F,A504)</f>
        <v>0.49062352409999999</v>
      </c>
      <c r="C504">
        <f>COUNTIFS(data!D:D,data!$I$2,data!F:F,"&gt;="&amp;B504)</f>
        <v>328</v>
      </c>
      <c r="D504">
        <f>COUNTIFS(data!D:D,data!$J$2,data!F:F,"&gt;="&amp;B504)</f>
        <v>175</v>
      </c>
      <c r="E504">
        <f>COUNTIFS(data!D:D,data!$J$2,data!F:F,"&lt;"&amp;B504)</f>
        <v>548</v>
      </c>
      <c r="F504">
        <f>COUNTIFS(data!D:D,data!$I$2,data!F:F,"&lt;"&amp;B504)</f>
        <v>206</v>
      </c>
      <c r="G504">
        <f t="shared" si="48"/>
        <v>0.24204702627939143</v>
      </c>
      <c r="H504">
        <f t="shared" si="49"/>
        <v>0.61423220973782766</v>
      </c>
      <c r="I504">
        <f t="shared" si="47"/>
        <v>0</v>
      </c>
      <c r="J504">
        <f t="shared" si="50"/>
        <v>0.65208747514910537</v>
      </c>
      <c r="K504">
        <f t="shared" si="51"/>
        <v>0.63259402121504327</v>
      </c>
      <c r="L504">
        <f>A504*COUNTIF(data!D:D,data!$I$2)/data!$L$2</f>
        <v>213.68496420047734</v>
      </c>
      <c r="M504" s="1">
        <f>A504/data!$L$2</f>
        <v>0.4001591089896579</v>
      </c>
      <c r="N504">
        <f t="shared" si="46"/>
        <v>1.5349699555476131</v>
      </c>
    </row>
    <row r="505" spans="1:14" x14ac:dyDescent="0.2">
      <c r="A505">
        <v>504</v>
      </c>
      <c r="B505">
        <f>LARGE(data!F:F,A505)</f>
        <v>0.489879695</v>
      </c>
      <c r="C505">
        <f>COUNTIFS(data!D:D,data!$I$2,data!F:F,"&gt;="&amp;B505)</f>
        <v>329</v>
      </c>
      <c r="D505">
        <f>COUNTIFS(data!D:D,data!$J$2,data!F:F,"&gt;="&amp;B505)</f>
        <v>176</v>
      </c>
      <c r="E505">
        <f>COUNTIFS(data!D:D,data!$J$2,data!F:F,"&lt;"&amp;B505)</f>
        <v>547</v>
      </c>
      <c r="F505">
        <f>COUNTIFS(data!D:D,data!$I$2,data!F:F,"&lt;"&amp;B505)</f>
        <v>205</v>
      </c>
      <c r="G505">
        <f t="shared" si="48"/>
        <v>0.24343015214384509</v>
      </c>
      <c r="H505">
        <f t="shared" si="49"/>
        <v>0.61610486891385763</v>
      </c>
      <c r="I505">
        <f t="shared" si="47"/>
        <v>8.5085551773975165E-4</v>
      </c>
      <c r="J505">
        <f t="shared" si="50"/>
        <v>0.65148514851485151</v>
      </c>
      <c r="K505">
        <f t="shared" si="51"/>
        <v>0.6333012512030799</v>
      </c>
      <c r="L505">
        <f>A505*COUNTIF(data!D:D,data!$I$2)/data!$L$2</f>
        <v>214.10978520286397</v>
      </c>
      <c r="M505" s="1">
        <f>A505/data!$L$2</f>
        <v>0.40095465393794749</v>
      </c>
      <c r="N505">
        <f t="shared" si="46"/>
        <v>1.5365948813982522</v>
      </c>
    </row>
    <row r="506" spans="1:14" x14ac:dyDescent="0.2">
      <c r="A506">
        <v>505</v>
      </c>
      <c r="B506">
        <f>LARGE(data!F:F,A506)</f>
        <v>0.489879695</v>
      </c>
      <c r="C506">
        <f>COUNTIFS(data!D:D,data!$I$2,data!F:F,"&gt;="&amp;B506)</f>
        <v>329</v>
      </c>
      <c r="D506">
        <f>COUNTIFS(data!D:D,data!$J$2,data!F:F,"&gt;="&amp;B506)</f>
        <v>176</v>
      </c>
      <c r="E506">
        <f>COUNTIFS(data!D:D,data!$J$2,data!F:F,"&lt;"&amp;B506)</f>
        <v>547</v>
      </c>
      <c r="F506">
        <f>COUNTIFS(data!D:D,data!$I$2,data!F:F,"&lt;"&amp;B506)</f>
        <v>205</v>
      </c>
      <c r="G506">
        <f t="shared" si="48"/>
        <v>0.24343015214384509</v>
      </c>
      <c r="H506">
        <f t="shared" si="49"/>
        <v>0.61610486891385763</v>
      </c>
      <c r="I506">
        <f t="shared" si="47"/>
        <v>0</v>
      </c>
      <c r="J506">
        <f t="shared" si="50"/>
        <v>0.65148514851485151</v>
      </c>
      <c r="K506">
        <f t="shared" si="51"/>
        <v>0.6333012512030799</v>
      </c>
      <c r="L506">
        <f>A506*COUNTIF(data!D:D,data!$I$2)/data!$L$2</f>
        <v>214.53460620525058</v>
      </c>
      <c r="M506" s="1">
        <f>A506/data!$L$2</f>
        <v>0.40175019888623709</v>
      </c>
      <c r="N506">
        <f t="shared" si="46"/>
        <v>1.5335521192568695</v>
      </c>
    </row>
    <row r="507" spans="1:14" x14ac:dyDescent="0.2">
      <c r="A507">
        <v>506</v>
      </c>
      <c r="B507">
        <f>LARGE(data!F:F,A507)</f>
        <v>0.48916292080000001</v>
      </c>
      <c r="C507">
        <f>COUNTIFS(data!D:D,data!$I$2,data!F:F,"&gt;="&amp;B507)</f>
        <v>329</v>
      </c>
      <c r="D507">
        <f>COUNTIFS(data!D:D,data!$J$2,data!F:F,"&gt;="&amp;B507)</f>
        <v>177</v>
      </c>
      <c r="E507">
        <f>COUNTIFS(data!D:D,data!$J$2,data!F:F,"&lt;"&amp;B507)</f>
        <v>546</v>
      </c>
      <c r="F507">
        <f>COUNTIFS(data!D:D,data!$I$2,data!F:F,"&lt;"&amp;B507)</f>
        <v>205</v>
      </c>
      <c r="G507">
        <f t="shared" si="48"/>
        <v>0.24481327800829875</v>
      </c>
      <c r="H507">
        <f t="shared" si="49"/>
        <v>0.61610486891385763</v>
      </c>
      <c r="I507">
        <f t="shared" si="47"/>
        <v>8.5215057941058839E-4</v>
      </c>
      <c r="J507">
        <f t="shared" si="50"/>
        <v>0.65019762845849804</v>
      </c>
      <c r="K507">
        <f t="shared" si="51"/>
        <v>0.63269230769230755</v>
      </c>
      <c r="L507">
        <f>A507*COUNTIF(data!D:D,data!$I$2)/data!$L$2</f>
        <v>214.95942720763722</v>
      </c>
      <c r="M507" s="1">
        <f>A507/data!$L$2</f>
        <v>0.40254574383452663</v>
      </c>
      <c r="N507">
        <f t="shared" si="46"/>
        <v>1.5305213838433185</v>
      </c>
    </row>
    <row r="508" spans="1:14" x14ac:dyDescent="0.2">
      <c r="A508">
        <v>507</v>
      </c>
      <c r="B508">
        <f>LARGE(data!F:F,A508)</f>
        <v>0.48736542199999999</v>
      </c>
      <c r="C508">
        <f>COUNTIFS(data!D:D,data!$I$2,data!F:F,"&gt;="&amp;B508)</f>
        <v>329</v>
      </c>
      <c r="D508">
        <f>COUNTIFS(data!D:D,data!$J$2,data!F:F,"&gt;="&amp;B508)</f>
        <v>178</v>
      </c>
      <c r="E508">
        <f>COUNTIFS(data!D:D,data!$J$2,data!F:F,"&lt;"&amp;B508)</f>
        <v>545</v>
      </c>
      <c r="F508">
        <f>COUNTIFS(data!D:D,data!$I$2,data!F:F,"&lt;"&amp;B508)</f>
        <v>205</v>
      </c>
      <c r="G508">
        <f t="shared" si="48"/>
        <v>0.24619640387275243</v>
      </c>
      <c r="H508">
        <f t="shared" si="49"/>
        <v>0.61610486891385763</v>
      </c>
      <c r="I508">
        <f t="shared" si="47"/>
        <v>8.5215057941060552E-4</v>
      </c>
      <c r="J508">
        <f t="shared" si="50"/>
        <v>0.64891518737672582</v>
      </c>
      <c r="K508">
        <f t="shared" si="51"/>
        <v>0.63208453410182508</v>
      </c>
      <c r="L508">
        <f>A508*COUNTIF(data!D:D,data!$I$2)/data!$L$2</f>
        <v>215.38424821002386</v>
      </c>
      <c r="M508" s="1">
        <f>A508/data!$L$2</f>
        <v>0.40334128878281622</v>
      </c>
      <c r="N508">
        <f t="shared" si="46"/>
        <v>1.5275026039935289</v>
      </c>
    </row>
    <row r="509" spans="1:14" x14ac:dyDescent="0.2">
      <c r="A509">
        <v>508</v>
      </c>
      <c r="B509">
        <f>LARGE(data!F:F,A509)</f>
        <v>0.48598647319999999</v>
      </c>
      <c r="C509">
        <f>COUNTIFS(data!D:D,data!$I$2,data!F:F,"&gt;="&amp;B509)</f>
        <v>330</v>
      </c>
      <c r="D509">
        <f>COUNTIFS(data!D:D,data!$J$2,data!F:F,"&gt;="&amp;B509)</f>
        <v>178</v>
      </c>
      <c r="E509">
        <f>COUNTIFS(data!D:D,data!$J$2,data!F:F,"&lt;"&amp;B509)</f>
        <v>545</v>
      </c>
      <c r="F509">
        <f>COUNTIFS(data!D:D,data!$I$2,data!F:F,"&lt;"&amp;B509)</f>
        <v>204</v>
      </c>
      <c r="G509">
        <f t="shared" si="48"/>
        <v>0.24619640387275243</v>
      </c>
      <c r="H509">
        <f t="shared" si="49"/>
        <v>0.6179775280898876</v>
      </c>
      <c r="I509">
        <f t="shared" si="47"/>
        <v>0</v>
      </c>
      <c r="J509">
        <f t="shared" si="50"/>
        <v>0.64960629921259838</v>
      </c>
      <c r="K509">
        <f t="shared" si="51"/>
        <v>0.63339731285988476</v>
      </c>
      <c r="L509">
        <f>A509*COUNTIF(data!D:D,data!$I$2)/data!$L$2</f>
        <v>215.80906921241049</v>
      </c>
      <c r="M509" s="1">
        <f>A509/data!$L$2</f>
        <v>0.40413683373110582</v>
      </c>
      <c r="N509">
        <f t="shared" si="46"/>
        <v>1.5291294346633637</v>
      </c>
    </row>
    <row r="510" spans="1:14" x14ac:dyDescent="0.2">
      <c r="A510">
        <v>509</v>
      </c>
      <c r="B510">
        <f>LARGE(data!F:F,A510)</f>
        <v>0.48521012470000002</v>
      </c>
      <c r="C510">
        <f>COUNTIFS(data!D:D,data!$I$2,data!F:F,"&gt;="&amp;B510)</f>
        <v>330</v>
      </c>
      <c r="D510">
        <f>COUNTIFS(data!D:D,data!$J$2,data!F:F,"&gt;="&amp;B510)</f>
        <v>179</v>
      </c>
      <c r="E510">
        <f>COUNTIFS(data!D:D,data!$J$2,data!F:F,"&lt;"&amp;B510)</f>
        <v>544</v>
      </c>
      <c r="F510">
        <f>COUNTIFS(data!D:D,data!$I$2,data!F:F,"&lt;"&amp;B510)</f>
        <v>204</v>
      </c>
      <c r="G510">
        <f t="shared" si="48"/>
        <v>0.24757952973720609</v>
      </c>
      <c r="H510">
        <f t="shared" si="49"/>
        <v>0.6179775280898876</v>
      </c>
      <c r="I510">
        <f t="shared" si="47"/>
        <v>8.5474070275226197E-4</v>
      </c>
      <c r="J510">
        <f t="shared" si="50"/>
        <v>0.64833005893909623</v>
      </c>
      <c r="K510">
        <f t="shared" si="51"/>
        <v>0.63279002876318302</v>
      </c>
      <c r="L510">
        <f>A510*COUNTIF(data!D:D,data!$I$2)/data!$L$2</f>
        <v>216.23389021479713</v>
      </c>
      <c r="M510" s="1">
        <f>A510/data!$L$2</f>
        <v>0.40493237867939541</v>
      </c>
      <c r="N510">
        <f t="shared" si="46"/>
        <v>1.5261252510982097</v>
      </c>
    </row>
    <row r="511" spans="1:14" x14ac:dyDescent="0.2">
      <c r="A511">
        <v>510</v>
      </c>
      <c r="B511">
        <f>LARGE(data!F:F,A511)</f>
        <v>0.48456805879999998</v>
      </c>
      <c r="C511">
        <f>COUNTIFS(data!D:D,data!$I$2,data!F:F,"&gt;="&amp;B511)</f>
        <v>330</v>
      </c>
      <c r="D511">
        <f>COUNTIFS(data!D:D,data!$J$2,data!F:F,"&gt;="&amp;B511)</f>
        <v>180</v>
      </c>
      <c r="E511">
        <f>COUNTIFS(data!D:D,data!$J$2,data!F:F,"&lt;"&amp;B511)</f>
        <v>543</v>
      </c>
      <c r="F511">
        <f>COUNTIFS(data!D:D,data!$I$2,data!F:F,"&lt;"&amp;B511)</f>
        <v>204</v>
      </c>
      <c r="G511">
        <f t="shared" si="48"/>
        <v>0.24896265560165975</v>
      </c>
      <c r="H511">
        <f t="shared" si="49"/>
        <v>0.6179775280898876</v>
      </c>
      <c r="I511">
        <f t="shared" si="47"/>
        <v>8.5474070275226197E-4</v>
      </c>
      <c r="J511">
        <f t="shared" si="50"/>
        <v>0.6470588235294118</v>
      </c>
      <c r="K511">
        <f t="shared" si="51"/>
        <v>0.63218390804597702</v>
      </c>
      <c r="L511">
        <f>A511*COUNTIF(data!D:D,data!$I$2)/data!$L$2</f>
        <v>216.65871121718376</v>
      </c>
      <c r="M511" s="1">
        <f>A511/data!$L$2</f>
        <v>0.40572792362768495</v>
      </c>
      <c r="N511">
        <f t="shared" si="46"/>
        <v>1.5231328486450761</v>
      </c>
    </row>
    <row r="512" spans="1:14" x14ac:dyDescent="0.2">
      <c r="A512">
        <v>511</v>
      </c>
      <c r="B512">
        <f>LARGE(data!F:F,A512)</f>
        <v>0.48372961799999997</v>
      </c>
      <c r="C512">
        <f>COUNTIFS(data!D:D,data!$I$2,data!F:F,"&gt;="&amp;B512)</f>
        <v>331</v>
      </c>
      <c r="D512">
        <f>COUNTIFS(data!D:D,data!$J$2,data!F:F,"&gt;="&amp;B512)</f>
        <v>180</v>
      </c>
      <c r="E512">
        <f>COUNTIFS(data!D:D,data!$J$2,data!F:F,"&lt;"&amp;B512)</f>
        <v>543</v>
      </c>
      <c r="F512">
        <f>COUNTIFS(data!D:D,data!$I$2,data!F:F,"&lt;"&amp;B512)</f>
        <v>203</v>
      </c>
      <c r="G512">
        <f t="shared" si="48"/>
        <v>0.24896265560165975</v>
      </c>
      <c r="H512">
        <f t="shared" si="49"/>
        <v>0.61985018726591756</v>
      </c>
      <c r="I512">
        <f t="shared" si="47"/>
        <v>0</v>
      </c>
      <c r="J512">
        <f t="shared" si="50"/>
        <v>0.64774951076320941</v>
      </c>
      <c r="K512">
        <f t="shared" si="51"/>
        <v>0.63349282296650711</v>
      </c>
      <c r="L512">
        <f>A512*COUNTIF(data!D:D,data!$I$2)/data!$L$2</f>
        <v>217.0835322195704</v>
      </c>
      <c r="M512" s="1">
        <f>A512/data!$L$2</f>
        <v>0.40652346857597454</v>
      </c>
      <c r="N512">
        <f t="shared" si="46"/>
        <v>1.5247586798302513</v>
      </c>
    </row>
    <row r="513" spans="1:14" x14ac:dyDescent="0.2">
      <c r="A513">
        <v>512</v>
      </c>
      <c r="B513">
        <f>LARGE(data!F:F,A513)</f>
        <v>0.48236799339999997</v>
      </c>
      <c r="C513">
        <f>COUNTIFS(data!D:D,data!$I$2,data!F:F,"&gt;="&amp;B513)</f>
        <v>331</v>
      </c>
      <c r="D513">
        <f>COUNTIFS(data!D:D,data!$J$2,data!F:F,"&gt;="&amp;B513)</f>
        <v>181</v>
      </c>
      <c r="E513">
        <f>COUNTIFS(data!D:D,data!$J$2,data!F:F,"&lt;"&amp;B513)</f>
        <v>542</v>
      </c>
      <c r="F513">
        <f>COUNTIFS(data!D:D,data!$I$2,data!F:F,"&lt;"&amp;B513)</f>
        <v>203</v>
      </c>
      <c r="G513">
        <f t="shared" si="48"/>
        <v>0.25034578146611342</v>
      </c>
      <c r="H513">
        <f t="shared" si="49"/>
        <v>0.61985018726591756</v>
      </c>
      <c r="I513">
        <f t="shared" si="47"/>
        <v>8.5733082609393545E-4</v>
      </c>
      <c r="J513">
        <f t="shared" si="50"/>
        <v>0.646484375</v>
      </c>
      <c r="K513">
        <f t="shared" si="51"/>
        <v>0.63288718929254306</v>
      </c>
      <c r="L513">
        <f>A513*COUNTIF(data!D:D,data!$I$2)/data!$L$2</f>
        <v>217.50835322195704</v>
      </c>
      <c r="M513" s="1">
        <f>A513/data!$L$2</f>
        <v>0.40731901352426414</v>
      </c>
      <c r="N513">
        <f t="shared" si="46"/>
        <v>1.5217806355337078</v>
      </c>
    </row>
    <row r="514" spans="1:14" x14ac:dyDescent="0.2">
      <c r="A514">
        <v>513</v>
      </c>
      <c r="B514">
        <f>LARGE(data!F:F,A514)</f>
        <v>0.48167950110000002</v>
      </c>
      <c r="C514">
        <f>COUNTIFS(data!D:D,data!$I$2,data!F:F,"&gt;="&amp;B514)</f>
        <v>333</v>
      </c>
      <c r="D514">
        <f>COUNTIFS(data!D:D,data!$J$2,data!F:F,"&gt;="&amp;B514)</f>
        <v>181</v>
      </c>
      <c r="E514">
        <f>COUNTIFS(data!D:D,data!$J$2,data!F:F,"&lt;"&amp;B514)</f>
        <v>542</v>
      </c>
      <c r="F514">
        <f>COUNTIFS(data!D:D,data!$I$2,data!F:F,"&lt;"&amp;B514)</f>
        <v>201</v>
      </c>
      <c r="G514">
        <f t="shared" si="48"/>
        <v>0.25034578146611342</v>
      </c>
      <c r="H514">
        <f t="shared" si="49"/>
        <v>0.6235955056179775</v>
      </c>
      <c r="I514">
        <f t="shared" si="47"/>
        <v>0</v>
      </c>
      <c r="J514">
        <f t="shared" si="50"/>
        <v>0.64785992217898836</v>
      </c>
      <c r="K514">
        <f t="shared" si="51"/>
        <v>0.63549618320610679</v>
      </c>
      <c r="L514">
        <f>A514*COUNTIF(data!D:D,data!$I$2)/data!$L$2</f>
        <v>217.93317422434367</v>
      </c>
      <c r="M514" s="1">
        <f>A514/data!$L$2</f>
        <v>0.40811455847255368</v>
      </c>
      <c r="N514">
        <f t="shared" ref="N514:N577" si="52">C514/L514</f>
        <v>1.5279913266311846</v>
      </c>
    </row>
    <row r="515" spans="1:14" x14ac:dyDescent="0.2">
      <c r="A515">
        <v>514</v>
      </c>
      <c r="B515">
        <f>LARGE(data!F:F,A515)</f>
        <v>0.48167950110000002</v>
      </c>
      <c r="C515">
        <f>COUNTIFS(data!D:D,data!$I$2,data!F:F,"&gt;="&amp;B515)</f>
        <v>333</v>
      </c>
      <c r="D515">
        <f>COUNTIFS(data!D:D,data!$J$2,data!F:F,"&gt;="&amp;B515)</f>
        <v>181</v>
      </c>
      <c r="E515">
        <f>COUNTIFS(data!D:D,data!$J$2,data!F:F,"&lt;"&amp;B515)</f>
        <v>542</v>
      </c>
      <c r="F515">
        <f>COUNTIFS(data!D:D,data!$I$2,data!F:F,"&lt;"&amp;B515)</f>
        <v>201</v>
      </c>
      <c r="G515">
        <f t="shared" si="48"/>
        <v>0.25034578146611342</v>
      </c>
      <c r="H515">
        <f t="shared" si="49"/>
        <v>0.6235955056179775</v>
      </c>
      <c r="I515">
        <f t="shared" ref="I515:I578" si="53">(G515-G514)*(H515+H514)*0.5</f>
        <v>0</v>
      </c>
      <c r="J515">
        <f t="shared" si="50"/>
        <v>0.64785992217898836</v>
      </c>
      <c r="K515">
        <f t="shared" si="51"/>
        <v>0.63549618320610679</v>
      </c>
      <c r="L515">
        <f>A515*COUNTIF(data!D:D,data!$I$2)/data!$L$2</f>
        <v>218.35799522673031</v>
      </c>
      <c r="M515" s="1">
        <f>A515/data!$L$2</f>
        <v>0.40891010342084327</v>
      </c>
      <c r="N515">
        <f t="shared" si="52"/>
        <v>1.5250185808595287</v>
      </c>
    </row>
    <row r="516" spans="1:14" x14ac:dyDescent="0.2">
      <c r="A516">
        <v>515</v>
      </c>
      <c r="B516">
        <f>LARGE(data!F:F,A516)</f>
        <v>0.47888611879999998</v>
      </c>
      <c r="C516">
        <f>COUNTIFS(data!D:D,data!$I$2,data!F:F,"&gt;="&amp;B516)</f>
        <v>333</v>
      </c>
      <c r="D516">
        <f>COUNTIFS(data!D:D,data!$J$2,data!F:F,"&gt;="&amp;B516)</f>
        <v>182</v>
      </c>
      <c r="E516">
        <f>COUNTIFS(data!D:D,data!$J$2,data!F:F,"&lt;"&amp;B516)</f>
        <v>541</v>
      </c>
      <c r="F516">
        <f>COUNTIFS(data!D:D,data!$I$2,data!F:F,"&lt;"&amp;B516)</f>
        <v>201</v>
      </c>
      <c r="G516">
        <f t="shared" si="48"/>
        <v>0.25172890733056708</v>
      </c>
      <c r="H516">
        <f t="shared" si="49"/>
        <v>0.6235955056179775</v>
      </c>
      <c r="I516">
        <f t="shared" si="53"/>
        <v>8.6251107277728251E-4</v>
      </c>
      <c r="J516">
        <f t="shared" si="50"/>
        <v>0.64660194174757279</v>
      </c>
      <c r="K516">
        <f t="shared" si="51"/>
        <v>0.63489037178265006</v>
      </c>
      <c r="L516">
        <f>A516*COUNTIF(data!D:D,data!$I$2)/data!$L$2</f>
        <v>218.78281622911695</v>
      </c>
      <c r="M516" s="1">
        <f>A516/data!$L$2</f>
        <v>0.40970564836913287</v>
      </c>
      <c r="N516">
        <f t="shared" si="52"/>
        <v>1.5220573797316461</v>
      </c>
    </row>
    <row r="517" spans="1:14" x14ac:dyDescent="0.2">
      <c r="A517">
        <v>516</v>
      </c>
      <c r="B517">
        <f>LARGE(data!F:F,A517)</f>
        <v>0.47847357109999999</v>
      </c>
      <c r="C517">
        <f>COUNTIFS(data!D:D,data!$I$2,data!F:F,"&gt;="&amp;B517)</f>
        <v>333</v>
      </c>
      <c r="D517">
        <f>COUNTIFS(data!D:D,data!$J$2,data!F:F,"&gt;="&amp;B517)</f>
        <v>183</v>
      </c>
      <c r="E517">
        <f>COUNTIFS(data!D:D,data!$J$2,data!F:F,"&lt;"&amp;B517)</f>
        <v>540</v>
      </c>
      <c r="F517">
        <f>COUNTIFS(data!D:D,data!$I$2,data!F:F,"&lt;"&amp;B517)</f>
        <v>201</v>
      </c>
      <c r="G517">
        <f t="shared" si="48"/>
        <v>0.25311203319502074</v>
      </c>
      <c r="H517">
        <f t="shared" si="49"/>
        <v>0.6235955056179775</v>
      </c>
      <c r="I517">
        <f t="shared" si="53"/>
        <v>8.6251107277728251E-4</v>
      </c>
      <c r="J517">
        <f t="shared" si="50"/>
        <v>0.64534883720930236</v>
      </c>
      <c r="K517">
        <f t="shared" si="51"/>
        <v>0.63428571428571434</v>
      </c>
      <c r="L517">
        <f>A517*COUNTIF(data!D:D,data!$I$2)/data!$L$2</f>
        <v>219.20763723150358</v>
      </c>
      <c r="M517" s="1">
        <f>A517/data!$L$2</f>
        <v>0.41050119331742241</v>
      </c>
      <c r="N517">
        <f t="shared" si="52"/>
        <v>1.519107656127515</v>
      </c>
    </row>
    <row r="518" spans="1:14" x14ac:dyDescent="0.2">
      <c r="A518">
        <v>517</v>
      </c>
      <c r="B518">
        <f>LARGE(data!F:F,A518)</f>
        <v>0.47829606149999998</v>
      </c>
      <c r="C518">
        <f>COUNTIFS(data!D:D,data!$I$2,data!F:F,"&gt;="&amp;B518)</f>
        <v>333</v>
      </c>
      <c r="D518">
        <f>COUNTIFS(data!D:D,data!$J$2,data!F:F,"&gt;="&amp;B518)</f>
        <v>184</v>
      </c>
      <c r="E518">
        <f>COUNTIFS(data!D:D,data!$J$2,data!F:F,"&lt;"&amp;B518)</f>
        <v>539</v>
      </c>
      <c r="F518">
        <f>COUNTIFS(data!D:D,data!$I$2,data!F:F,"&lt;"&amp;B518)</f>
        <v>201</v>
      </c>
      <c r="G518">
        <f t="shared" si="48"/>
        <v>0.2544951590594744</v>
      </c>
      <c r="H518">
        <f t="shared" si="49"/>
        <v>0.6235955056179775</v>
      </c>
      <c r="I518">
        <f t="shared" si="53"/>
        <v>8.6251107277728251E-4</v>
      </c>
      <c r="J518">
        <f t="shared" si="50"/>
        <v>0.64410058027079309</v>
      </c>
      <c r="K518">
        <f t="shared" si="51"/>
        <v>0.63368220742150327</v>
      </c>
      <c r="L518">
        <f>A518*COUNTIF(data!D:D,data!$I$2)/data!$L$2</f>
        <v>219.63245823389022</v>
      </c>
      <c r="M518" s="1">
        <f>A518/data!$L$2</f>
        <v>0.411296738265712</v>
      </c>
      <c r="N518">
        <f t="shared" si="52"/>
        <v>1.5161693434464172</v>
      </c>
    </row>
    <row r="519" spans="1:14" x14ac:dyDescent="0.2">
      <c r="A519">
        <v>518</v>
      </c>
      <c r="B519">
        <f>LARGE(data!F:F,A519)</f>
        <v>0.47765712929999998</v>
      </c>
      <c r="C519">
        <f>COUNTIFS(data!D:D,data!$I$2,data!F:F,"&gt;="&amp;B519)</f>
        <v>333</v>
      </c>
      <c r="D519">
        <f>COUNTIFS(data!D:D,data!$J$2,data!F:F,"&gt;="&amp;B519)</f>
        <v>185</v>
      </c>
      <c r="E519">
        <f>COUNTIFS(data!D:D,data!$J$2,data!F:F,"&lt;"&amp;B519)</f>
        <v>538</v>
      </c>
      <c r="F519">
        <f>COUNTIFS(data!D:D,data!$I$2,data!F:F,"&lt;"&amp;B519)</f>
        <v>201</v>
      </c>
      <c r="G519">
        <f t="shared" si="48"/>
        <v>0.25587828492392806</v>
      </c>
      <c r="H519">
        <f t="shared" si="49"/>
        <v>0.6235955056179775</v>
      </c>
      <c r="I519">
        <f t="shared" si="53"/>
        <v>8.6251107277728251E-4</v>
      </c>
      <c r="J519">
        <f t="shared" si="50"/>
        <v>0.6428571428571429</v>
      </c>
      <c r="K519">
        <f t="shared" si="51"/>
        <v>0.63307984790874527</v>
      </c>
      <c r="L519">
        <f>A519*COUNTIF(data!D:D,data!$I$2)/data!$L$2</f>
        <v>220.05727923627686</v>
      </c>
      <c r="M519" s="1">
        <f>A519/data!$L$2</f>
        <v>0.4120922832140016</v>
      </c>
      <c r="N519">
        <f t="shared" si="52"/>
        <v>1.5132423756019262</v>
      </c>
    </row>
    <row r="520" spans="1:14" x14ac:dyDescent="0.2">
      <c r="A520">
        <v>519</v>
      </c>
      <c r="B520">
        <f>LARGE(data!F:F,A520)</f>
        <v>0.47665485839999999</v>
      </c>
      <c r="C520">
        <f>COUNTIFS(data!D:D,data!$I$2,data!F:F,"&gt;="&amp;B520)</f>
        <v>334</v>
      </c>
      <c r="D520">
        <f>COUNTIFS(data!D:D,data!$J$2,data!F:F,"&gt;="&amp;B520)</f>
        <v>185</v>
      </c>
      <c r="E520">
        <f>COUNTIFS(data!D:D,data!$J$2,data!F:F,"&lt;"&amp;B520)</f>
        <v>538</v>
      </c>
      <c r="F520">
        <f>COUNTIFS(data!D:D,data!$I$2,data!F:F,"&lt;"&amp;B520)</f>
        <v>200</v>
      </c>
      <c r="G520">
        <f t="shared" si="48"/>
        <v>0.25587828492392806</v>
      </c>
      <c r="H520">
        <f t="shared" si="49"/>
        <v>0.62546816479400746</v>
      </c>
      <c r="I520">
        <f t="shared" si="53"/>
        <v>0</v>
      </c>
      <c r="J520">
        <f t="shared" si="50"/>
        <v>0.64354527938342965</v>
      </c>
      <c r="K520">
        <f t="shared" si="51"/>
        <v>0.63437796771130095</v>
      </c>
      <c r="L520">
        <f>A520*COUNTIF(data!D:D,data!$I$2)/data!$L$2</f>
        <v>220.48210023866349</v>
      </c>
      <c r="M520" s="1">
        <f>A520/data!$L$2</f>
        <v>0.41288782816229119</v>
      </c>
      <c r="N520">
        <f t="shared" si="52"/>
        <v>1.5148622025935787</v>
      </c>
    </row>
    <row r="521" spans="1:14" x14ac:dyDescent="0.2">
      <c r="A521">
        <v>520</v>
      </c>
      <c r="B521">
        <f>LARGE(data!F:F,A521)</f>
        <v>0.4766266073</v>
      </c>
      <c r="C521">
        <f>COUNTIFS(data!D:D,data!$I$2,data!F:F,"&gt;="&amp;B521)</f>
        <v>335</v>
      </c>
      <c r="D521">
        <f>COUNTIFS(data!D:D,data!$J$2,data!F:F,"&gt;="&amp;B521)</f>
        <v>185</v>
      </c>
      <c r="E521">
        <f>COUNTIFS(data!D:D,data!$J$2,data!F:F,"&lt;"&amp;B521)</f>
        <v>538</v>
      </c>
      <c r="F521">
        <f>COUNTIFS(data!D:D,data!$I$2,data!F:F,"&lt;"&amp;B521)</f>
        <v>199</v>
      </c>
      <c r="G521">
        <f t="shared" si="48"/>
        <v>0.25587828492392806</v>
      </c>
      <c r="H521">
        <f t="shared" si="49"/>
        <v>0.62734082397003743</v>
      </c>
      <c r="I521">
        <f t="shared" si="53"/>
        <v>0</v>
      </c>
      <c r="J521">
        <f t="shared" si="50"/>
        <v>0.64423076923076927</v>
      </c>
      <c r="K521">
        <f t="shared" si="51"/>
        <v>0.635673624288425</v>
      </c>
      <c r="L521">
        <f>A521*COUNTIF(data!D:D,data!$I$2)/data!$L$2</f>
        <v>220.90692124105013</v>
      </c>
      <c r="M521" s="1">
        <f>A521/data!$L$2</f>
        <v>0.41368337311058073</v>
      </c>
      <c r="N521">
        <f t="shared" si="52"/>
        <v>1.5164757994814173</v>
      </c>
    </row>
    <row r="522" spans="1:14" x14ac:dyDescent="0.2">
      <c r="A522">
        <v>521</v>
      </c>
      <c r="B522">
        <f>LARGE(data!F:F,A522)</f>
        <v>0.47590771199999998</v>
      </c>
      <c r="C522">
        <f>COUNTIFS(data!D:D,data!$I$2,data!F:F,"&gt;="&amp;B522)</f>
        <v>336</v>
      </c>
      <c r="D522">
        <f>COUNTIFS(data!D:D,data!$J$2,data!F:F,"&gt;="&amp;B522)</f>
        <v>185</v>
      </c>
      <c r="E522">
        <f>COUNTIFS(data!D:D,data!$J$2,data!F:F,"&lt;"&amp;B522)</f>
        <v>538</v>
      </c>
      <c r="F522">
        <f>COUNTIFS(data!D:D,data!$I$2,data!F:F,"&lt;"&amp;B522)</f>
        <v>198</v>
      </c>
      <c r="G522">
        <f t="shared" si="48"/>
        <v>0.25587828492392806</v>
      </c>
      <c r="H522">
        <f t="shared" si="49"/>
        <v>0.6292134831460674</v>
      </c>
      <c r="I522">
        <f t="shared" si="53"/>
        <v>0</v>
      </c>
      <c r="J522">
        <f t="shared" si="50"/>
        <v>0.6449136276391555</v>
      </c>
      <c r="K522">
        <f t="shared" si="51"/>
        <v>0.6369668246445499</v>
      </c>
      <c r="L522">
        <f>A522*COUNTIF(data!D:D,data!$I$2)/data!$L$2</f>
        <v>221.33174224343676</v>
      </c>
      <c r="M522" s="1">
        <f>A522/data!$L$2</f>
        <v>0.41447891805887033</v>
      </c>
      <c r="N522">
        <f t="shared" si="52"/>
        <v>1.5180832021393602</v>
      </c>
    </row>
    <row r="523" spans="1:14" x14ac:dyDescent="0.2">
      <c r="A523">
        <v>522</v>
      </c>
      <c r="B523">
        <f>LARGE(data!F:F,A523)</f>
        <v>0.47514570630000003</v>
      </c>
      <c r="C523">
        <f>COUNTIFS(data!D:D,data!$I$2,data!F:F,"&gt;="&amp;B523)</f>
        <v>336</v>
      </c>
      <c r="D523">
        <f>COUNTIFS(data!D:D,data!$J$2,data!F:F,"&gt;="&amp;B523)</f>
        <v>186</v>
      </c>
      <c r="E523">
        <f>COUNTIFS(data!D:D,data!$J$2,data!F:F,"&lt;"&amp;B523)</f>
        <v>537</v>
      </c>
      <c r="F523">
        <f>COUNTIFS(data!D:D,data!$I$2,data!F:F,"&lt;"&amp;B523)</f>
        <v>198</v>
      </c>
      <c r="G523">
        <f t="shared" si="48"/>
        <v>0.25726141078838172</v>
      </c>
      <c r="H523">
        <f t="shared" si="49"/>
        <v>0.6292134831460674</v>
      </c>
      <c r="I523">
        <f t="shared" si="53"/>
        <v>8.7028144280230316E-4</v>
      </c>
      <c r="J523">
        <f t="shared" si="50"/>
        <v>0.64367816091954022</v>
      </c>
      <c r="K523">
        <f t="shared" si="51"/>
        <v>0.63636363636363635</v>
      </c>
      <c r="L523">
        <f>A523*COUNTIF(data!D:D,data!$I$2)/data!$L$2</f>
        <v>221.7565632458234</v>
      </c>
      <c r="M523" s="1">
        <f>A523/data!$L$2</f>
        <v>0.41527446300715992</v>
      </c>
      <c r="N523">
        <f t="shared" si="52"/>
        <v>1.5151749967712771</v>
      </c>
    </row>
    <row r="524" spans="1:14" x14ac:dyDescent="0.2">
      <c r="A524">
        <v>523</v>
      </c>
      <c r="B524">
        <f>LARGE(data!F:F,A524)</f>
        <v>0.47393507219999997</v>
      </c>
      <c r="C524">
        <f>COUNTIFS(data!D:D,data!$I$2,data!F:F,"&gt;="&amp;B524)</f>
        <v>336</v>
      </c>
      <c r="D524">
        <f>COUNTIFS(data!D:D,data!$J$2,data!F:F,"&gt;="&amp;B524)</f>
        <v>187</v>
      </c>
      <c r="E524">
        <f>COUNTIFS(data!D:D,data!$J$2,data!F:F,"&lt;"&amp;B524)</f>
        <v>536</v>
      </c>
      <c r="F524">
        <f>COUNTIFS(data!D:D,data!$I$2,data!F:F,"&lt;"&amp;B524)</f>
        <v>198</v>
      </c>
      <c r="G524">
        <f t="shared" si="48"/>
        <v>0.25864453665283543</v>
      </c>
      <c r="H524">
        <f t="shared" si="49"/>
        <v>0.6292134831460674</v>
      </c>
      <c r="I524">
        <f t="shared" si="53"/>
        <v>8.7028144280233808E-4</v>
      </c>
      <c r="J524">
        <f t="shared" si="50"/>
        <v>0.64244741873804967</v>
      </c>
      <c r="K524">
        <f t="shared" si="51"/>
        <v>0.63576158940397354</v>
      </c>
      <c r="L524">
        <f>A524*COUNTIF(data!D:D,data!$I$2)/data!$L$2</f>
        <v>222.18138424821004</v>
      </c>
      <c r="M524" s="1">
        <f>A524/data!$L$2</f>
        <v>0.41607000795544946</v>
      </c>
      <c r="N524">
        <f t="shared" si="52"/>
        <v>1.5122779126474315</v>
      </c>
    </row>
    <row r="525" spans="1:14" x14ac:dyDescent="0.2">
      <c r="A525">
        <v>524</v>
      </c>
      <c r="B525">
        <f>LARGE(data!F:F,A525)</f>
        <v>0.47363186239999999</v>
      </c>
      <c r="C525">
        <f>COUNTIFS(data!D:D,data!$I$2,data!F:F,"&gt;="&amp;B525)</f>
        <v>336</v>
      </c>
      <c r="D525">
        <f>COUNTIFS(data!D:D,data!$J$2,data!F:F,"&gt;="&amp;B525)</f>
        <v>188</v>
      </c>
      <c r="E525">
        <f>COUNTIFS(data!D:D,data!$J$2,data!F:F,"&lt;"&amp;B525)</f>
        <v>535</v>
      </c>
      <c r="F525">
        <f>COUNTIFS(data!D:D,data!$I$2,data!F:F,"&lt;"&amp;B525)</f>
        <v>198</v>
      </c>
      <c r="G525">
        <f t="shared" si="48"/>
        <v>0.26002766251728909</v>
      </c>
      <c r="H525">
        <f t="shared" si="49"/>
        <v>0.6292134831460674</v>
      </c>
      <c r="I525">
        <f t="shared" si="53"/>
        <v>8.7028144280230316E-4</v>
      </c>
      <c r="J525">
        <f t="shared" si="50"/>
        <v>0.64122137404580148</v>
      </c>
      <c r="K525">
        <f t="shared" si="51"/>
        <v>0.63516068052930053</v>
      </c>
      <c r="L525">
        <f>A525*COUNTIF(data!D:D,data!$I$2)/data!$L$2</f>
        <v>222.60620525059664</v>
      </c>
      <c r="M525" s="1">
        <f>A525/data!$L$2</f>
        <v>0.41686555290373906</v>
      </c>
      <c r="N525">
        <f t="shared" si="52"/>
        <v>1.5093918860965778</v>
      </c>
    </row>
    <row r="526" spans="1:14" x14ac:dyDescent="0.2">
      <c r="A526">
        <v>525</v>
      </c>
      <c r="B526">
        <f>LARGE(data!F:F,A526)</f>
        <v>0.47225032150000001</v>
      </c>
      <c r="C526">
        <f>COUNTIFS(data!D:D,data!$I$2,data!F:F,"&gt;="&amp;B526)</f>
        <v>337</v>
      </c>
      <c r="D526">
        <f>COUNTIFS(data!D:D,data!$J$2,data!F:F,"&gt;="&amp;B526)</f>
        <v>189</v>
      </c>
      <c r="E526">
        <f>COUNTIFS(data!D:D,data!$J$2,data!F:F,"&lt;"&amp;B526)</f>
        <v>534</v>
      </c>
      <c r="F526">
        <f>COUNTIFS(data!D:D,data!$I$2,data!F:F,"&lt;"&amp;B526)</f>
        <v>197</v>
      </c>
      <c r="G526">
        <f t="shared" si="48"/>
        <v>0.26141078838174275</v>
      </c>
      <c r="H526">
        <f t="shared" si="49"/>
        <v>0.63108614232209737</v>
      </c>
      <c r="I526">
        <f t="shared" si="53"/>
        <v>8.7157650447313979E-4</v>
      </c>
      <c r="J526">
        <f t="shared" si="50"/>
        <v>0.64068441064638781</v>
      </c>
      <c r="K526">
        <f t="shared" si="51"/>
        <v>0.63584905660377344</v>
      </c>
      <c r="L526">
        <f>A526*COUNTIF(data!D:D,data!$I$2)/data!$L$2</f>
        <v>223.03102625298328</v>
      </c>
      <c r="M526" s="1">
        <f>A526/data!$L$2</f>
        <v>0.41766109785202865</v>
      </c>
      <c r="N526">
        <f t="shared" si="52"/>
        <v>1.5110005350454789</v>
      </c>
    </row>
    <row r="527" spans="1:14" x14ac:dyDescent="0.2">
      <c r="A527">
        <v>526</v>
      </c>
      <c r="B527">
        <f>LARGE(data!F:F,A527)</f>
        <v>0.47225032150000001</v>
      </c>
      <c r="C527">
        <f>COUNTIFS(data!D:D,data!$I$2,data!F:F,"&gt;="&amp;B527)</f>
        <v>337</v>
      </c>
      <c r="D527">
        <f>COUNTIFS(data!D:D,data!$J$2,data!F:F,"&gt;="&amp;B527)</f>
        <v>189</v>
      </c>
      <c r="E527">
        <f>COUNTIFS(data!D:D,data!$J$2,data!F:F,"&lt;"&amp;B527)</f>
        <v>534</v>
      </c>
      <c r="F527">
        <f>COUNTIFS(data!D:D,data!$I$2,data!F:F,"&lt;"&amp;B527)</f>
        <v>197</v>
      </c>
      <c r="G527">
        <f t="shared" si="48"/>
        <v>0.26141078838174275</v>
      </c>
      <c r="H527">
        <f t="shared" si="49"/>
        <v>0.63108614232209737</v>
      </c>
      <c r="I527">
        <f t="shared" si="53"/>
        <v>0</v>
      </c>
      <c r="J527">
        <f t="shared" si="50"/>
        <v>0.64068441064638781</v>
      </c>
      <c r="K527">
        <f t="shared" si="51"/>
        <v>0.63584905660377344</v>
      </c>
      <c r="L527">
        <f>A527*COUNTIF(data!D:D,data!$I$2)/data!$L$2</f>
        <v>223.45584725536992</v>
      </c>
      <c r="M527" s="1">
        <f>A527/data!$L$2</f>
        <v>0.41845664280031819</v>
      </c>
      <c r="N527">
        <f t="shared" si="52"/>
        <v>1.5081279104541376</v>
      </c>
    </row>
    <row r="528" spans="1:14" x14ac:dyDescent="0.2">
      <c r="A528">
        <v>527</v>
      </c>
      <c r="B528">
        <f>LARGE(data!F:F,A528)</f>
        <v>0.471672284</v>
      </c>
      <c r="C528">
        <f>COUNTIFS(data!D:D,data!$I$2,data!F:F,"&gt;="&amp;B528)</f>
        <v>337</v>
      </c>
      <c r="D528">
        <f>COUNTIFS(data!D:D,data!$J$2,data!F:F,"&gt;="&amp;B528)</f>
        <v>190</v>
      </c>
      <c r="E528">
        <f>COUNTIFS(data!D:D,data!$J$2,data!F:F,"&lt;"&amp;B528)</f>
        <v>533</v>
      </c>
      <c r="F528">
        <f>COUNTIFS(data!D:D,data!$I$2,data!F:F,"&lt;"&amp;B528)</f>
        <v>197</v>
      </c>
      <c r="G528">
        <f t="shared" si="48"/>
        <v>0.26279391424619641</v>
      </c>
      <c r="H528">
        <f t="shared" si="49"/>
        <v>0.63108614232209737</v>
      </c>
      <c r="I528">
        <f t="shared" si="53"/>
        <v>8.7287156614397664E-4</v>
      </c>
      <c r="J528">
        <f t="shared" si="50"/>
        <v>0.63946869070208734</v>
      </c>
      <c r="K528">
        <f t="shared" si="51"/>
        <v>0.63524976437323277</v>
      </c>
      <c r="L528">
        <f>A528*COUNTIF(data!D:D,data!$I$2)/data!$L$2</f>
        <v>223.88066825775655</v>
      </c>
      <c r="M528" s="1">
        <f>A528/data!$L$2</f>
        <v>0.41925218774860779</v>
      </c>
      <c r="N528">
        <f t="shared" si="52"/>
        <v>1.5052661876639022</v>
      </c>
    </row>
    <row r="529" spans="1:14" x14ac:dyDescent="0.2">
      <c r="A529">
        <v>528</v>
      </c>
      <c r="B529">
        <f>LARGE(data!F:F,A529)</f>
        <v>0.47092789750000003</v>
      </c>
      <c r="C529">
        <f>COUNTIFS(data!D:D,data!$I$2,data!F:F,"&gt;="&amp;B529)</f>
        <v>337</v>
      </c>
      <c r="D529">
        <f>COUNTIFS(data!D:D,data!$J$2,data!F:F,"&gt;="&amp;B529)</f>
        <v>191</v>
      </c>
      <c r="E529">
        <f>COUNTIFS(data!D:D,data!$J$2,data!F:F,"&lt;"&amp;B529)</f>
        <v>532</v>
      </c>
      <c r="F529">
        <f>COUNTIFS(data!D:D,data!$I$2,data!F:F,"&lt;"&amp;B529)</f>
        <v>197</v>
      </c>
      <c r="G529">
        <f t="shared" si="48"/>
        <v>0.26417704011065007</v>
      </c>
      <c r="H529">
        <f t="shared" si="49"/>
        <v>0.63108614232209737</v>
      </c>
      <c r="I529">
        <f t="shared" si="53"/>
        <v>8.7287156614397664E-4</v>
      </c>
      <c r="J529">
        <f t="shared" si="50"/>
        <v>0.6382575757575758</v>
      </c>
      <c r="K529">
        <f t="shared" si="51"/>
        <v>0.63465160075329563</v>
      </c>
      <c r="L529">
        <f>A529*COUNTIF(data!D:D,data!$I$2)/data!$L$2</f>
        <v>224.30548926014319</v>
      </c>
      <c r="M529" s="1">
        <f>A529/data!$L$2</f>
        <v>0.42004773269689738</v>
      </c>
      <c r="N529">
        <f t="shared" si="52"/>
        <v>1.5024153047327204</v>
      </c>
    </row>
    <row r="530" spans="1:14" x14ac:dyDescent="0.2">
      <c r="A530">
        <v>529</v>
      </c>
      <c r="B530">
        <f>LARGE(data!F:F,A530)</f>
        <v>0.47063298380000002</v>
      </c>
      <c r="C530">
        <f>COUNTIFS(data!D:D,data!$I$2,data!F:F,"&gt;="&amp;B530)</f>
        <v>338</v>
      </c>
      <c r="D530">
        <f>COUNTIFS(data!D:D,data!$J$2,data!F:F,"&gt;="&amp;B530)</f>
        <v>191</v>
      </c>
      <c r="E530">
        <f>COUNTIFS(data!D:D,data!$J$2,data!F:F,"&lt;"&amp;B530)</f>
        <v>532</v>
      </c>
      <c r="F530">
        <f>COUNTIFS(data!D:D,data!$I$2,data!F:F,"&lt;"&amp;B530)</f>
        <v>196</v>
      </c>
      <c r="G530">
        <f t="shared" si="48"/>
        <v>0.26417704011065007</v>
      </c>
      <c r="H530">
        <f t="shared" si="49"/>
        <v>0.63295880149812733</v>
      </c>
      <c r="I530">
        <f t="shared" si="53"/>
        <v>0</v>
      </c>
      <c r="J530">
        <f t="shared" si="50"/>
        <v>0.63894139886578449</v>
      </c>
      <c r="K530">
        <f t="shared" si="51"/>
        <v>0.63593603010348076</v>
      </c>
      <c r="L530">
        <f>A530*COUNTIF(data!D:D,data!$I$2)/data!$L$2</f>
        <v>224.73031026252983</v>
      </c>
      <c r="M530" s="1">
        <f>A530/data!$L$2</f>
        <v>0.42084327764518698</v>
      </c>
      <c r="N530">
        <f t="shared" si="52"/>
        <v>1.5040249782290096</v>
      </c>
    </row>
    <row r="531" spans="1:14" x14ac:dyDescent="0.2">
      <c r="A531">
        <v>530</v>
      </c>
      <c r="B531">
        <f>LARGE(data!F:F,A531)</f>
        <v>0.47054029009999998</v>
      </c>
      <c r="C531">
        <f>COUNTIFS(data!D:D,data!$I$2,data!F:F,"&gt;="&amp;B531)</f>
        <v>339</v>
      </c>
      <c r="D531">
        <f>COUNTIFS(data!D:D,data!$J$2,data!F:F,"&gt;="&amp;B531)</f>
        <v>191</v>
      </c>
      <c r="E531">
        <f>COUNTIFS(data!D:D,data!$J$2,data!F:F,"&lt;"&amp;B531)</f>
        <v>532</v>
      </c>
      <c r="F531">
        <f>COUNTIFS(data!D:D,data!$I$2,data!F:F,"&lt;"&amp;B531)</f>
        <v>195</v>
      </c>
      <c r="G531">
        <f t="shared" si="48"/>
        <v>0.26417704011065007</v>
      </c>
      <c r="H531">
        <f t="shared" si="49"/>
        <v>0.6348314606741573</v>
      </c>
      <c r="I531">
        <f t="shared" si="53"/>
        <v>0</v>
      </c>
      <c r="J531">
        <f t="shared" si="50"/>
        <v>0.63962264150943393</v>
      </c>
      <c r="K531">
        <f t="shared" si="51"/>
        <v>0.63721804511278191</v>
      </c>
      <c r="L531">
        <f>A531*COUNTIF(data!D:D,data!$I$2)/data!$L$2</f>
        <v>225.15513126491646</v>
      </c>
      <c r="M531" s="1">
        <f>A531/data!$L$2</f>
        <v>0.42163882259347651</v>
      </c>
      <c r="N531">
        <f t="shared" si="52"/>
        <v>1.5056285774856901</v>
      </c>
    </row>
    <row r="532" spans="1:14" x14ac:dyDescent="0.2">
      <c r="A532">
        <v>531</v>
      </c>
      <c r="B532">
        <f>LARGE(data!F:F,A532)</f>
        <v>0.47048500700000001</v>
      </c>
      <c r="C532">
        <f>COUNTIFS(data!D:D,data!$I$2,data!F:F,"&gt;="&amp;B532)</f>
        <v>339</v>
      </c>
      <c r="D532">
        <f>COUNTIFS(data!D:D,data!$J$2,data!F:F,"&gt;="&amp;B532)</f>
        <v>192</v>
      </c>
      <c r="E532">
        <f>COUNTIFS(data!D:D,data!$J$2,data!F:F,"&lt;"&amp;B532)</f>
        <v>531</v>
      </c>
      <c r="F532">
        <f>COUNTIFS(data!D:D,data!$I$2,data!F:F,"&lt;"&amp;B532)</f>
        <v>195</v>
      </c>
      <c r="G532">
        <f t="shared" si="48"/>
        <v>0.26556016597510373</v>
      </c>
      <c r="H532">
        <f t="shared" si="49"/>
        <v>0.6348314606741573</v>
      </c>
      <c r="I532">
        <f t="shared" si="53"/>
        <v>8.780518128273237E-4</v>
      </c>
      <c r="J532">
        <f t="shared" si="50"/>
        <v>0.6384180790960452</v>
      </c>
      <c r="K532">
        <f t="shared" si="51"/>
        <v>0.63661971830985908</v>
      </c>
      <c r="L532">
        <f>A532*COUNTIF(data!D:D,data!$I$2)/data!$L$2</f>
        <v>225.5799522673031</v>
      </c>
      <c r="M532" s="1">
        <f>A532/data!$L$2</f>
        <v>0.42243436754176611</v>
      </c>
      <c r="N532">
        <f t="shared" si="52"/>
        <v>1.5027931187710277</v>
      </c>
    </row>
    <row r="533" spans="1:14" x14ac:dyDescent="0.2">
      <c r="A533">
        <v>532</v>
      </c>
      <c r="B533">
        <f>LARGE(data!F:F,A533)</f>
        <v>0.47040780040000002</v>
      </c>
      <c r="C533">
        <f>COUNTIFS(data!D:D,data!$I$2,data!F:F,"&gt;="&amp;B533)</f>
        <v>339</v>
      </c>
      <c r="D533">
        <f>COUNTIFS(data!D:D,data!$J$2,data!F:F,"&gt;="&amp;B533)</f>
        <v>193</v>
      </c>
      <c r="E533">
        <f>COUNTIFS(data!D:D,data!$J$2,data!F:F,"&lt;"&amp;B533)</f>
        <v>530</v>
      </c>
      <c r="F533">
        <f>COUNTIFS(data!D:D,data!$I$2,data!F:F,"&lt;"&amp;B533)</f>
        <v>195</v>
      </c>
      <c r="G533">
        <f t="shared" si="48"/>
        <v>0.2669432918395574</v>
      </c>
      <c r="H533">
        <f t="shared" si="49"/>
        <v>0.6348314606741573</v>
      </c>
      <c r="I533">
        <f t="shared" si="53"/>
        <v>8.780518128273237E-4</v>
      </c>
      <c r="J533">
        <f t="shared" si="50"/>
        <v>0.63721804511278191</v>
      </c>
      <c r="K533">
        <f t="shared" si="51"/>
        <v>0.63602251407129451</v>
      </c>
      <c r="L533">
        <f>A533*COUNTIF(data!D:D,data!$I$2)/data!$L$2</f>
        <v>226.00477326968974</v>
      </c>
      <c r="M533" s="1">
        <f>A533/data!$L$2</f>
        <v>0.4232299124900557</v>
      </c>
      <c r="N533">
        <f t="shared" si="52"/>
        <v>1.4999683196755935</v>
      </c>
    </row>
    <row r="534" spans="1:14" x14ac:dyDescent="0.2">
      <c r="A534">
        <v>533</v>
      </c>
      <c r="B534">
        <f>LARGE(data!F:F,A534)</f>
        <v>0.46925218410000002</v>
      </c>
      <c r="C534">
        <f>COUNTIFS(data!D:D,data!$I$2,data!F:F,"&gt;="&amp;B534)</f>
        <v>339</v>
      </c>
      <c r="D534">
        <f>COUNTIFS(data!D:D,data!$J$2,data!F:F,"&gt;="&amp;B534)</f>
        <v>194</v>
      </c>
      <c r="E534">
        <f>COUNTIFS(data!D:D,data!$J$2,data!F:F,"&lt;"&amp;B534)</f>
        <v>529</v>
      </c>
      <c r="F534">
        <f>COUNTIFS(data!D:D,data!$I$2,data!F:F,"&lt;"&amp;B534)</f>
        <v>195</v>
      </c>
      <c r="G534">
        <f t="shared" si="48"/>
        <v>0.26832641770401106</v>
      </c>
      <c r="H534">
        <f t="shared" si="49"/>
        <v>0.6348314606741573</v>
      </c>
      <c r="I534">
        <f t="shared" si="53"/>
        <v>8.780518128273237E-4</v>
      </c>
      <c r="J534">
        <f t="shared" si="50"/>
        <v>0.63602251407129451</v>
      </c>
      <c r="K534">
        <f t="shared" si="51"/>
        <v>0.63542642924086223</v>
      </c>
      <c r="L534">
        <f>A534*COUNTIF(data!D:D,data!$I$2)/data!$L$2</f>
        <v>226.42959427207637</v>
      </c>
      <c r="M534" s="1">
        <f>A534/data!$L$2</f>
        <v>0.42402545743834524</v>
      </c>
      <c r="N534">
        <f t="shared" si="52"/>
        <v>1.4971541202015304</v>
      </c>
    </row>
    <row r="535" spans="1:14" x14ac:dyDescent="0.2">
      <c r="A535">
        <v>534</v>
      </c>
      <c r="B535">
        <f>LARGE(data!F:F,A535)</f>
        <v>0.46912022520000002</v>
      </c>
      <c r="C535">
        <f>COUNTIFS(data!D:D,data!$I$2,data!F:F,"&gt;="&amp;B535)</f>
        <v>339</v>
      </c>
      <c r="D535">
        <f>COUNTIFS(data!D:D,data!$J$2,data!F:F,"&gt;="&amp;B535)</f>
        <v>195</v>
      </c>
      <c r="E535">
        <f>COUNTIFS(data!D:D,data!$J$2,data!F:F,"&lt;"&amp;B535)</f>
        <v>528</v>
      </c>
      <c r="F535">
        <f>COUNTIFS(data!D:D,data!$I$2,data!F:F,"&lt;"&amp;B535)</f>
        <v>195</v>
      </c>
      <c r="G535">
        <f t="shared" si="48"/>
        <v>0.26970954356846472</v>
      </c>
      <c r="H535">
        <f t="shared" si="49"/>
        <v>0.6348314606741573</v>
      </c>
      <c r="I535">
        <f t="shared" si="53"/>
        <v>8.780518128273237E-4</v>
      </c>
      <c r="J535">
        <f t="shared" si="50"/>
        <v>0.6348314606741573</v>
      </c>
      <c r="K535">
        <f t="shared" si="51"/>
        <v>0.6348314606741573</v>
      </c>
      <c r="L535">
        <f>A535*COUNTIF(data!D:D,data!$I$2)/data!$L$2</f>
        <v>226.85441527446301</v>
      </c>
      <c r="M535" s="1">
        <f>A535/data!$L$2</f>
        <v>0.42482100238663484</v>
      </c>
      <c r="N535">
        <f t="shared" si="52"/>
        <v>1.4943504608004039</v>
      </c>
    </row>
    <row r="536" spans="1:14" x14ac:dyDescent="0.2">
      <c r="A536">
        <v>535</v>
      </c>
      <c r="B536">
        <f>LARGE(data!F:F,A536)</f>
        <v>0.468646968</v>
      </c>
      <c r="C536">
        <f>COUNTIFS(data!D:D,data!$I$2,data!F:F,"&gt;="&amp;B536)</f>
        <v>340</v>
      </c>
      <c r="D536">
        <f>COUNTIFS(data!D:D,data!$J$2,data!F:F,"&gt;="&amp;B536)</f>
        <v>195</v>
      </c>
      <c r="E536">
        <f>COUNTIFS(data!D:D,data!$J$2,data!F:F,"&lt;"&amp;B536)</f>
        <v>528</v>
      </c>
      <c r="F536">
        <f>COUNTIFS(data!D:D,data!$I$2,data!F:F,"&lt;"&amp;B536)</f>
        <v>194</v>
      </c>
      <c r="G536">
        <f t="shared" si="48"/>
        <v>0.26970954356846472</v>
      </c>
      <c r="H536">
        <f t="shared" si="49"/>
        <v>0.63670411985018727</v>
      </c>
      <c r="I536">
        <f t="shared" si="53"/>
        <v>0</v>
      </c>
      <c r="J536">
        <f t="shared" si="50"/>
        <v>0.63551401869158874</v>
      </c>
      <c r="K536">
        <f t="shared" si="51"/>
        <v>0.636108512628625</v>
      </c>
      <c r="L536">
        <f>A536*COUNTIF(data!D:D,data!$I$2)/data!$L$2</f>
        <v>227.27923627684964</v>
      </c>
      <c r="M536" s="1">
        <f>A536/data!$L$2</f>
        <v>0.42561654733492443</v>
      </c>
      <c r="N536">
        <f t="shared" si="52"/>
        <v>1.4959571563582905</v>
      </c>
    </row>
    <row r="537" spans="1:14" x14ac:dyDescent="0.2">
      <c r="A537">
        <v>536</v>
      </c>
      <c r="B537">
        <f>LARGE(data!F:F,A537)</f>
        <v>0.46832567670000003</v>
      </c>
      <c r="C537">
        <f>COUNTIFS(data!D:D,data!$I$2,data!F:F,"&gt;="&amp;B537)</f>
        <v>340</v>
      </c>
      <c r="D537">
        <f>COUNTIFS(data!D:D,data!$J$2,data!F:F,"&gt;="&amp;B537)</f>
        <v>196</v>
      </c>
      <c r="E537">
        <f>COUNTIFS(data!D:D,data!$J$2,data!F:F,"&lt;"&amp;B537)</f>
        <v>527</v>
      </c>
      <c r="F537">
        <f>COUNTIFS(data!D:D,data!$I$2,data!F:F,"&lt;"&amp;B537)</f>
        <v>194</v>
      </c>
      <c r="G537">
        <f t="shared" si="48"/>
        <v>0.27109266943291838</v>
      </c>
      <c r="H537">
        <f t="shared" si="49"/>
        <v>0.63670411985018727</v>
      </c>
      <c r="I537">
        <f t="shared" si="53"/>
        <v>8.8064193616899729E-4</v>
      </c>
      <c r="J537">
        <f t="shared" si="50"/>
        <v>0.63432835820895528</v>
      </c>
      <c r="K537">
        <f t="shared" si="51"/>
        <v>0.63551401869158886</v>
      </c>
      <c r="L537">
        <f>A537*COUNTIF(data!D:D,data!$I$2)/data!$L$2</f>
        <v>227.70405727923628</v>
      </c>
      <c r="M537" s="1">
        <f>A537/data!$L$2</f>
        <v>0.42641209228321403</v>
      </c>
      <c r="N537">
        <f t="shared" si="52"/>
        <v>1.4931661915143384</v>
      </c>
    </row>
    <row r="538" spans="1:14" x14ac:dyDescent="0.2">
      <c r="A538">
        <v>537</v>
      </c>
      <c r="B538">
        <f>LARGE(data!F:F,A538)</f>
        <v>0.46818884459999999</v>
      </c>
      <c r="C538">
        <f>COUNTIFS(data!D:D,data!$I$2,data!F:F,"&gt;="&amp;B538)</f>
        <v>341</v>
      </c>
      <c r="D538">
        <f>COUNTIFS(data!D:D,data!$J$2,data!F:F,"&gt;="&amp;B538)</f>
        <v>196</v>
      </c>
      <c r="E538">
        <f>COUNTIFS(data!D:D,data!$J$2,data!F:F,"&lt;"&amp;B538)</f>
        <v>527</v>
      </c>
      <c r="F538">
        <f>COUNTIFS(data!D:D,data!$I$2,data!F:F,"&lt;"&amp;B538)</f>
        <v>193</v>
      </c>
      <c r="G538">
        <f t="shared" si="48"/>
        <v>0.27109266943291838</v>
      </c>
      <c r="H538">
        <f t="shared" si="49"/>
        <v>0.63857677902621723</v>
      </c>
      <c r="I538">
        <f t="shared" si="53"/>
        <v>0</v>
      </c>
      <c r="J538">
        <f t="shared" si="50"/>
        <v>0.63500931098696467</v>
      </c>
      <c r="K538">
        <f t="shared" si="51"/>
        <v>0.6367880485527545</v>
      </c>
      <c r="L538">
        <f>A538*COUNTIF(data!D:D,data!$I$2)/data!$L$2</f>
        <v>228.12887828162292</v>
      </c>
      <c r="M538" s="1">
        <f>A538/data!$L$2</f>
        <v>0.42720763723150357</v>
      </c>
      <c r="N538">
        <f t="shared" si="52"/>
        <v>1.4947691084468437</v>
      </c>
    </row>
    <row r="539" spans="1:14" x14ac:dyDescent="0.2">
      <c r="A539">
        <v>538</v>
      </c>
      <c r="B539">
        <f>LARGE(data!F:F,A539)</f>
        <v>0.4670581888</v>
      </c>
      <c r="C539">
        <f>COUNTIFS(data!D:D,data!$I$2,data!F:F,"&gt;="&amp;B539)</f>
        <v>341</v>
      </c>
      <c r="D539">
        <f>COUNTIFS(data!D:D,data!$J$2,data!F:F,"&gt;="&amp;B539)</f>
        <v>197</v>
      </c>
      <c r="E539">
        <f>COUNTIFS(data!D:D,data!$J$2,data!F:F,"&lt;"&amp;B539)</f>
        <v>526</v>
      </c>
      <c r="F539">
        <f>COUNTIFS(data!D:D,data!$I$2,data!F:F,"&lt;"&amp;B539)</f>
        <v>193</v>
      </c>
      <c r="G539">
        <f t="shared" si="48"/>
        <v>0.27247579529737204</v>
      </c>
      <c r="H539">
        <f t="shared" si="49"/>
        <v>0.63857677902621723</v>
      </c>
      <c r="I539">
        <f t="shared" si="53"/>
        <v>8.8323205951067077E-4</v>
      </c>
      <c r="J539">
        <f t="shared" si="50"/>
        <v>0.63382899628252787</v>
      </c>
      <c r="K539">
        <f t="shared" si="51"/>
        <v>0.63619402985074625</v>
      </c>
      <c r="L539">
        <f>A539*COUNTIF(data!D:D,data!$I$2)/data!$L$2</f>
        <v>228.55369928400955</v>
      </c>
      <c r="M539" s="1">
        <f>A539/data!$L$2</f>
        <v>0.42800318217979316</v>
      </c>
      <c r="N539">
        <f t="shared" si="52"/>
        <v>1.4919907272043773</v>
      </c>
    </row>
    <row r="540" spans="1:14" x14ac:dyDescent="0.2">
      <c r="A540">
        <v>539</v>
      </c>
      <c r="B540">
        <f>LARGE(data!F:F,A540)</f>
        <v>0.4665819947</v>
      </c>
      <c r="C540">
        <f>COUNTIFS(data!D:D,data!$I$2,data!F:F,"&gt;="&amp;B540)</f>
        <v>341</v>
      </c>
      <c r="D540">
        <f>COUNTIFS(data!D:D,data!$J$2,data!F:F,"&gt;="&amp;B540)</f>
        <v>198</v>
      </c>
      <c r="E540">
        <f>COUNTIFS(data!D:D,data!$J$2,data!F:F,"&lt;"&amp;B540)</f>
        <v>525</v>
      </c>
      <c r="F540">
        <f>COUNTIFS(data!D:D,data!$I$2,data!F:F,"&lt;"&amp;B540)</f>
        <v>193</v>
      </c>
      <c r="G540">
        <f t="shared" si="48"/>
        <v>0.27385892116182575</v>
      </c>
      <c r="H540">
        <f t="shared" si="49"/>
        <v>0.63857677902621723</v>
      </c>
      <c r="I540">
        <f t="shared" si="53"/>
        <v>8.8323205951070622E-4</v>
      </c>
      <c r="J540">
        <f t="shared" si="50"/>
        <v>0.63265306122448983</v>
      </c>
      <c r="K540">
        <f t="shared" si="51"/>
        <v>0.63560111835973898</v>
      </c>
      <c r="L540">
        <f>A540*COUNTIF(data!D:D,data!$I$2)/data!$L$2</f>
        <v>228.97852028639619</v>
      </c>
      <c r="M540" s="1">
        <f>A540/data!$L$2</f>
        <v>0.42879872712808276</v>
      </c>
      <c r="N540">
        <f t="shared" si="52"/>
        <v>1.4892226553542764</v>
      </c>
    </row>
    <row r="541" spans="1:14" x14ac:dyDescent="0.2">
      <c r="A541">
        <v>540</v>
      </c>
      <c r="B541">
        <f>LARGE(data!F:F,A541)</f>
        <v>0.4665217881</v>
      </c>
      <c r="C541">
        <f>COUNTIFS(data!D:D,data!$I$2,data!F:F,"&gt;="&amp;B541)</f>
        <v>341</v>
      </c>
      <c r="D541">
        <f>COUNTIFS(data!D:D,data!$J$2,data!F:F,"&gt;="&amp;B541)</f>
        <v>199</v>
      </c>
      <c r="E541">
        <f>COUNTIFS(data!D:D,data!$J$2,data!F:F,"&lt;"&amp;B541)</f>
        <v>524</v>
      </c>
      <c r="F541">
        <f>COUNTIFS(data!D:D,data!$I$2,data!F:F,"&lt;"&amp;B541)</f>
        <v>193</v>
      </c>
      <c r="G541">
        <f t="shared" si="48"/>
        <v>0.27524204702627941</v>
      </c>
      <c r="H541">
        <f t="shared" si="49"/>
        <v>0.63857677902621723</v>
      </c>
      <c r="I541">
        <f t="shared" si="53"/>
        <v>8.8323205951067077E-4</v>
      </c>
      <c r="J541">
        <f t="shared" si="50"/>
        <v>0.63148148148148153</v>
      </c>
      <c r="K541">
        <f t="shared" si="51"/>
        <v>0.63500931098696467</v>
      </c>
      <c r="L541">
        <f>A541*COUNTIF(data!D:D,data!$I$2)/data!$L$2</f>
        <v>229.40334128878283</v>
      </c>
      <c r="M541" s="1">
        <f>A541/data!$L$2</f>
        <v>0.4295942720763723</v>
      </c>
      <c r="N541">
        <f t="shared" si="52"/>
        <v>1.4864648356221388</v>
      </c>
    </row>
    <row r="542" spans="1:14" x14ac:dyDescent="0.2">
      <c r="A542">
        <v>541</v>
      </c>
      <c r="B542">
        <f>LARGE(data!F:F,A542)</f>
        <v>0.46552554039999999</v>
      </c>
      <c r="C542">
        <f>COUNTIFS(data!D:D,data!$I$2,data!F:F,"&gt;="&amp;B542)</f>
        <v>342</v>
      </c>
      <c r="D542">
        <f>COUNTIFS(data!D:D,data!$J$2,data!F:F,"&gt;="&amp;B542)</f>
        <v>199</v>
      </c>
      <c r="E542">
        <f>COUNTIFS(data!D:D,data!$J$2,data!F:F,"&lt;"&amp;B542)</f>
        <v>524</v>
      </c>
      <c r="F542">
        <f>COUNTIFS(data!D:D,data!$I$2,data!F:F,"&lt;"&amp;B542)</f>
        <v>192</v>
      </c>
      <c r="G542">
        <f t="shared" si="48"/>
        <v>0.27524204702627941</v>
      </c>
      <c r="H542">
        <f t="shared" si="49"/>
        <v>0.6404494382022472</v>
      </c>
      <c r="I542">
        <f t="shared" si="53"/>
        <v>0</v>
      </c>
      <c r="J542">
        <f t="shared" si="50"/>
        <v>0.63216266173752311</v>
      </c>
      <c r="K542">
        <f t="shared" si="51"/>
        <v>0.63627906976744186</v>
      </c>
      <c r="L542">
        <f>A542*COUNTIF(data!D:D,data!$I$2)/data!$L$2</f>
        <v>229.82816229116946</v>
      </c>
      <c r="M542" s="1">
        <f>A542/data!$L$2</f>
        <v>0.43038981702466189</v>
      </c>
      <c r="N542">
        <f t="shared" si="52"/>
        <v>1.4880682880225964</v>
      </c>
    </row>
    <row r="543" spans="1:14" x14ac:dyDescent="0.2">
      <c r="A543">
        <v>542</v>
      </c>
      <c r="B543">
        <f>LARGE(data!F:F,A543)</f>
        <v>0.46492428079999998</v>
      </c>
      <c r="C543">
        <f>COUNTIFS(data!D:D,data!$I$2,data!F:F,"&gt;="&amp;B543)</f>
        <v>342</v>
      </c>
      <c r="D543">
        <f>COUNTIFS(data!D:D,data!$J$2,data!F:F,"&gt;="&amp;B543)</f>
        <v>200</v>
      </c>
      <c r="E543">
        <f>COUNTIFS(data!D:D,data!$J$2,data!F:F,"&lt;"&amp;B543)</f>
        <v>523</v>
      </c>
      <c r="F543">
        <f>COUNTIFS(data!D:D,data!$I$2,data!F:F,"&lt;"&amp;B543)</f>
        <v>192</v>
      </c>
      <c r="G543">
        <f t="shared" si="48"/>
        <v>0.27662517289073307</v>
      </c>
      <c r="H543">
        <f t="shared" si="49"/>
        <v>0.6404494382022472</v>
      </c>
      <c r="I543">
        <f t="shared" si="53"/>
        <v>8.8582218285234425E-4</v>
      </c>
      <c r="J543">
        <f t="shared" si="50"/>
        <v>0.63099630996309963</v>
      </c>
      <c r="K543">
        <f t="shared" si="51"/>
        <v>0.63568773234200737</v>
      </c>
      <c r="L543">
        <f>A543*COUNTIF(data!D:D,data!$I$2)/data!$L$2</f>
        <v>230.2529832935561</v>
      </c>
      <c r="M543" s="1">
        <f>A543/data!$L$2</f>
        <v>0.43118536197295149</v>
      </c>
      <c r="N543">
        <f t="shared" si="52"/>
        <v>1.4853227745760602</v>
      </c>
    </row>
    <row r="544" spans="1:14" x14ac:dyDescent="0.2">
      <c r="A544">
        <v>543</v>
      </c>
      <c r="B544">
        <f>LARGE(data!F:F,A544)</f>
        <v>0.4647439055</v>
      </c>
      <c r="C544">
        <f>COUNTIFS(data!D:D,data!$I$2,data!F:F,"&gt;="&amp;B544)</f>
        <v>344</v>
      </c>
      <c r="D544">
        <f>COUNTIFS(data!D:D,data!$J$2,data!F:F,"&gt;="&amp;B544)</f>
        <v>200</v>
      </c>
      <c r="E544">
        <f>COUNTIFS(data!D:D,data!$J$2,data!F:F,"&lt;"&amp;B544)</f>
        <v>523</v>
      </c>
      <c r="F544">
        <f>COUNTIFS(data!D:D,data!$I$2,data!F:F,"&lt;"&amp;B544)</f>
        <v>190</v>
      </c>
      <c r="G544">
        <f t="shared" si="48"/>
        <v>0.27662517289073307</v>
      </c>
      <c r="H544">
        <f t="shared" si="49"/>
        <v>0.64419475655430714</v>
      </c>
      <c r="I544">
        <f t="shared" si="53"/>
        <v>0</v>
      </c>
      <c r="J544">
        <f t="shared" si="50"/>
        <v>0.63235294117647056</v>
      </c>
      <c r="K544">
        <f t="shared" si="51"/>
        <v>0.63821892393320967</v>
      </c>
      <c r="L544">
        <f>A544*COUNTIF(data!D:D,data!$I$2)/data!$L$2</f>
        <v>230.67780429594271</v>
      </c>
      <c r="M544" s="1">
        <f>A544/data!$L$2</f>
        <v>0.43198090692124103</v>
      </c>
      <c r="N544">
        <f t="shared" si="52"/>
        <v>1.4912574751174292</v>
      </c>
    </row>
    <row r="545" spans="1:14" x14ac:dyDescent="0.2">
      <c r="A545">
        <v>544</v>
      </c>
      <c r="B545">
        <f>LARGE(data!F:F,A545)</f>
        <v>0.4647439055</v>
      </c>
      <c r="C545">
        <f>COUNTIFS(data!D:D,data!$I$2,data!F:F,"&gt;="&amp;B545)</f>
        <v>344</v>
      </c>
      <c r="D545">
        <f>COUNTIFS(data!D:D,data!$J$2,data!F:F,"&gt;="&amp;B545)</f>
        <v>200</v>
      </c>
      <c r="E545">
        <f>COUNTIFS(data!D:D,data!$J$2,data!F:F,"&lt;"&amp;B545)</f>
        <v>523</v>
      </c>
      <c r="F545">
        <f>COUNTIFS(data!D:D,data!$I$2,data!F:F,"&lt;"&amp;B545)</f>
        <v>190</v>
      </c>
      <c r="G545">
        <f t="shared" si="48"/>
        <v>0.27662517289073307</v>
      </c>
      <c r="H545">
        <f t="shared" si="49"/>
        <v>0.64419475655430714</v>
      </c>
      <c r="I545">
        <f t="shared" si="53"/>
        <v>0</v>
      </c>
      <c r="J545">
        <f t="shared" si="50"/>
        <v>0.63235294117647056</v>
      </c>
      <c r="K545">
        <f t="shared" si="51"/>
        <v>0.63821892393320967</v>
      </c>
      <c r="L545">
        <f>A545*COUNTIF(data!D:D,data!$I$2)/data!$L$2</f>
        <v>231.10262529832934</v>
      </c>
      <c r="M545" s="1">
        <f>A545/data!$L$2</f>
        <v>0.43277645186953062</v>
      </c>
      <c r="N545">
        <f t="shared" si="52"/>
        <v>1.4885161929940516</v>
      </c>
    </row>
    <row r="546" spans="1:14" x14ac:dyDescent="0.2">
      <c r="A546">
        <v>545</v>
      </c>
      <c r="B546">
        <f>LARGE(data!F:F,A546)</f>
        <v>0.464399336</v>
      </c>
      <c r="C546">
        <f>COUNTIFS(data!D:D,data!$I$2,data!F:F,"&gt;="&amp;B546)</f>
        <v>344</v>
      </c>
      <c r="D546">
        <f>COUNTIFS(data!D:D,data!$J$2,data!F:F,"&gt;="&amp;B546)</f>
        <v>201</v>
      </c>
      <c r="E546">
        <f>COUNTIFS(data!D:D,data!$J$2,data!F:F,"&lt;"&amp;B546)</f>
        <v>522</v>
      </c>
      <c r="F546">
        <f>COUNTIFS(data!D:D,data!$I$2,data!F:F,"&lt;"&amp;B546)</f>
        <v>190</v>
      </c>
      <c r="G546">
        <f t="shared" si="48"/>
        <v>0.27800829875518673</v>
      </c>
      <c r="H546">
        <f t="shared" si="49"/>
        <v>0.64419475655430714</v>
      </c>
      <c r="I546">
        <f t="shared" si="53"/>
        <v>8.9100242953569131E-4</v>
      </c>
      <c r="J546">
        <f t="shared" si="50"/>
        <v>0.63119266055045875</v>
      </c>
      <c r="K546">
        <f t="shared" si="51"/>
        <v>0.6376274328081557</v>
      </c>
      <c r="L546">
        <f>A546*COUNTIF(data!D:D,data!$I$2)/data!$L$2</f>
        <v>231.52744630071598</v>
      </c>
      <c r="M546" s="1">
        <f>A546/data!$L$2</f>
        <v>0.43357199681782022</v>
      </c>
      <c r="N546">
        <f t="shared" si="52"/>
        <v>1.4857849706215855</v>
      </c>
    </row>
    <row r="547" spans="1:14" x14ac:dyDescent="0.2">
      <c r="A547">
        <v>546</v>
      </c>
      <c r="B547">
        <f>LARGE(data!F:F,A547)</f>
        <v>0.46213758030000002</v>
      </c>
      <c r="C547">
        <f>COUNTIFS(data!D:D,data!$I$2,data!F:F,"&gt;="&amp;B547)</f>
        <v>344</v>
      </c>
      <c r="D547">
        <f>COUNTIFS(data!D:D,data!$J$2,data!F:F,"&gt;="&amp;B547)</f>
        <v>202</v>
      </c>
      <c r="E547">
        <f>COUNTIFS(data!D:D,data!$J$2,data!F:F,"&lt;"&amp;B547)</f>
        <v>521</v>
      </c>
      <c r="F547">
        <f>COUNTIFS(data!D:D,data!$I$2,data!F:F,"&lt;"&amp;B547)</f>
        <v>190</v>
      </c>
      <c r="G547">
        <f t="shared" si="48"/>
        <v>0.27939142461964039</v>
      </c>
      <c r="H547">
        <f t="shared" si="49"/>
        <v>0.64419475655430714</v>
      </c>
      <c r="I547">
        <f t="shared" si="53"/>
        <v>8.9100242953569131E-4</v>
      </c>
      <c r="J547">
        <f t="shared" si="50"/>
        <v>0.63003663003663002</v>
      </c>
      <c r="K547">
        <f t="shared" si="51"/>
        <v>0.63703703703703707</v>
      </c>
      <c r="L547">
        <f>A547*COUNTIF(data!D:D,data!$I$2)/data!$L$2</f>
        <v>231.95226730310262</v>
      </c>
      <c r="M547" s="1">
        <f>A547/data!$L$2</f>
        <v>0.43436754176610981</v>
      </c>
      <c r="N547">
        <f t="shared" si="52"/>
        <v>1.4830637527266741</v>
      </c>
    </row>
    <row r="548" spans="1:14" x14ac:dyDescent="0.2">
      <c r="A548">
        <v>547</v>
      </c>
      <c r="B548">
        <f>LARGE(data!F:F,A548)</f>
        <v>0.46182220239999999</v>
      </c>
      <c r="C548">
        <f>COUNTIFS(data!D:D,data!$I$2,data!F:F,"&gt;="&amp;B548)</f>
        <v>344</v>
      </c>
      <c r="D548">
        <f>COUNTIFS(data!D:D,data!$J$2,data!F:F,"&gt;="&amp;B548)</f>
        <v>203</v>
      </c>
      <c r="E548">
        <f>COUNTIFS(data!D:D,data!$J$2,data!F:F,"&lt;"&amp;B548)</f>
        <v>520</v>
      </c>
      <c r="F548">
        <f>COUNTIFS(data!D:D,data!$I$2,data!F:F,"&lt;"&amp;B548)</f>
        <v>190</v>
      </c>
      <c r="G548">
        <f t="shared" si="48"/>
        <v>0.28077455048409405</v>
      </c>
      <c r="H548">
        <f t="shared" si="49"/>
        <v>0.64419475655430714</v>
      </c>
      <c r="I548">
        <f t="shared" si="53"/>
        <v>8.9100242953569131E-4</v>
      </c>
      <c r="J548">
        <f t="shared" si="50"/>
        <v>0.62888482632541132</v>
      </c>
      <c r="K548">
        <f t="shared" si="51"/>
        <v>0.6364477335800186</v>
      </c>
      <c r="L548">
        <f>A548*COUNTIF(data!D:D,data!$I$2)/data!$L$2</f>
        <v>232.37708830548925</v>
      </c>
      <c r="M548" s="1">
        <f>A548/data!$L$2</f>
        <v>0.43516308671439935</v>
      </c>
      <c r="N548">
        <f t="shared" si="52"/>
        <v>1.4803524844401537</v>
      </c>
    </row>
    <row r="549" spans="1:14" x14ac:dyDescent="0.2">
      <c r="A549">
        <v>548</v>
      </c>
      <c r="B549">
        <f>LARGE(data!F:F,A549)</f>
        <v>0.46109731539999999</v>
      </c>
      <c r="C549">
        <f>COUNTIFS(data!D:D,data!$I$2,data!F:F,"&gt;="&amp;B549)</f>
        <v>344</v>
      </c>
      <c r="D549">
        <f>COUNTIFS(data!D:D,data!$J$2,data!F:F,"&gt;="&amp;B549)</f>
        <v>204</v>
      </c>
      <c r="E549">
        <f>COUNTIFS(data!D:D,data!$J$2,data!F:F,"&lt;"&amp;B549)</f>
        <v>519</v>
      </c>
      <c r="F549">
        <f>COUNTIFS(data!D:D,data!$I$2,data!F:F,"&lt;"&amp;B549)</f>
        <v>190</v>
      </c>
      <c r="G549">
        <f t="shared" si="48"/>
        <v>0.28215767634854771</v>
      </c>
      <c r="H549">
        <f t="shared" si="49"/>
        <v>0.64419475655430714</v>
      </c>
      <c r="I549">
        <f t="shared" si="53"/>
        <v>8.9100242953569131E-4</v>
      </c>
      <c r="J549">
        <f t="shared" si="50"/>
        <v>0.62773722627737227</v>
      </c>
      <c r="K549">
        <f t="shared" si="51"/>
        <v>0.63585951940850272</v>
      </c>
      <c r="L549">
        <f>A549*COUNTIF(data!D:D,data!$I$2)/data!$L$2</f>
        <v>232.80190930787589</v>
      </c>
      <c r="M549" s="1">
        <f>A549/data!$L$2</f>
        <v>0.43595863166268894</v>
      </c>
      <c r="N549">
        <f t="shared" si="52"/>
        <v>1.477651111293365</v>
      </c>
    </row>
    <row r="550" spans="1:14" x14ac:dyDescent="0.2">
      <c r="A550">
        <v>549</v>
      </c>
      <c r="B550">
        <f>LARGE(data!F:F,A550)</f>
        <v>0.46085372499999999</v>
      </c>
      <c r="C550">
        <f>COUNTIFS(data!D:D,data!$I$2,data!F:F,"&gt;="&amp;B550)</f>
        <v>345</v>
      </c>
      <c r="D550">
        <f>COUNTIFS(data!D:D,data!$J$2,data!F:F,"&gt;="&amp;B550)</f>
        <v>204</v>
      </c>
      <c r="E550">
        <f>COUNTIFS(data!D:D,data!$J$2,data!F:F,"&lt;"&amp;B550)</f>
        <v>519</v>
      </c>
      <c r="F550">
        <f>COUNTIFS(data!D:D,data!$I$2,data!F:F,"&lt;"&amp;B550)</f>
        <v>189</v>
      </c>
      <c r="G550">
        <f t="shared" si="48"/>
        <v>0.28215767634854771</v>
      </c>
      <c r="H550">
        <f t="shared" si="49"/>
        <v>0.6460674157303371</v>
      </c>
      <c r="I550">
        <f t="shared" si="53"/>
        <v>0</v>
      </c>
      <c r="J550">
        <f t="shared" si="50"/>
        <v>0.62841530054644812</v>
      </c>
      <c r="K550">
        <f t="shared" si="51"/>
        <v>0.63711911357340723</v>
      </c>
      <c r="L550">
        <f>A550*COUNTIF(data!D:D,data!$I$2)/data!$L$2</f>
        <v>233.22673031026252</v>
      </c>
      <c r="M550" s="1">
        <f>A550/data!$L$2</f>
        <v>0.43675417661097854</v>
      </c>
      <c r="N550">
        <f t="shared" si="52"/>
        <v>1.4792472524098974</v>
      </c>
    </row>
    <row r="551" spans="1:14" x14ac:dyDescent="0.2">
      <c r="A551">
        <v>550</v>
      </c>
      <c r="B551">
        <f>LARGE(data!F:F,A551)</f>
        <v>0.46026287890000001</v>
      </c>
      <c r="C551">
        <f>COUNTIFS(data!D:D,data!$I$2,data!F:F,"&gt;="&amp;B551)</f>
        <v>346</v>
      </c>
      <c r="D551">
        <f>COUNTIFS(data!D:D,data!$J$2,data!F:F,"&gt;="&amp;B551)</f>
        <v>204</v>
      </c>
      <c r="E551">
        <f>COUNTIFS(data!D:D,data!$J$2,data!F:F,"&lt;"&amp;B551)</f>
        <v>519</v>
      </c>
      <c r="F551">
        <f>COUNTIFS(data!D:D,data!$I$2,data!F:F,"&lt;"&amp;B551)</f>
        <v>188</v>
      </c>
      <c r="G551">
        <f t="shared" si="48"/>
        <v>0.28215767634854771</v>
      </c>
      <c r="H551">
        <f t="shared" si="49"/>
        <v>0.64794007490636707</v>
      </c>
      <c r="I551">
        <f t="shared" si="53"/>
        <v>0</v>
      </c>
      <c r="J551">
        <f t="shared" si="50"/>
        <v>0.62909090909090915</v>
      </c>
      <c r="K551">
        <f t="shared" si="51"/>
        <v>0.63837638376383776</v>
      </c>
      <c r="L551">
        <f>A551*COUNTIF(data!D:D,data!$I$2)/data!$L$2</f>
        <v>233.65155131264916</v>
      </c>
      <c r="M551" s="1">
        <f>A551/data!$L$2</f>
        <v>0.43754972155926808</v>
      </c>
      <c r="N551">
        <f t="shared" si="52"/>
        <v>1.4808375893769152</v>
      </c>
    </row>
    <row r="552" spans="1:14" x14ac:dyDescent="0.2">
      <c r="A552">
        <v>551</v>
      </c>
      <c r="B552">
        <f>LARGE(data!F:F,A552)</f>
        <v>0.45995766999999999</v>
      </c>
      <c r="C552">
        <f>COUNTIFS(data!D:D,data!$I$2,data!F:F,"&gt;="&amp;B552)</f>
        <v>347</v>
      </c>
      <c r="D552">
        <f>COUNTIFS(data!D:D,data!$J$2,data!F:F,"&gt;="&amp;B552)</f>
        <v>204</v>
      </c>
      <c r="E552">
        <f>COUNTIFS(data!D:D,data!$J$2,data!F:F,"&lt;"&amp;B552)</f>
        <v>519</v>
      </c>
      <c r="F552">
        <f>COUNTIFS(data!D:D,data!$I$2,data!F:F,"&lt;"&amp;B552)</f>
        <v>187</v>
      </c>
      <c r="G552">
        <f t="shared" si="48"/>
        <v>0.28215767634854771</v>
      </c>
      <c r="H552">
        <f t="shared" si="49"/>
        <v>0.64981273408239704</v>
      </c>
      <c r="I552">
        <f t="shared" si="53"/>
        <v>0</v>
      </c>
      <c r="J552">
        <f t="shared" si="50"/>
        <v>0.62976406533575313</v>
      </c>
      <c r="K552">
        <f t="shared" si="51"/>
        <v>0.63963133640552994</v>
      </c>
      <c r="L552">
        <f>A552*COUNTIF(data!D:D,data!$I$2)/data!$L$2</f>
        <v>234.0763723150358</v>
      </c>
      <c r="M552" s="1">
        <f>A552/data!$L$2</f>
        <v>0.43834526650755767</v>
      </c>
      <c r="N552">
        <f t="shared" si="52"/>
        <v>1.4824221537959583</v>
      </c>
    </row>
    <row r="553" spans="1:14" x14ac:dyDescent="0.2">
      <c r="A553">
        <v>552</v>
      </c>
      <c r="B553">
        <f>LARGE(data!F:F,A553)</f>
        <v>0.45955602420000002</v>
      </c>
      <c r="C553">
        <f>COUNTIFS(data!D:D,data!$I$2,data!F:F,"&gt;="&amp;B553)</f>
        <v>347</v>
      </c>
      <c r="D553">
        <f>COUNTIFS(data!D:D,data!$J$2,data!F:F,"&gt;="&amp;B553)</f>
        <v>205</v>
      </c>
      <c r="E553">
        <f>COUNTIFS(data!D:D,data!$J$2,data!F:F,"&lt;"&amp;B553)</f>
        <v>518</v>
      </c>
      <c r="F553">
        <f>COUNTIFS(data!D:D,data!$I$2,data!F:F,"&lt;"&amp;B553)</f>
        <v>187</v>
      </c>
      <c r="G553">
        <f t="shared" si="48"/>
        <v>0.28354080221300137</v>
      </c>
      <c r="H553">
        <f t="shared" si="49"/>
        <v>0.64981273408239704</v>
      </c>
      <c r="I553">
        <f t="shared" si="53"/>
        <v>8.9877279956071196E-4</v>
      </c>
      <c r="J553">
        <f t="shared" si="50"/>
        <v>0.62862318840579712</v>
      </c>
      <c r="K553">
        <f t="shared" si="51"/>
        <v>0.6390423572744014</v>
      </c>
      <c r="L553">
        <f>A553*COUNTIF(data!D:D,data!$I$2)/data!$L$2</f>
        <v>234.50119331742243</v>
      </c>
      <c r="M553" s="1">
        <f>A553/data!$L$2</f>
        <v>0.43914081145584727</v>
      </c>
      <c r="N553">
        <f t="shared" si="52"/>
        <v>1.4797366064158932</v>
      </c>
    </row>
    <row r="554" spans="1:14" x14ac:dyDescent="0.2">
      <c r="A554">
        <v>553</v>
      </c>
      <c r="B554">
        <f>LARGE(data!F:F,A554)</f>
        <v>0.45882434529999999</v>
      </c>
      <c r="C554">
        <f>COUNTIFS(data!D:D,data!$I$2,data!F:F,"&gt;="&amp;B554)</f>
        <v>348</v>
      </c>
      <c r="D554">
        <f>COUNTIFS(data!D:D,data!$J$2,data!F:F,"&gt;="&amp;B554)</f>
        <v>205</v>
      </c>
      <c r="E554">
        <f>COUNTIFS(data!D:D,data!$J$2,data!F:F,"&lt;"&amp;B554)</f>
        <v>518</v>
      </c>
      <c r="F554">
        <f>COUNTIFS(data!D:D,data!$I$2,data!F:F,"&lt;"&amp;B554)</f>
        <v>186</v>
      </c>
      <c r="G554">
        <f t="shared" si="48"/>
        <v>0.28354080221300137</v>
      </c>
      <c r="H554">
        <f t="shared" si="49"/>
        <v>0.651685393258427</v>
      </c>
      <c r="I554">
        <f t="shared" si="53"/>
        <v>0</v>
      </c>
      <c r="J554">
        <f t="shared" si="50"/>
        <v>0.62929475587703432</v>
      </c>
      <c r="K554">
        <f t="shared" si="51"/>
        <v>0.64029438822447104</v>
      </c>
      <c r="L554">
        <f>A554*COUNTIF(data!D:D,data!$I$2)/data!$L$2</f>
        <v>234.92601431980907</v>
      </c>
      <c r="M554" s="1">
        <f>A554/data!$L$2</f>
        <v>0.43993635640413681</v>
      </c>
      <c r="N554">
        <f t="shared" si="52"/>
        <v>1.4813174309689741</v>
      </c>
    </row>
    <row r="555" spans="1:14" x14ac:dyDescent="0.2">
      <c r="A555">
        <v>554</v>
      </c>
      <c r="B555">
        <f>LARGE(data!F:F,A555)</f>
        <v>0.45816755980000001</v>
      </c>
      <c r="C555">
        <f>COUNTIFS(data!D:D,data!$I$2,data!F:F,"&gt;="&amp;B555)</f>
        <v>348</v>
      </c>
      <c r="D555">
        <f>COUNTIFS(data!D:D,data!$J$2,data!F:F,"&gt;="&amp;B555)</f>
        <v>206</v>
      </c>
      <c r="E555">
        <f>COUNTIFS(data!D:D,data!$J$2,data!F:F,"&lt;"&amp;B555)</f>
        <v>517</v>
      </c>
      <c r="F555">
        <f>COUNTIFS(data!D:D,data!$I$2,data!F:F,"&lt;"&amp;B555)</f>
        <v>186</v>
      </c>
      <c r="G555">
        <f t="shared" si="48"/>
        <v>0.28492392807745504</v>
      </c>
      <c r="H555">
        <f t="shared" si="49"/>
        <v>0.651685393258427</v>
      </c>
      <c r="I555">
        <f t="shared" si="53"/>
        <v>9.0136292290238544E-4</v>
      </c>
      <c r="J555">
        <f t="shared" si="50"/>
        <v>0.62815884476534301</v>
      </c>
      <c r="K555">
        <f t="shared" si="51"/>
        <v>0.63970588235294112</v>
      </c>
      <c r="L555">
        <f>A555*COUNTIF(data!D:D,data!$I$2)/data!$L$2</f>
        <v>235.35083532219571</v>
      </c>
      <c r="M555" s="1">
        <f>A555/data!$L$2</f>
        <v>0.4407319013524264</v>
      </c>
      <c r="N555">
        <f t="shared" si="52"/>
        <v>1.4786435727903298</v>
      </c>
    </row>
    <row r="556" spans="1:14" x14ac:dyDescent="0.2">
      <c r="A556">
        <v>555</v>
      </c>
      <c r="B556">
        <f>LARGE(data!F:F,A556)</f>
        <v>0.4579276504</v>
      </c>
      <c r="C556">
        <f>COUNTIFS(data!D:D,data!$I$2,data!F:F,"&gt;="&amp;B556)</f>
        <v>349</v>
      </c>
      <c r="D556">
        <f>COUNTIFS(data!D:D,data!$J$2,data!F:F,"&gt;="&amp;B556)</f>
        <v>206</v>
      </c>
      <c r="E556">
        <f>COUNTIFS(data!D:D,data!$J$2,data!F:F,"&lt;"&amp;B556)</f>
        <v>517</v>
      </c>
      <c r="F556">
        <f>COUNTIFS(data!D:D,data!$I$2,data!F:F,"&lt;"&amp;B556)</f>
        <v>185</v>
      </c>
      <c r="G556">
        <f t="shared" si="48"/>
        <v>0.28492392807745504</v>
      </c>
      <c r="H556">
        <f t="shared" si="49"/>
        <v>0.65355805243445697</v>
      </c>
      <c r="I556">
        <f t="shared" si="53"/>
        <v>0</v>
      </c>
      <c r="J556">
        <f t="shared" si="50"/>
        <v>0.62882882882882885</v>
      </c>
      <c r="K556">
        <f t="shared" si="51"/>
        <v>0.64095500459136834</v>
      </c>
      <c r="L556">
        <f>A556*COUNTIF(data!D:D,data!$I$2)/data!$L$2</f>
        <v>235.77565632458234</v>
      </c>
      <c r="M556" s="1">
        <f>A556/data!$L$2</f>
        <v>0.441527446300716</v>
      </c>
      <c r="N556">
        <f t="shared" si="52"/>
        <v>1.4802206701083105</v>
      </c>
    </row>
    <row r="557" spans="1:14" x14ac:dyDescent="0.2">
      <c r="A557">
        <v>556</v>
      </c>
      <c r="B557">
        <f>LARGE(data!F:F,A557)</f>
        <v>0.4578419782</v>
      </c>
      <c r="C557">
        <f>COUNTIFS(data!D:D,data!$I$2,data!F:F,"&gt;="&amp;B557)</f>
        <v>349</v>
      </c>
      <c r="D557">
        <f>COUNTIFS(data!D:D,data!$J$2,data!F:F,"&gt;="&amp;B557)</f>
        <v>207</v>
      </c>
      <c r="E557">
        <f>COUNTIFS(data!D:D,data!$J$2,data!F:F,"&lt;"&amp;B557)</f>
        <v>516</v>
      </c>
      <c r="F557">
        <f>COUNTIFS(data!D:D,data!$I$2,data!F:F,"&lt;"&amp;B557)</f>
        <v>185</v>
      </c>
      <c r="G557">
        <f t="shared" si="48"/>
        <v>0.2863070539419087</v>
      </c>
      <c r="H557">
        <f t="shared" si="49"/>
        <v>0.65355805243445697</v>
      </c>
      <c r="I557">
        <f t="shared" si="53"/>
        <v>9.0395304624405902E-4</v>
      </c>
      <c r="J557">
        <f t="shared" si="50"/>
        <v>0.62769784172661869</v>
      </c>
      <c r="K557">
        <f t="shared" si="51"/>
        <v>0.6403669724770642</v>
      </c>
      <c r="L557">
        <f>A557*COUNTIF(data!D:D,data!$I$2)/data!$L$2</f>
        <v>236.20047732696898</v>
      </c>
      <c r="M557" s="1">
        <f>A557/data!$L$2</f>
        <v>0.44232299124900559</v>
      </c>
      <c r="N557">
        <f t="shared" si="52"/>
        <v>1.4775584027160293</v>
      </c>
    </row>
    <row r="558" spans="1:14" x14ac:dyDescent="0.2">
      <c r="A558">
        <v>557</v>
      </c>
      <c r="B558">
        <f>LARGE(data!F:F,A558)</f>
        <v>0.45458549590000003</v>
      </c>
      <c r="C558">
        <f>COUNTIFS(data!D:D,data!$I$2,data!F:F,"&gt;="&amp;B558)</f>
        <v>349</v>
      </c>
      <c r="D558">
        <f>COUNTIFS(data!D:D,data!$J$2,data!F:F,"&gt;="&amp;B558)</f>
        <v>208</v>
      </c>
      <c r="E558">
        <f>COUNTIFS(data!D:D,data!$J$2,data!F:F,"&lt;"&amp;B558)</f>
        <v>515</v>
      </c>
      <c r="F558">
        <f>COUNTIFS(data!D:D,data!$I$2,data!F:F,"&lt;"&amp;B558)</f>
        <v>185</v>
      </c>
      <c r="G558">
        <f t="shared" si="48"/>
        <v>0.28769017980636236</v>
      </c>
      <c r="H558">
        <f t="shared" si="49"/>
        <v>0.65355805243445697</v>
      </c>
      <c r="I558">
        <f t="shared" si="53"/>
        <v>9.0395304624405902E-4</v>
      </c>
      <c r="J558">
        <f t="shared" si="50"/>
        <v>0.6265709156193896</v>
      </c>
      <c r="K558">
        <f t="shared" si="51"/>
        <v>0.63978001833180576</v>
      </c>
      <c r="L558">
        <f>A558*COUNTIF(data!D:D,data!$I$2)/data!$L$2</f>
        <v>236.62529832935562</v>
      </c>
      <c r="M558" s="1">
        <f>A558/data!$L$2</f>
        <v>0.44311853619729513</v>
      </c>
      <c r="N558">
        <f t="shared" si="52"/>
        <v>1.4749056946321586</v>
      </c>
    </row>
    <row r="559" spans="1:14" x14ac:dyDescent="0.2">
      <c r="A559">
        <v>558</v>
      </c>
      <c r="B559">
        <f>LARGE(data!F:F,A559)</f>
        <v>0.45408521509999999</v>
      </c>
      <c r="C559">
        <f>COUNTIFS(data!D:D,data!$I$2,data!F:F,"&gt;="&amp;B559)</f>
        <v>349</v>
      </c>
      <c r="D559">
        <f>COUNTIFS(data!D:D,data!$J$2,data!F:F,"&gt;="&amp;B559)</f>
        <v>209</v>
      </c>
      <c r="E559">
        <f>COUNTIFS(data!D:D,data!$J$2,data!F:F,"&lt;"&amp;B559)</f>
        <v>514</v>
      </c>
      <c r="F559">
        <f>COUNTIFS(data!D:D,data!$I$2,data!F:F,"&lt;"&amp;B559)</f>
        <v>185</v>
      </c>
      <c r="G559">
        <f t="shared" si="48"/>
        <v>0.28907330567081607</v>
      </c>
      <c r="H559">
        <f t="shared" si="49"/>
        <v>0.65355805243445697</v>
      </c>
      <c r="I559">
        <f t="shared" si="53"/>
        <v>9.0395304624409523E-4</v>
      </c>
      <c r="J559">
        <f t="shared" si="50"/>
        <v>0.62544802867383509</v>
      </c>
      <c r="K559">
        <f t="shared" si="51"/>
        <v>0.63919413919413925</v>
      </c>
      <c r="L559">
        <f>A559*COUNTIF(data!D:D,data!$I$2)/data!$L$2</f>
        <v>237.05011933174225</v>
      </c>
      <c r="M559" s="1">
        <f>A559/data!$L$2</f>
        <v>0.44391408114558473</v>
      </c>
      <c r="N559">
        <f t="shared" si="52"/>
        <v>1.4722624944625669</v>
      </c>
    </row>
    <row r="560" spans="1:14" x14ac:dyDescent="0.2">
      <c r="A560">
        <v>559</v>
      </c>
      <c r="B560">
        <f>LARGE(data!F:F,A560)</f>
        <v>0.45394726790000001</v>
      </c>
      <c r="C560">
        <f>COUNTIFS(data!D:D,data!$I$2,data!F:F,"&gt;="&amp;B560)</f>
        <v>349</v>
      </c>
      <c r="D560">
        <f>COUNTIFS(data!D:D,data!$J$2,data!F:F,"&gt;="&amp;B560)</f>
        <v>210</v>
      </c>
      <c r="E560">
        <f>COUNTIFS(data!D:D,data!$J$2,data!F:F,"&lt;"&amp;B560)</f>
        <v>513</v>
      </c>
      <c r="F560">
        <f>COUNTIFS(data!D:D,data!$I$2,data!F:F,"&lt;"&amp;B560)</f>
        <v>185</v>
      </c>
      <c r="G560">
        <f t="shared" si="48"/>
        <v>0.29045643153526973</v>
      </c>
      <c r="H560">
        <f t="shared" si="49"/>
        <v>0.65355805243445697</v>
      </c>
      <c r="I560">
        <f t="shared" si="53"/>
        <v>9.0395304624405902E-4</v>
      </c>
      <c r="J560">
        <f t="shared" si="50"/>
        <v>0.62432915921288012</v>
      </c>
      <c r="K560">
        <f t="shared" si="51"/>
        <v>0.63860933211344917</v>
      </c>
      <c r="L560">
        <f>A560*COUNTIF(data!D:D,data!$I$2)/data!$L$2</f>
        <v>237.47494033412889</v>
      </c>
      <c r="M560" s="1">
        <f>A560/data!$L$2</f>
        <v>0.44470962609387432</v>
      </c>
      <c r="N560">
        <f t="shared" si="52"/>
        <v>1.4696287511808808</v>
      </c>
    </row>
    <row r="561" spans="1:14" x14ac:dyDescent="0.2">
      <c r="A561">
        <v>560</v>
      </c>
      <c r="B561">
        <f>LARGE(data!F:F,A561)</f>
        <v>0.4535296486</v>
      </c>
      <c r="C561">
        <f>COUNTIFS(data!D:D,data!$I$2,data!F:F,"&gt;="&amp;B561)</f>
        <v>349</v>
      </c>
      <c r="D561">
        <f>COUNTIFS(data!D:D,data!$J$2,data!F:F,"&gt;="&amp;B561)</f>
        <v>211</v>
      </c>
      <c r="E561">
        <f>COUNTIFS(data!D:D,data!$J$2,data!F:F,"&lt;"&amp;B561)</f>
        <v>512</v>
      </c>
      <c r="F561">
        <f>COUNTIFS(data!D:D,data!$I$2,data!F:F,"&lt;"&amp;B561)</f>
        <v>185</v>
      </c>
      <c r="G561">
        <f t="shared" si="48"/>
        <v>0.29183955739972339</v>
      </c>
      <c r="H561">
        <f t="shared" si="49"/>
        <v>0.65355805243445697</v>
      </c>
      <c r="I561">
        <f t="shared" si="53"/>
        <v>9.0395304624405902E-4</v>
      </c>
      <c r="J561">
        <f t="shared" si="50"/>
        <v>0.62321428571428572</v>
      </c>
      <c r="K561">
        <f t="shared" si="51"/>
        <v>0.63802559414990867</v>
      </c>
      <c r="L561">
        <f>A561*COUNTIF(data!D:D,data!$I$2)/data!$L$2</f>
        <v>237.89976133651552</v>
      </c>
      <c r="M561" s="1">
        <f>A561/data!$L$2</f>
        <v>0.44550517104216386</v>
      </c>
      <c r="N561">
        <f t="shared" si="52"/>
        <v>1.4670044141252006</v>
      </c>
    </row>
    <row r="562" spans="1:14" x14ac:dyDescent="0.2">
      <c r="A562">
        <v>561</v>
      </c>
      <c r="B562">
        <f>LARGE(data!F:F,A562)</f>
        <v>0.4530604527</v>
      </c>
      <c r="C562">
        <f>COUNTIFS(data!D:D,data!$I$2,data!F:F,"&gt;="&amp;B562)</f>
        <v>349</v>
      </c>
      <c r="D562">
        <f>COUNTIFS(data!D:D,data!$J$2,data!F:F,"&gt;="&amp;B562)</f>
        <v>212</v>
      </c>
      <c r="E562">
        <f>COUNTIFS(data!D:D,data!$J$2,data!F:F,"&lt;"&amp;B562)</f>
        <v>511</v>
      </c>
      <c r="F562">
        <f>COUNTIFS(data!D:D,data!$I$2,data!F:F,"&lt;"&amp;B562)</f>
        <v>185</v>
      </c>
      <c r="G562">
        <f t="shared" si="48"/>
        <v>0.29322268326417705</v>
      </c>
      <c r="H562">
        <f t="shared" si="49"/>
        <v>0.65355805243445697</v>
      </c>
      <c r="I562">
        <f t="shared" si="53"/>
        <v>9.0395304624405902E-4</v>
      </c>
      <c r="J562">
        <f t="shared" si="50"/>
        <v>0.62210338680926913</v>
      </c>
      <c r="K562">
        <f t="shared" si="51"/>
        <v>0.63744292237442923</v>
      </c>
      <c r="L562">
        <f>A562*COUNTIF(data!D:D,data!$I$2)/data!$L$2</f>
        <v>238.32458233890216</v>
      </c>
      <c r="M562" s="1">
        <f>A562/data!$L$2</f>
        <v>0.44630071599045346</v>
      </c>
      <c r="N562">
        <f t="shared" si="52"/>
        <v>1.4643894329948526</v>
      </c>
    </row>
    <row r="563" spans="1:14" x14ac:dyDescent="0.2">
      <c r="A563">
        <v>562</v>
      </c>
      <c r="B563">
        <f>LARGE(data!F:F,A563)</f>
        <v>0.45267168169999999</v>
      </c>
      <c r="C563">
        <f>COUNTIFS(data!D:D,data!$I$2,data!F:F,"&gt;="&amp;B563)</f>
        <v>349</v>
      </c>
      <c r="D563">
        <f>COUNTIFS(data!D:D,data!$J$2,data!F:F,"&gt;="&amp;B563)</f>
        <v>213</v>
      </c>
      <c r="E563">
        <f>COUNTIFS(data!D:D,data!$J$2,data!F:F,"&lt;"&amp;B563)</f>
        <v>510</v>
      </c>
      <c r="F563">
        <f>COUNTIFS(data!D:D,data!$I$2,data!F:F,"&lt;"&amp;B563)</f>
        <v>185</v>
      </c>
      <c r="G563">
        <f t="shared" si="48"/>
        <v>0.29460580912863071</v>
      </c>
      <c r="H563">
        <f t="shared" si="49"/>
        <v>0.65355805243445697</v>
      </c>
      <c r="I563">
        <f t="shared" si="53"/>
        <v>9.0395304624405902E-4</v>
      </c>
      <c r="J563">
        <f t="shared" si="50"/>
        <v>0.62099644128113884</v>
      </c>
      <c r="K563">
        <f t="shared" si="51"/>
        <v>0.63686131386861333</v>
      </c>
      <c r="L563">
        <f>A563*COUNTIF(data!D:D,data!$I$2)/data!$L$2</f>
        <v>238.74940334128877</v>
      </c>
      <c r="M563" s="1">
        <f>A563/data!$L$2</f>
        <v>0.44709626093874305</v>
      </c>
      <c r="N563">
        <f t="shared" si="52"/>
        <v>1.4617837578471751</v>
      </c>
    </row>
    <row r="564" spans="1:14" x14ac:dyDescent="0.2">
      <c r="A564">
        <v>563</v>
      </c>
      <c r="B564">
        <f>LARGE(data!F:F,A564)</f>
        <v>0.45255025710000002</v>
      </c>
      <c r="C564">
        <f>COUNTIFS(data!D:D,data!$I$2,data!F:F,"&gt;="&amp;B564)</f>
        <v>349</v>
      </c>
      <c r="D564">
        <f>COUNTIFS(data!D:D,data!$J$2,data!F:F,"&gt;="&amp;B564)</f>
        <v>214</v>
      </c>
      <c r="E564">
        <f>COUNTIFS(data!D:D,data!$J$2,data!F:F,"&lt;"&amp;B564)</f>
        <v>509</v>
      </c>
      <c r="F564">
        <f>COUNTIFS(data!D:D,data!$I$2,data!F:F,"&lt;"&amp;B564)</f>
        <v>185</v>
      </c>
      <c r="G564">
        <f t="shared" si="48"/>
        <v>0.29598893499308437</v>
      </c>
      <c r="H564">
        <f t="shared" si="49"/>
        <v>0.65355805243445697</v>
      </c>
      <c r="I564">
        <f t="shared" si="53"/>
        <v>9.0395304624405902E-4</v>
      </c>
      <c r="J564">
        <f t="shared" si="50"/>
        <v>0.61989342806394321</v>
      </c>
      <c r="K564">
        <f t="shared" si="51"/>
        <v>0.63628076572470371</v>
      </c>
      <c r="L564">
        <f>A564*COUNTIF(data!D:D,data!$I$2)/data!$L$2</f>
        <v>239.17422434367541</v>
      </c>
      <c r="M564" s="1">
        <f>A564/data!$L$2</f>
        <v>0.44789180588703259</v>
      </c>
      <c r="N564">
        <f t="shared" si="52"/>
        <v>1.4591873390943382</v>
      </c>
    </row>
    <row r="565" spans="1:14" x14ac:dyDescent="0.2">
      <c r="A565">
        <v>564</v>
      </c>
      <c r="B565">
        <f>LARGE(data!F:F,A565)</f>
        <v>0.45186841179999998</v>
      </c>
      <c r="C565">
        <f>COUNTIFS(data!D:D,data!$I$2,data!F:F,"&gt;="&amp;B565)</f>
        <v>349</v>
      </c>
      <c r="D565">
        <f>COUNTIFS(data!D:D,data!$J$2,data!F:F,"&gt;="&amp;B565)</f>
        <v>215</v>
      </c>
      <c r="E565">
        <f>COUNTIFS(data!D:D,data!$J$2,data!F:F,"&lt;"&amp;B565)</f>
        <v>508</v>
      </c>
      <c r="F565">
        <f>COUNTIFS(data!D:D,data!$I$2,data!F:F,"&lt;"&amp;B565)</f>
        <v>185</v>
      </c>
      <c r="G565">
        <f t="shared" si="48"/>
        <v>0.29737206085753803</v>
      </c>
      <c r="H565">
        <f t="shared" si="49"/>
        <v>0.65355805243445697</v>
      </c>
      <c r="I565">
        <f t="shared" si="53"/>
        <v>9.0395304624405902E-4</v>
      </c>
      <c r="J565">
        <f t="shared" si="50"/>
        <v>0.61879432624113473</v>
      </c>
      <c r="K565">
        <f t="shared" si="51"/>
        <v>0.63570127504553731</v>
      </c>
      <c r="L565">
        <f>A565*COUNTIF(data!D:D,data!$I$2)/data!$L$2</f>
        <v>239.59904534606204</v>
      </c>
      <c r="M565" s="1">
        <f>A565/data!$L$2</f>
        <v>0.44868735083532219</v>
      </c>
      <c r="N565">
        <f t="shared" si="52"/>
        <v>1.4566001275001992</v>
      </c>
    </row>
    <row r="566" spans="1:14" x14ac:dyDescent="0.2">
      <c r="A566">
        <v>565</v>
      </c>
      <c r="B566">
        <f>LARGE(data!F:F,A566)</f>
        <v>0.45145632460000001</v>
      </c>
      <c r="C566">
        <f>COUNTIFS(data!D:D,data!$I$2,data!F:F,"&gt;="&amp;B566)</f>
        <v>349</v>
      </c>
      <c r="D566">
        <f>COUNTIFS(data!D:D,data!$J$2,data!F:F,"&gt;="&amp;B566)</f>
        <v>216</v>
      </c>
      <c r="E566">
        <f>COUNTIFS(data!D:D,data!$J$2,data!F:F,"&lt;"&amp;B566)</f>
        <v>507</v>
      </c>
      <c r="F566">
        <f>COUNTIFS(data!D:D,data!$I$2,data!F:F,"&lt;"&amp;B566)</f>
        <v>185</v>
      </c>
      <c r="G566">
        <f t="shared" si="48"/>
        <v>0.29875518672199169</v>
      </c>
      <c r="H566">
        <f t="shared" si="49"/>
        <v>0.65355805243445697</v>
      </c>
      <c r="I566">
        <f t="shared" si="53"/>
        <v>9.0395304624405902E-4</v>
      </c>
      <c r="J566">
        <f t="shared" si="50"/>
        <v>0.61769911504424779</v>
      </c>
      <c r="K566">
        <f t="shared" si="51"/>
        <v>0.63512283894449506</v>
      </c>
      <c r="L566">
        <f>A566*COUNTIF(data!D:D,data!$I$2)/data!$L$2</f>
        <v>240.02386634844868</v>
      </c>
      <c r="M566" s="1">
        <f>A566/data!$L$2</f>
        <v>0.44948289578361178</v>
      </c>
      <c r="N566">
        <f t="shared" si="52"/>
        <v>1.4540220741771901</v>
      </c>
    </row>
    <row r="567" spans="1:14" x14ac:dyDescent="0.2">
      <c r="A567">
        <v>566</v>
      </c>
      <c r="B567">
        <f>LARGE(data!F:F,A567)</f>
        <v>0.45135905110000002</v>
      </c>
      <c r="C567">
        <f>COUNTIFS(data!D:D,data!$I$2,data!F:F,"&gt;="&amp;B567)</f>
        <v>349</v>
      </c>
      <c r="D567">
        <f>COUNTIFS(data!D:D,data!$J$2,data!F:F,"&gt;="&amp;B567)</f>
        <v>217</v>
      </c>
      <c r="E567">
        <f>COUNTIFS(data!D:D,data!$J$2,data!F:F,"&lt;"&amp;B567)</f>
        <v>506</v>
      </c>
      <c r="F567">
        <f>COUNTIFS(data!D:D,data!$I$2,data!F:F,"&lt;"&amp;B567)</f>
        <v>185</v>
      </c>
      <c r="G567">
        <f t="shared" ref="G567:G630" si="54">D567/(E567+D567)</f>
        <v>0.30013831258644535</v>
      </c>
      <c r="H567">
        <f t="shared" ref="H567:H630" si="55">C567/(C567+F567)</f>
        <v>0.65355805243445697</v>
      </c>
      <c r="I567">
        <f t="shared" si="53"/>
        <v>9.0395304624405902E-4</v>
      </c>
      <c r="J567">
        <f t="shared" ref="J567:J630" si="56">C567/(C567+D567)</f>
        <v>0.61660777385159016</v>
      </c>
      <c r="K567">
        <f t="shared" ref="K567:K630" si="57">2*J567*H567/(J567+H567)</f>
        <v>0.63454545454545463</v>
      </c>
      <c r="L567">
        <f>A567*COUNTIF(data!D:D,data!$I$2)/data!$L$2</f>
        <v>240.44868735083531</v>
      </c>
      <c r="M567" s="1">
        <f>A567/data!$L$2</f>
        <v>0.45027844073190137</v>
      </c>
      <c r="N567">
        <f t="shared" si="52"/>
        <v>1.4514531305832374</v>
      </c>
    </row>
    <row r="568" spans="1:14" x14ac:dyDescent="0.2">
      <c r="A568">
        <v>567</v>
      </c>
      <c r="B568">
        <f>LARGE(data!F:F,A568)</f>
        <v>0.45032242979999998</v>
      </c>
      <c r="C568">
        <f>COUNTIFS(data!D:D,data!$I$2,data!F:F,"&gt;="&amp;B568)</f>
        <v>349</v>
      </c>
      <c r="D568">
        <f>COUNTIFS(data!D:D,data!$J$2,data!F:F,"&gt;="&amp;B568)</f>
        <v>218</v>
      </c>
      <c r="E568">
        <f>COUNTIFS(data!D:D,data!$J$2,data!F:F,"&lt;"&amp;B568)</f>
        <v>505</v>
      </c>
      <c r="F568">
        <f>COUNTIFS(data!D:D,data!$I$2,data!F:F,"&lt;"&amp;B568)</f>
        <v>185</v>
      </c>
      <c r="G568">
        <f t="shared" si="54"/>
        <v>0.30152143845089902</v>
      </c>
      <c r="H568">
        <f t="shared" si="55"/>
        <v>0.65355805243445697</v>
      </c>
      <c r="I568">
        <f t="shared" si="53"/>
        <v>9.0395304624405902E-4</v>
      </c>
      <c r="J568">
        <f t="shared" si="56"/>
        <v>0.61552028218694887</v>
      </c>
      <c r="K568">
        <f t="shared" si="57"/>
        <v>0.633969118982743</v>
      </c>
      <c r="L568">
        <f>A568*COUNTIF(data!D:D,data!$I$2)/data!$L$2</f>
        <v>240.87350835322195</v>
      </c>
      <c r="M568" s="1">
        <f>A568/data!$L$2</f>
        <v>0.45107398568019091</v>
      </c>
      <c r="N568">
        <f t="shared" si="52"/>
        <v>1.4488932485187167</v>
      </c>
    </row>
    <row r="569" spans="1:14" x14ac:dyDescent="0.2">
      <c r="A569">
        <v>568</v>
      </c>
      <c r="B569">
        <f>LARGE(data!F:F,A569)</f>
        <v>0.4497757047</v>
      </c>
      <c r="C569">
        <f>COUNTIFS(data!D:D,data!$I$2,data!F:F,"&gt;="&amp;B569)</f>
        <v>349</v>
      </c>
      <c r="D569">
        <f>COUNTIFS(data!D:D,data!$J$2,data!F:F,"&gt;="&amp;B569)</f>
        <v>219</v>
      </c>
      <c r="E569">
        <f>COUNTIFS(data!D:D,data!$J$2,data!F:F,"&lt;"&amp;B569)</f>
        <v>504</v>
      </c>
      <c r="F569">
        <f>COUNTIFS(data!D:D,data!$I$2,data!F:F,"&lt;"&amp;B569)</f>
        <v>185</v>
      </c>
      <c r="G569">
        <f t="shared" si="54"/>
        <v>0.30290456431535268</v>
      </c>
      <c r="H569">
        <f t="shared" si="55"/>
        <v>0.65355805243445697</v>
      </c>
      <c r="I569">
        <f t="shared" si="53"/>
        <v>9.0395304624405902E-4</v>
      </c>
      <c r="J569">
        <f t="shared" si="56"/>
        <v>0.61443661971830987</v>
      </c>
      <c r="K569">
        <f t="shared" si="57"/>
        <v>0.63339382940108901</v>
      </c>
      <c r="L569">
        <f>A569*COUNTIF(data!D:D,data!$I$2)/data!$L$2</f>
        <v>241.29832935560859</v>
      </c>
      <c r="M569" s="1">
        <f>A569/data!$L$2</f>
        <v>0.45186953062848051</v>
      </c>
      <c r="N569">
        <f t="shared" si="52"/>
        <v>1.4463423801234372</v>
      </c>
    </row>
    <row r="570" spans="1:14" x14ac:dyDescent="0.2">
      <c r="A570">
        <v>569</v>
      </c>
      <c r="B570">
        <f>LARGE(data!F:F,A570)</f>
        <v>0.4487456212</v>
      </c>
      <c r="C570">
        <f>COUNTIFS(data!D:D,data!$I$2,data!F:F,"&gt;="&amp;B570)</f>
        <v>349</v>
      </c>
      <c r="D570">
        <f>COUNTIFS(data!D:D,data!$J$2,data!F:F,"&gt;="&amp;B570)</f>
        <v>220</v>
      </c>
      <c r="E570">
        <f>COUNTIFS(data!D:D,data!$J$2,data!F:F,"&lt;"&amp;B570)</f>
        <v>503</v>
      </c>
      <c r="F570">
        <f>COUNTIFS(data!D:D,data!$I$2,data!F:F,"&lt;"&amp;B570)</f>
        <v>185</v>
      </c>
      <c r="G570">
        <f t="shared" si="54"/>
        <v>0.30428769017980634</v>
      </c>
      <c r="H570">
        <f t="shared" si="55"/>
        <v>0.65355805243445697</v>
      </c>
      <c r="I570">
        <f t="shared" si="53"/>
        <v>9.0395304624405902E-4</v>
      </c>
      <c r="J570">
        <f t="shared" si="56"/>
        <v>0.61335676625659052</v>
      </c>
      <c r="K570">
        <f t="shared" si="57"/>
        <v>0.63281958295557572</v>
      </c>
      <c r="L570">
        <f>A570*COUNTIF(data!D:D,data!$I$2)/data!$L$2</f>
        <v>241.72315035799522</v>
      </c>
      <c r="M570" s="1">
        <f>A570/data!$L$2</f>
        <v>0.4526650755767701</v>
      </c>
      <c r="N570">
        <f t="shared" si="52"/>
        <v>1.4438004778736597</v>
      </c>
    </row>
    <row r="571" spans="1:14" x14ac:dyDescent="0.2">
      <c r="A571">
        <v>570</v>
      </c>
      <c r="B571">
        <f>LARGE(data!F:F,A571)</f>
        <v>0.44846860420000001</v>
      </c>
      <c r="C571">
        <f>COUNTIFS(data!D:D,data!$I$2,data!F:F,"&gt;="&amp;B571)</f>
        <v>349</v>
      </c>
      <c r="D571">
        <f>COUNTIFS(data!D:D,data!$J$2,data!F:F,"&gt;="&amp;B571)</f>
        <v>221</v>
      </c>
      <c r="E571">
        <f>COUNTIFS(data!D:D,data!$J$2,data!F:F,"&lt;"&amp;B571)</f>
        <v>502</v>
      </c>
      <c r="F571">
        <f>COUNTIFS(data!D:D,data!$I$2,data!F:F,"&lt;"&amp;B571)</f>
        <v>185</v>
      </c>
      <c r="G571">
        <f t="shared" si="54"/>
        <v>0.30567081604426005</v>
      </c>
      <c r="H571">
        <f t="shared" si="55"/>
        <v>0.65355805243445697</v>
      </c>
      <c r="I571">
        <f t="shared" si="53"/>
        <v>9.0395304624409523E-4</v>
      </c>
      <c r="J571">
        <f t="shared" si="56"/>
        <v>0.61228070175438598</v>
      </c>
      <c r="K571">
        <f t="shared" si="57"/>
        <v>0.63224637681159424</v>
      </c>
      <c r="L571">
        <f>A571*COUNTIF(data!D:D,data!$I$2)/data!$L$2</f>
        <v>242.14797136038186</v>
      </c>
      <c r="M571" s="1">
        <f>A571/data!$L$2</f>
        <v>0.45346062052505964</v>
      </c>
      <c r="N571">
        <f t="shared" si="52"/>
        <v>1.4412674945791446</v>
      </c>
    </row>
    <row r="572" spans="1:14" x14ac:dyDescent="0.2">
      <c r="A572">
        <v>571</v>
      </c>
      <c r="B572">
        <f>LARGE(data!F:F,A572)</f>
        <v>0.4475164693</v>
      </c>
      <c r="C572">
        <f>COUNTIFS(data!D:D,data!$I$2,data!F:F,"&gt;="&amp;B572)</f>
        <v>350</v>
      </c>
      <c r="D572">
        <f>COUNTIFS(data!D:D,data!$J$2,data!F:F,"&gt;="&amp;B572)</f>
        <v>221</v>
      </c>
      <c r="E572">
        <f>COUNTIFS(data!D:D,data!$J$2,data!F:F,"&lt;"&amp;B572)</f>
        <v>502</v>
      </c>
      <c r="F572">
        <f>COUNTIFS(data!D:D,data!$I$2,data!F:F,"&lt;"&amp;B572)</f>
        <v>184</v>
      </c>
      <c r="G572">
        <f t="shared" si="54"/>
        <v>0.30567081604426005</v>
      </c>
      <c r="H572">
        <f t="shared" si="55"/>
        <v>0.65543071161048694</v>
      </c>
      <c r="I572">
        <f t="shared" si="53"/>
        <v>0</v>
      </c>
      <c r="J572">
        <f t="shared" si="56"/>
        <v>0.61295971978984243</v>
      </c>
      <c r="K572">
        <f t="shared" si="57"/>
        <v>0.63348416289592768</v>
      </c>
      <c r="L572">
        <f>A572*COUNTIF(data!D:D,data!$I$2)/data!$L$2</f>
        <v>242.5727923627685</v>
      </c>
      <c r="M572" s="1">
        <f>A572/data!$L$2</f>
        <v>0.45425616547334924</v>
      </c>
      <c r="N572">
        <f t="shared" si="52"/>
        <v>1.4428658572581121</v>
      </c>
    </row>
    <row r="573" spans="1:14" x14ac:dyDescent="0.2">
      <c r="A573">
        <v>572</v>
      </c>
      <c r="B573">
        <f>LARGE(data!F:F,A573)</f>
        <v>0.44553927500000001</v>
      </c>
      <c r="C573">
        <f>COUNTIFS(data!D:D,data!$I$2,data!F:F,"&gt;="&amp;B573)</f>
        <v>351</v>
      </c>
      <c r="D573">
        <f>COUNTIFS(data!D:D,data!$J$2,data!F:F,"&gt;="&amp;B573)</f>
        <v>221</v>
      </c>
      <c r="E573">
        <f>COUNTIFS(data!D:D,data!$J$2,data!F:F,"&lt;"&amp;B573)</f>
        <v>502</v>
      </c>
      <c r="F573">
        <f>COUNTIFS(data!D:D,data!$I$2,data!F:F,"&lt;"&amp;B573)</f>
        <v>183</v>
      </c>
      <c r="G573">
        <f t="shared" si="54"/>
        <v>0.30567081604426005</v>
      </c>
      <c r="H573">
        <f t="shared" si="55"/>
        <v>0.65730337078651691</v>
      </c>
      <c r="I573">
        <f t="shared" si="53"/>
        <v>0</v>
      </c>
      <c r="J573">
        <f t="shared" si="56"/>
        <v>0.61363636363636365</v>
      </c>
      <c r="K573">
        <f t="shared" si="57"/>
        <v>0.63471971066907784</v>
      </c>
      <c r="L573">
        <f>A573*COUNTIF(data!D:D,data!$I$2)/data!$L$2</f>
        <v>242.99761336515513</v>
      </c>
      <c r="M573" s="1">
        <f>A573/data!$L$2</f>
        <v>0.45505171042163883</v>
      </c>
      <c r="N573">
        <f t="shared" si="52"/>
        <v>1.4444586312563841</v>
      </c>
    </row>
    <row r="574" spans="1:14" x14ac:dyDescent="0.2">
      <c r="A574">
        <v>573</v>
      </c>
      <c r="B574">
        <f>LARGE(data!F:F,A574)</f>
        <v>0.44511860669999997</v>
      </c>
      <c r="C574">
        <f>COUNTIFS(data!D:D,data!$I$2,data!F:F,"&gt;="&amp;B574)</f>
        <v>352</v>
      </c>
      <c r="D574">
        <f>COUNTIFS(data!D:D,data!$J$2,data!F:F,"&gt;="&amp;B574)</f>
        <v>221</v>
      </c>
      <c r="E574">
        <f>COUNTIFS(data!D:D,data!$J$2,data!F:F,"&lt;"&amp;B574)</f>
        <v>502</v>
      </c>
      <c r="F574">
        <f>COUNTIFS(data!D:D,data!$I$2,data!F:F,"&lt;"&amp;B574)</f>
        <v>182</v>
      </c>
      <c r="G574">
        <f t="shared" si="54"/>
        <v>0.30567081604426005</v>
      </c>
      <c r="H574">
        <f t="shared" si="55"/>
        <v>0.65917602996254676</v>
      </c>
      <c r="I574">
        <f t="shared" si="53"/>
        <v>0</v>
      </c>
      <c r="J574">
        <f t="shared" si="56"/>
        <v>0.61431064572425831</v>
      </c>
      <c r="K574">
        <f t="shared" si="57"/>
        <v>0.63595302619692862</v>
      </c>
      <c r="L574">
        <f>A574*COUNTIF(data!D:D,data!$I$2)/data!$L$2</f>
        <v>243.42243436754177</v>
      </c>
      <c r="M574" s="1">
        <f>A574/data!$L$2</f>
        <v>0.45584725536992843</v>
      </c>
      <c r="N574">
        <f t="shared" si="52"/>
        <v>1.4460458458340686</v>
      </c>
    </row>
    <row r="575" spans="1:14" x14ac:dyDescent="0.2">
      <c r="A575">
        <v>574</v>
      </c>
      <c r="B575">
        <f>LARGE(data!F:F,A575)</f>
        <v>0.44480287619999997</v>
      </c>
      <c r="C575">
        <f>COUNTIFS(data!D:D,data!$I$2,data!F:F,"&gt;="&amp;B575)</f>
        <v>352</v>
      </c>
      <c r="D575">
        <f>COUNTIFS(data!D:D,data!$J$2,data!F:F,"&gt;="&amp;B575)</f>
        <v>222</v>
      </c>
      <c r="E575">
        <f>COUNTIFS(data!D:D,data!$J$2,data!F:F,"&lt;"&amp;B575)</f>
        <v>501</v>
      </c>
      <c r="F575">
        <f>COUNTIFS(data!D:D,data!$I$2,data!F:F,"&lt;"&amp;B575)</f>
        <v>182</v>
      </c>
      <c r="G575">
        <f t="shared" si="54"/>
        <v>0.30705394190871371</v>
      </c>
      <c r="H575">
        <f t="shared" si="55"/>
        <v>0.65917602996254676</v>
      </c>
      <c r="I575">
        <f t="shared" si="53"/>
        <v>9.1172341626907945E-4</v>
      </c>
      <c r="J575">
        <f t="shared" si="56"/>
        <v>0.61324041811846686</v>
      </c>
      <c r="K575">
        <f t="shared" si="57"/>
        <v>0.63537906137184108</v>
      </c>
      <c r="L575">
        <f>A575*COUNTIF(data!D:D,data!$I$2)/data!$L$2</f>
        <v>243.8472553699284</v>
      </c>
      <c r="M575" s="1">
        <f>A575/data!$L$2</f>
        <v>0.45664280031821797</v>
      </c>
      <c r="N575">
        <f t="shared" si="52"/>
        <v>1.4435266022002113</v>
      </c>
    </row>
    <row r="576" spans="1:14" x14ac:dyDescent="0.2">
      <c r="A576">
        <v>575</v>
      </c>
      <c r="B576">
        <f>LARGE(data!F:F,A576)</f>
        <v>0.4416385994</v>
      </c>
      <c r="C576">
        <f>COUNTIFS(data!D:D,data!$I$2,data!F:F,"&gt;="&amp;B576)</f>
        <v>352</v>
      </c>
      <c r="D576">
        <f>COUNTIFS(data!D:D,data!$J$2,data!F:F,"&gt;="&amp;B576)</f>
        <v>223</v>
      </c>
      <c r="E576">
        <f>COUNTIFS(data!D:D,data!$J$2,data!F:F,"&lt;"&amp;B576)</f>
        <v>500</v>
      </c>
      <c r="F576">
        <f>COUNTIFS(data!D:D,data!$I$2,data!F:F,"&lt;"&amp;B576)</f>
        <v>182</v>
      </c>
      <c r="G576">
        <f t="shared" si="54"/>
        <v>0.30843706777316737</v>
      </c>
      <c r="H576">
        <f t="shared" si="55"/>
        <v>0.65917602996254676</v>
      </c>
      <c r="I576">
        <f t="shared" si="53"/>
        <v>9.1172341626907945E-4</v>
      </c>
      <c r="J576">
        <f t="shared" si="56"/>
        <v>0.61217391304347823</v>
      </c>
      <c r="K576">
        <f t="shared" si="57"/>
        <v>0.63480613165013511</v>
      </c>
      <c r="L576">
        <f>A576*COUNTIF(data!D:D,data!$I$2)/data!$L$2</f>
        <v>244.27207637231504</v>
      </c>
      <c r="M576" s="1">
        <f>A576/data!$L$2</f>
        <v>0.45743834526650756</v>
      </c>
      <c r="N576">
        <f t="shared" si="52"/>
        <v>1.4410161211529067</v>
      </c>
    </row>
    <row r="577" spans="1:14" x14ac:dyDescent="0.2">
      <c r="A577">
        <v>576</v>
      </c>
      <c r="B577">
        <f>LARGE(data!F:F,A577)</f>
        <v>0.44073848160000001</v>
      </c>
      <c r="C577">
        <f>COUNTIFS(data!D:D,data!$I$2,data!F:F,"&gt;="&amp;B577)</f>
        <v>352</v>
      </c>
      <c r="D577">
        <f>COUNTIFS(data!D:D,data!$J$2,data!F:F,"&gt;="&amp;B577)</f>
        <v>224</v>
      </c>
      <c r="E577">
        <f>COUNTIFS(data!D:D,data!$J$2,data!F:F,"&lt;"&amp;B577)</f>
        <v>499</v>
      </c>
      <c r="F577">
        <f>COUNTIFS(data!D:D,data!$I$2,data!F:F,"&lt;"&amp;B577)</f>
        <v>182</v>
      </c>
      <c r="G577">
        <f t="shared" si="54"/>
        <v>0.30982019363762103</v>
      </c>
      <c r="H577">
        <f t="shared" si="55"/>
        <v>0.65917602996254676</v>
      </c>
      <c r="I577">
        <f t="shared" si="53"/>
        <v>9.1172341626907945E-4</v>
      </c>
      <c r="J577">
        <f t="shared" si="56"/>
        <v>0.61111111111111116</v>
      </c>
      <c r="K577">
        <f t="shared" si="57"/>
        <v>0.63423423423423431</v>
      </c>
      <c r="L577">
        <f>A577*COUNTIF(data!D:D,data!$I$2)/data!$L$2</f>
        <v>244.69689737470168</v>
      </c>
      <c r="M577" s="1">
        <f>A577/data!$L$2</f>
        <v>0.45823389021479716</v>
      </c>
      <c r="N577">
        <f t="shared" si="52"/>
        <v>1.4385143570536829</v>
      </c>
    </row>
    <row r="578" spans="1:14" x14ac:dyDescent="0.2">
      <c r="A578">
        <v>577</v>
      </c>
      <c r="B578">
        <f>LARGE(data!F:F,A578)</f>
        <v>0.44054036289999998</v>
      </c>
      <c r="C578">
        <f>COUNTIFS(data!D:D,data!$I$2,data!F:F,"&gt;="&amp;B578)</f>
        <v>352</v>
      </c>
      <c r="D578">
        <f>COUNTIFS(data!D:D,data!$J$2,data!F:F,"&gt;="&amp;B578)</f>
        <v>225</v>
      </c>
      <c r="E578">
        <f>COUNTIFS(data!D:D,data!$J$2,data!F:F,"&lt;"&amp;B578)</f>
        <v>498</v>
      </c>
      <c r="F578">
        <f>COUNTIFS(data!D:D,data!$I$2,data!F:F,"&lt;"&amp;B578)</f>
        <v>182</v>
      </c>
      <c r="G578">
        <f t="shared" si="54"/>
        <v>0.31120331950207469</v>
      </c>
      <c r="H578">
        <f t="shared" si="55"/>
        <v>0.65917602996254676</v>
      </c>
      <c r="I578">
        <f t="shared" si="53"/>
        <v>9.1172341626907945E-4</v>
      </c>
      <c r="J578">
        <f t="shared" si="56"/>
        <v>0.61005199306759095</v>
      </c>
      <c r="K578">
        <f t="shared" si="57"/>
        <v>0.63366336633663356</v>
      </c>
      <c r="L578">
        <f>A578*COUNTIF(data!D:D,data!$I$2)/data!$L$2</f>
        <v>245.12171837708831</v>
      </c>
      <c r="M578" s="1">
        <f>A578/data!$L$2</f>
        <v>0.4590294351630867</v>
      </c>
      <c r="N578">
        <f t="shared" ref="N578:N641" si="58">C578/L578</f>
        <v>1.4360212645804529</v>
      </c>
    </row>
    <row r="579" spans="1:14" x14ac:dyDescent="0.2">
      <c r="A579">
        <v>578</v>
      </c>
      <c r="B579">
        <f>LARGE(data!F:F,A579)</f>
        <v>0.43939071819999997</v>
      </c>
      <c r="C579">
        <f>COUNTIFS(data!D:D,data!$I$2,data!F:F,"&gt;="&amp;B579)</f>
        <v>352</v>
      </c>
      <c r="D579">
        <f>COUNTIFS(data!D:D,data!$J$2,data!F:F,"&gt;="&amp;B579)</f>
        <v>226</v>
      </c>
      <c r="E579">
        <f>COUNTIFS(data!D:D,data!$J$2,data!F:F,"&lt;"&amp;B579)</f>
        <v>497</v>
      </c>
      <c r="F579">
        <f>COUNTIFS(data!D:D,data!$I$2,data!F:F,"&lt;"&amp;B579)</f>
        <v>182</v>
      </c>
      <c r="G579">
        <f t="shared" si="54"/>
        <v>0.31258644536652835</v>
      </c>
      <c r="H579">
        <f t="shared" si="55"/>
        <v>0.65917602996254676</v>
      </c>
      <c r="I579">
        <f t="shared" ref="I579:I642" si="59">(G579-G578)*(H579+H578)*0.5</f>
        <v>9.1172341626907945E-4</v>
      </c>
      <c r="J579">
        <f t="shared" si="56"/>
        <v>0.60899653979238755</v>
      </c>
      <c r="K579">
        <f t="shared" si="57"/>
        <v>0.63309352517985618</v>
      </c>
      <c r="L579">
        <f>A579*COUNTIF(data!D:D,data!$I$2)/data!$L$2</f>
        <v>245.54653937947495</v>
      </c>
      <c r="M579" s="1">
        <f>A579/data!$L$2</f>
        <v>0.45982498011137629</v>
      </c>
      <c r="N579">
        <f t="shared" si="58"/>
        <v>1.4335367987247774</v>
      </c>
    </row>
    <row r="580" spans="1:14" x14ac:dyDescent="0.2">
      <c r="A580">
        <v>579</v>
      </c>
      <c r="B580">
        <f>LARGE(data!F:F,A580)</f>
        <v>0.43873625360000001</v>
      </c>
      <c r="C580">
        <f>COUNTIFS(data!D:D,data!$I$2,data!F:F,"&gt;="&amp;B580)</f>
        <v>355</v>
      </c>
      <c r="D580">
        <f>COUNTIFS(data!D:D,data!$J$2,data!F:F,"&gt;="&amp;B580)</f>
        <v>226</v>
      </c>
      <c r="E580">
        <f>COUNTIFS(data!D:D,data!$J$2,data!F:F,"&lt;"&amp;B580)</f>
        <v>497</v>
      </c>
      <c r="F580">
        <f>COUNTIFS(data!D:D,data!$I$2,data!F:F,"&lt;"&amp;B580)</f>
        <v>179</v>
      </c>
      <c r="G580">
        <f t="shared" si="54"/>
        <v>0.31258644536652835</v>
      </c>
      <c r="H580">
        <f t="shared" si="55"/>
        <v>0.66479400749063666</v>
      </c>
      <c r="I580">
        <f t="shared" si="59"/>
        <v>0</v>
      </c>
      <c r="J580">
        <f t="shared" si="56"/>
        <v>0.61101549053356286</v>
      </c>
      <c r="K580">
        <f t="shared" si="57"/>
        <v>0.63677130044843056</v>
      </c>
      <c r="L580">
        <f>A580*COUNTIF(data!D:D,data!$I$2)/data!$L$2</f>
        <v>245.97136038186159</v>
      </c>
      <c r="M580" s="1">
        <f>A580/data!$L$2</f>
        <v>0.46062052505966589</v>
      </c>
      <c r="N580">
        <f t="shared" si="58"/>
        <v>1.4432574566765635</v>
      </c>
    </row>
    <row r="581" spans="1:14" x14ac:dyDescent="0.2">
      <c r="A581">
        <v>580</v>
      </c>
      <c r="B581">
        <f>LARGE(data!F:F,A581)</f>
        <v>0.43873625360000001</v>
      </c>
      <c r="C581">
        <f>COUNTIFS(data!D:D,data!$I$2,data!F:F,"&gt;="&amp;B581)</f>
        <v>355</v>
      </c>
      <c r="D581">
        <f>COUNTIFS(data!D:D,data!$J$2,data!F:F,"&gt;="&amp;B581)</f>
        <v>226</v>
      </c>
      <c r="E581">
        <f>COUNTIFS(data!D:D,data!$J$2,data!F:F,"&lt;"&amp;B581)</f>
        <v>497</v>
      </c>
      <c r="F581">
        <f>COUNTIFS(data!D:D,data!$I$2,data!F:F,"&lt;"&amp;B581)</f>
        <v>179</v>
      </c>
      <c r="G581">
        <f t="shared" si="54"/>
        <v>0.31258644536652835</v>
      </c>
      <c r="H581">
        <f t="shared" si="55"/>
        <v>0.66479400749063666</v>
      </c>
      <c r="I581">
        <f t="shared" si="59"/>
        <v>0</v>
      </c>
      <c r="J581">
        <f t="shared" si="56"/>
        <v>0.61101549053356286</v>
      </c>
      <c r="K581">
        <f t="shared" si="57"/>
        <v>0.63677130044843056</v>
      </c>
      <c r="L581">
        <f>A581*COUNTIF(data!D:D,data!$I$2)/data!$L$2</f>
        <v>246.39618138424822</v>
      </c>
      <c r="M581" s="1">
        <f>A581/data!$L$2</f>
        <v>0.46141607000795543</v>
      </c>
      <c r="N581">
        <f t="shared" si="58"/>
        <v>1.4407690817512591</v>
      </c>
    </row>
    <row r="582" spans="1:14" x14ac:dyDescent="0.2">
      <c r="A582">
        <v>581</v>
      </c>
      <c r="B582">
        <f>LARGE(data!F:F,A582)</f>
        <v>0.43873625360000001</v>
      </c>
      <c r="C582">
        <f>COUNTIFS(data!D:D,data!$I$2,data!F:F,"&gt;="&amp;B582)</f>
        <v>355</v>
      </c>
      <c r="D582">
        <f>COUNTIFS(data!D:D,data!$J$2,data!F:F,"&gt;="&amp;B582)</f>
        <v>226</v>
      </c>
      <c r="E582">
        <f>COUNTIFS(data!D:D,data!$J$2,data!F:F,"&lt;"&amp;B582)</f>
        <v>497</v>
      </c>
      <c r="F582">
        <f>COUNTIFS(data!D:D,data!$I$2,data!F:F,"&lt;"&amp;B582)</f>
        <v>179</v>
      </c>
      <c r="G582">
        <f t="shared" si="54"/>
        <v>0.31258644536652835</v>
      </c>
      <c r="H582">
        <f t="shared" si="55"/>
        <v>0.66479400749063666</v>
      </c>
      <c r="I582">
        <f t="shared" si="59"/>
        <v>0</v>
      </c>
      <c r="J582">
        <f t="shared" si="56"/>
        <v>0.61101549053356286</v>
      </c>
      <c r="K582">
        <f t="shared" si="57"/>
        <v>0.63677130044843056</v>
      </c>
      <c r="L582">
        <f>A582*COUNTIF(data!D:D,data!$I$2)/data!$L$2</f>
        <v>246.82100238663483</v>
      </c>
      <c r="M582" s="1">
        <f>A582/data!$L$2</f>
        <v>0.46221161495624502</v>
      </c>
      <c r="N582">
        <f t="shared" si="58"/>
        <v>1.4382892726604655</v>
      </c>
    </row>
    <row r="583" spans="1:14" x14ac:dyDescent="0.2">
      <c r="A583">
        <v>582</v>
      </c>
      <c r="B583">
        <f>LARGE(data!F:F,A583)</f>
        <v>0.43869893580000002</v>
      </c>
      <c r="C583">
        <f>COUNTIFS(data!D:D,data!$I$2,data!F:F,"&gt;="&amp;B583)</f>
        <v>355</v>
      </c>
      <c r="D583">
        <f>COUNTIFS(data!D:D,data!$J$2,data!F:F,"&gt;="&amp;B583)</f>
        <v>227</v>
      </c>
      <c r="E583">
        <f>COUNTIFS(data!D:D,data!$J$2,data!F:F,"&lt;"&amp;B583)</f>
        <v>496</v>
      </c>
      <c r="F583">
        <f>COUNTIFS(data!D:D,data!$I$2,data!F:F,"&lt;"&amp;B583)</f>
        <v>179</v>
      </c>
      <c r="G583">
        <f t="shared" si="54"/>
        <v>0.31396957123098201</v>
      </c>
      <c r="H583">
        <f t="shared" si="55"/>
        <v>0.66479400749063666</v>
      </c>
      <c r="I583">
        <f t="shared" si="59"/>
        <v>9.1949378629409999E-4</v>
      </c>
      <c r="J583">
        <f t="shared" si="56"/>
        <v>0.60996563573883167</v>
      </c>
      <c r="K583">
        <f t="shared" si="57"/>
        <v>0.6362007168458782</v>
      </c>
      <c r="L583">
        <f>A583*COUNTIF(data!D:D,data!$I$2)/data!$L$2</f>
        <v>247.24582338902147</v>
      </c>
      <c r="M583" s="1">
        <f>A583/data!$L$2</f>
        <v>0.46300715990453462</v>
      </c>
      <c r="N583">
        <f t="shared" si="58"/>
        <v>1.4358179852503958</v>
      </c>
    </row>
    <row r="584" spans="1:14" x14ac:dyDescent="0.2">
      <c r="A584">
        <v>583</v>
      </c>
      <c r="B584">
        <f>LARGE(data!F:F,A584)</f>
        <v>0.4376497023</v>
      </c>
      <c r="C584">
        <f>COUNTIFS(data!D:D,data!$I$2,data!F:F,"&gt;="&amp;B584)</f>
        <v>355</v>
      </c>
      <c r="D584">
        <f>COUNTIFS(data!D:D,data!$J$2,data!F:F,"&gt;="&amp;B584)</f>
        <v>228</v>
      </c>
      <c r="E584">
        <f>COUNTIFS(data!D:D,data!$J$2,data!F:F,"&lt;"&amp;B584)</f>
        <v>495</v>
      </c>
      <c r="F584">
        <f>COUNTIFS(data!D:D,data!$I$2,data!F:F,"&lt;"&amp;B584)</f>
        <v>179</v>
      </c>
      <c r="G584">
        <f t="shared" si="54"/>
        <v>0.31535269709543567</v>
      </c>
      <c r="H584">
        <f t="shared" si="55"/>
        <v>0.66479400749063666</v>
      </c>
      <c r="I584">
        <f t="shared" si="59"/>
        <v>9.1949378629409999E-4</v>
      </c>
      <c r="J584">
        <f t="shared" si="56"/>
        <v>0.60891938250428812</v>
      </c>
      <c r="K584">
        <f t="shared" si="57"/>
        <v>0.63563115487914057</v>
      </c>
      <c r="L584">
        <f>A584*COUNTIF(data!D:D,data!$I$2)/data!$L$2</f>
        <v>247.6706443914081</v>
      </c>
      <c r="M584" s="1">
        <f>A584/data!$L$2</f>
        <v>0.46380270485282421</v>
      </c>
      <c r="N584">
        <f t="shared" si="58"/>
        <v>1.4333551756702065</v>
      </c>
    </row>
    <row r="585" spans="1:14" x14ac:dyDescent="0.2">
      <c r="A585">
        <v>584</v>
      </c>
      <c r="B585">
        <f>LARGE(data!F:F,A585)</f>
        <v>0.43710596410000002</v>
      </c>
      <c r="C585">
        <f>COUNTIFS(data!D:D,data!$I$2,data!F:F,"&gt;="&amp;B585)</f>
        <v>356</v>
      </c>
      <c r="D585">
        <f>COUNTIFS(data!D:D,data!$J$2,data!F:F,"&gt;="&amp;B585)</f>
        <v>228</v>
      </c>
      <c r="E585">
        <f>COUNTIFS(data!D:D,data!$J$2,data!F:F,"&lt;"&amp;B585)</f>
        <v>495</v>
      </c>
      <c r="F585">
        <f>COUNTIFS(data!D:D,data!$I$2,data!F:F,"&lt;"&amp;B585)</f>
        <v>178</v>
      </c>
      <c r="G585">
        <f t="shared" si="54"/>
        <v>0.31535269709543567</v>
      </c>
      <c r="H585">
        <f t="shared" si="55"/>
        <v>0.66666666666666663</v>
      </c>
      <c r="I585">
        <f t="shared" si="59"/>
        <v>0</v>
      </c>
      <c r="J585">
        <f t="shared" si="56"/>
        <v>0.6095890410958904</v>
      </c>
      <c r="K585">
        <f t="shared" si="57"/>
        <v>0.63685152057245087</v>
      </c>
      <c r="L585">
        <f>A585*COUNTIF(data!D:D,data!$I$2)/data!$L$2</f>
        <v>248.09546539379474</v>
      </c>
      <c r="M585" s="1">
        <f>A585/data!$L$2</f>
        <v>0.46459824980111375</v>
      </c>
      <c r="N585">
        <f t="shared" si="58"/>
        <v>1.4349315068493151</v>
      </c>
    </row>
    <row r="586" spans="1:14" x14ac:dyDescent="0.2">
      <c r="A586">
        <v>585</v>
      </c>
      <c r="B586">
        <f>LARGE(data!F:F,A586)</f>
        <v>0.43676268899999998</v>
      </c>
      <c r="C586">
        <f>COUNTIFS(data!D:D,data!$I$2,data!F:F,"&gt;="&amp;B586)</f>
        <v>356</v>
      </c>
      <c r="D586">
        <f>COUNTIFS(data!D:D,data!$J$2,data!F:F,"&gt;="&amp;B586)</f>
        <v>229</v>
      </c>
      <c r="E586">
        <f>COUNTIFS(data!D:D,data!$J$2,data!F:F,"&lt;"&amp;B586)</f>
        <v>494</v>
      </c>
      <c r="F586">
        <f>COUNTIFS(data!D:D,data!$I$2,data!F:F,"&lt;"&amp;B586)</f>
        <v>178</v>
      </c>
      <c r="G586">
        <f t="shared" si="54"/>
        <v>0.31673582295988933</v>
      </c>
      <c r="H586">
        <f t="shared" si="55"/>
        <v>0.66666666666666663</v>
      </c>
      <c r="I586">
        <f t="shared" si="59"/>
        <v>9.2208390963577358E-4</v>
      </c>
      <c r="J586">
        <f t="shared" si="56"/>
        <v>0.60854700854700849</v>
      </c>
      <c r="K586">
        <f t="shared" si="57"/>
        <v>0.63628239499553163</v>
      </c>
      <c r="L586">
        <f>A586*COUNTIF(data!D:D,data!$I$2)/data!$L$2</f>
        <v>248.52028639618138</v>
      </c>
      <c r="M586" s="1">
        <f>A586/data!$L$2</f>
        <v>0.46539379474940334</v>
      </c>
      <c r="N586">
        <f t="shared" si="58"/>
        <v>1.4324786324786325</v>
      </c>
    </row>
    <row r="587" spans="1:14" x14ac:dyDescent="0.2">
      <c r="A587">
        <v>586</v>
      </c>
      <c r="B587">
        <f>LARGE(data!F:F,A587)</f>
        <v>0.43674312939999999</v>
      </c>
      <c r="C587">
        <f>COUNTIFS(data!D:D,data!$I$2,data!F:F,"&gt;="&amp;B587)</f>
        <v>356</v>
      </c>
      <c r="D587">
        <f>COUNTIFS(data!D:D,data!$J$2,data!F:F,"&gt;="&amp;B587)</f>
        <v>230</v>
      </c>
      <c r="E587">
        <f>COUNTIFS(data!D:D,data!$J$2,data!F:F,"&lt;"&amp;B587)</f>
        <v>493</v>
      </c>
      <c r="F587">
        <f>COUNTIFS(data!D:D,data!$I$2,data!F:F,"&lt;"&amp;B587)</f>
        <v>178</v>
      </c>
      <c r="G587">
        <f t="shared" si="54"/>
        <v>0.318118948824343</v>
      </c>
      <c r="H587">
        <f t="shared" si="55"/>
        <v>0.66666666666666663</v>
      </c>
      <c r="I587">
        <f t="shared" si="59"/>
        <v>9.2208390963577358E-4</v>
      </c>
      <c r="J587">
        <f t="shared" si="56"/>
        <v>0.60750853242320824</v>
      </c>
      <c r="K587">
        <f t="shared" si="57"/>
        <v>0.63571428571428568</v>
      </c>
      <c r="L587">
        <f>A587*COUNTIF(data!D:D,data!$I$2)/data!$L$2</f>
        <v>248.94510739856801</v>
      </c>
      <c r="M587" s="1">
        <f>A587/data!$L$2</f>
        <v>0.46618933969769294</v>
      </c>
      <c r="N587">
        <f t="shared" si="58"/>
        <v>1.4300341296928327</v>
      </c>
    </row>
    <row r="588" spans="1:14" x14ac:dyDescent="0.2">
      <c r="A588">
        <v>587</v>
      </c>
      <c r="B588">
        <f>LARGE(data!F:F,A588)</f>
        <v>0.43615046699999999</v>
      </c>
      <c r="C588">
        <f>COUNTIFS(data!D:D,data!$I$2,data!F:F,"&gt;="&amp;B588)</f>
        <v>356</v>
      </c>
      <c r="D588">
        <f>COUNTIFS(data!D:D,data!$J$2,data!F:F,"&gt;="&amp;B588)</f>
        <v>231</v>
      </c>
      <c r="E588">
        <f>COUNTIFS(data!D:D,data!$J$2,data!F:F,"&lt;"&amp;B588)</f>
        <v>492</v>
      </c>
      <c r="F588">
        <f>COUNTIFS(data!D:D,data!$I$2,data!F:F,"&lt;"&amp;B588)</f>
        <v>178</v>
      </c>
      <c r="G588">
        <f t="shared" si="54"/>
        <v>0.31950207468879666</v>
      </c>
      <c r="H588">
        <f t="shared" si="55"/>
        <v>0.66666666666666663</v>
      </c>
      <c r="I588">
        <f t="shared" si="59"/>
        <v>9.2208390963577358E-4</v>
      </c>
      <c r="J588">
        <f t="shared" si="56"/>
        <v>0.60647359454855199</v>
      </c>
      <c r="K588">
        <f t="shared" si="57"/>
        <v>0.63514719000892061</v>
      </c>
      <c r="L588">
        <f>A588*COUNTIF(data!D:D,data!$I$2)/data!$L$2</f>
        <v>249.36992840095465</v>
      </c>
      <c r="M588" s="1">
        <f>A588/data!$L$2</f>
        <v>0.46698488464598248</v>
      </c>
      <c r="N588">
        <f t="shared" si="58"/>
        <v>1.4275979557069847</v>
      </c>
    </row>
    <row r="589" spans="1:14" x14ac:dyDescent="0.2">
      <c r="A589">
        <v>588</v>
      </c>
      <c r="B589">
        <f>LARGE(data!F:F,A589)</f>
        <v>0.43568431089999998</v>
      </c>
      <c r="C589">
        <f>COUNTIFS(data!D:D,data!$I$2,data!F:F,"&gt;="&amp;B589)</f>
        <v>359</v>
      </c>
      <c r="D589">
        <f>COUNTIFS(data!D:D,data!$J$2,data!F:F,"&gt;="&amp;B589)</f>
        <v>231</v>
      </c>
      <c r="E589">
        <f>COUNTIFS(data!D:D,data!$J$2,data!F:F,"&lt;"&amp;B589)</f>
        <v>492</v>
      </c>
      <c r="F589">
        <f>COUNTIFS(data!D:D,data!$I$2,data!F:F,"&lt;"&amp;B589)</f>
        <v>175</v>
      </c>
      <c r="G589">
        <f t="shared" si="54"/>
        <v>0.31950207468879666</v>
      </c>
      <c r="H589">
        <f t="shared" si="55"/>
        <v>0.67228464419475653</v>
      </c>
      <c r="I589">
        <f t="shared" si="59"/>
        <v>0</v>
      </c>
      <c r="J589">
        <f t="shared" si="56"/>
        <v>0.6084745762711864</v>
      </c>
      <c r="K589">
        <f t="shared" si="57"/>
        <v>0.6387900355871885</v>
      </c>
      <c r="L589">
        <f>A589*COUNTIF(data!D:D,data!$I$2)/data!$L$2</f>
        <v>249.79474940334129</v>
      </c>
      <c r="M589" s="1">
        <f>A589/data!$L$2</f>
        <v>0.46778042959427207</v>
      </c>
      <c r="N589">
        <f t="shared" si="58"/>
        <v>1.4371799281510358</v>
      </c>
    </row>
    <row r="590" spans="1:14" x14ac:dyDescent="0.2">
      <c r="A590">
        <v>589</v>
      </c>
      <c r="B590">
        <f>LARGE(data!F:F,A590)</f>
        <v>0.43568431089999998</v>
      </c>
      <c r="C590">
        <f>COUNTIFS(data!D:D,data!$I$2,data!F:F,"&gt;="&amp;B590)</f>
        <v>359</v>
      </c>
      <c r="D590">
        <f>COUNTIFS(data!D:D,data!$J$2,data!F:F,"&gt;="&amp;B590)</f>
        <v>231</v>
      </c>
      <c r="E590">
        <f>COUNTIFS(data!D:D,data!$J$2,data!F:F,"&lt;"&amp;B590)</f>
        <v>492</v>
      </c>
      <c r="F590">
        <f>COUNTIFS(data!D:D,data!$I$2,data!F:F,"&lt;"&amp;B590)</f>
        <v>175</v>
      </c>
      <c r="G590">
        <f t="shared" si="54"/>
        <v>0.31950207468879666</v>
      </c>
      <c r="H590">
        <f t="shared" si="55"/>
        <v>0.67228464419475653</v>
      </c>
      <c r="I590">
        <f t="shared" si="59"/>
        <v>0</v>
      </c>
      <c r="J590">
        <f t="shared" si="56"/>
        <v>0.6084745762711864</v>
      </c>
      <c r="K590">
        <f t="shared" si="57"/>
        <v>0.6387900355871885</v>
      </c>
      <c r="L590">
        <f>A590*COUNTIF(data!D:D,data!$I$2)/data!$L$2</f>
        <v>250.21957040572792</v>
      </c>
      <c r="M590" s="1">
        <f>A590/data!$L$2</f>
        <v>0.46857597454256167</v>
      </c>
      <c r="N590">
        <f t="shared" si="58"/>
        <v>1.434739894317163</v>
      </c>
    </row>
    <row r="591" spans="1:14" x14ac:dyDescent="0.2">
      <c r="A591">
        <v>590</v>
      </c>
      <c r="B591">
        <f>LARGE(data!F:F,A591)</f>
        <v>0.43568431089999998</v>
      </c>
      <c r="C591">
        <f>COUNTIFS(data!D:D,data!$I$2,data!F:F,"&gt;="&amp;B591)</f>
        <v>359</v>
      </c>
      <c r="D591">
        <f>COUNTIFS(data!D:D,data!$J$2,data!F:F,"&gt;="&amp;B591)</f>
        <v>231</v>
      </c>
      <c r="E591">
        <f>COUNTIFS(data!D:D,data!$J$2,data!F:F,"&lt;"&amp;B591)</f>
        <v>492</v>
      </c>
      <c r="F591">
        <f>COUNTIFS(data!D:D,data!$I$2,data!F:F,"&lt;"&amp;B591)</f>
        <v>175</v>
      </c>
      <c r="G591">
        <f t="shared" si="54"/>
        <v>0.31950207468879666</v>
      </c>
      <c r="H591">
        <f t="shared" si="55"/>
        <v>0.67228464419475653</v>
      </c>
      <c r="I591">
        <f t="shared" si="59"/>
        <v>0</v>
      </c>
      <c r="J591">
        <f t="shared" si="56"/>
        <v>0.6084745762711864</v>
      </c>
      <c r="K591">
        <f t="shared" si="57"/>
        <v>0.6387900355871885</v>
      </c>
      <c r="L591">
        <f>A591*COUNTIF(data!D:D,data!$I$2)/data!$L$2</f>
        <v>250.64439140811456</v>
      </c>
      <c r="M591" s="1">
        <f>A591/data!$L$2</f>
        <v>0.46937151949085121</v>
      </c>
      <c r="N591">
        <f t="shared" si="58"/>
        <v>1.432308131784422</v>
      </c>
    </row>
    <row r="592" spans="1:14" x14ac:dyDescent="0.2">
      <c r="A592">
        <v>591</v>
      </c>
      <c r="B592">
        <f>LARGE(data!F:F,A592)</f>
        <v>0.43548070979999998</v>
      </c>
      <c r="C592">
        <f>COUNTIFS(data!D:D,data!$I$2,data!F:F,"&gt;="&amp;B592)</f>
        <v>360</v>
      </c>
      <c r="D592">
        <f>COUNTIFS(data!D:D,data!$J$2,data!F:F,"&gt;="&amp;B592)</f>
        <v>231</v>
      </c>
      <c r="E592">
        <f>COUNTIFS(data!D:D,data!$J$2,data!F:F,"&lt;"&amp;B592)</f>
        <v>492</v>
      </c>
      <c r="F592">
        <f>COUNTIFS(data!D:D,data!$I$2,data!F:F,"&lt;"&amp;B592)</f>
        <v>174</v>
      </c>
      <c r="G592">
        <f t="shared" si="54"/>
        <v>0.31950207468879666</v>
      </c>
      <c r="H592">
        <f t="shared" si="55"/>
        <v>0.6741573033707865</v>
      </c>
      <c r="I592">
        <f t="shared" si="59"/>
        <v>0</v>
      </c>
      <c r="J592">
        <f t="shared" si="56"/>
        <v>0.6091370558375635</v>
      </c>
      <c r="K592">
        <f t="shared" si="57"/>
        <v>0.64</v>
      </c>
      <c r="L592">
        <f>A592*COUNTIF(data!D:D,data!$I$2)/data!$L$2</f>
        <v>251.06921241050119</v>
      </c>
      <c r="M592" s="1">
        <f>A592/data!$L$2</f>
        <v>0.4701670644391408</v>
      </c>
      <c r="N592">
        <f t="shared" si="58"/>
        <v>1.4338675640221297</v>
      </c>
    </row>
    <row r="593" spans="1:14" x14ac:dyDescent="0.2">
      <c r="A593">
        <v>592</v>
      </c>
      <c r="B593">
        <f>LARGE(data!F:F,A593)</f>
        <v>0.43478606549999999</v>
      </c>
      <c r="C593">
        <f>COUNTIFS(data!D:D,data!$I$2,data!F:F,"&gt;="&amp;B593)</f>
        <v>360</v>
      </c>
      <c r="D593">
        <f>COUNTIFS(data!D:D,data!$J$2,data!F:F,"&gt;="&amp;B593)</f>
        <v>232</v>
      </c>
      <c r="E593">
        <f>COUNTIFS(data!D:D,data!$J$2,data!F:F,"&lt;"&amp;B593)</f>
        <v>491</v>
      </c>
      <c r="F593">
        <f>COUNTIFS(data!D:D,data!$I$2,data!F:F,"&lt;"&amp;B593)</f>
        <v>174</v>
      </c>
      <c r="G593">
        <f t="shared" si="54"/>
        <v>0.32088520055325037</v>
      </c>
      <c r="H593">
        <f t="shared" si="55"/>
        <v>0.6741573033707865</v>
      </c>
      <c r="I593">
        <f t="shared" si="59"/>
        <v>9.3244440300250511E-4</v>
      </c>
      <c r="J593">
        <f t="shared" si="56"/>
        <v>0.60810810810810811</v>
      </c>
      <c r="K593">
        <f t="shared" si="57"/>
        <v>0.63943161634103007</v>
      </c>
      <c r="L593">
        <f>A593*COUNTIF(data!D:D,data!$I$2)/data!$L$2</f>
        <v>251.49403341288783</v>
      </c>
      <c r="M593" s="1">
        <f>A593/data!$L$2</f>
        <v>0.4709626093874304</v>
      </c>
      <c r="N593">
        <f t="shared" si="58"/>
        <v>1.4314454904342544</v>
      </c>
    </row>
    <row r="594" spans="1:14" x14ac:dyDescent="0.2">
      <c r="A594">
        <v>593</v>
      </c>
      <c r="B594">
        <f>LARGE(data!F:F,A594)</f>
        <v>0.43443379609999999</v>
      </c>
      <c r="C594">
        <f>COUNTIFS(data!D:D,data!$I$2,data!F:F,"&gt;="&amp;B594)</f>
        <v>360</v>
      </c>
      <c r="D594">
        <f>COUNTIFS(data!D:D,data!$J$2,data!F:F,"&gt;="&amp;B594)</f>
        <v>233</v>
      </c>
      <c r="E594">
        <f>COUNTIFS(data!D:D,data!$J$2,data!F:F,"&lt;"&amp;B594)</f>
        <v>490</v>
      </c>
      <c r="F594">
        <f>COUNTIFS(data!D:D,data!$I$2,data!F:F,"&lt;"&amp;B594)</f>
        <v>174</v>
      </c>
      <c r="G594">
        <f t="shared" si="54"/>
        <v>0.32226832641770403</v>
      </c>
      <c r="H594">
        <f t="shared" si="55"/>
        <v>0.6741573033707865</v>
      </c>
      <c r="I594">
        <f t="shared" si="59"/>
        <v>9.324444030024676E-4</v>
      </c>
      <c r="J594">
        <f t="shared" si="56"/>
        <v>0.60708263069139967</v>
      </c>
      <c r="K594">
        <f t="shared" si="57"/>
        <v>0.63886424134871345</v>
      </c>
      <c r="L594">
        <f>A594*COUNTIF(data!D:D,data!$I$2)/data!$L$2</f>
        <v>251.91885441527447</v>
      </c>
      <c r="M594" s="1">
        <f>A594/data!$L$2</f>
        <v>0.47175815433571999</v>
      </c>
      <c r="N594">
        <f t="shared" si="58"/>
        <v>1.4290315857286318</v>
      </c>
    </row>
    <row r="595" spans="1:14" x14ac:dyDescent="0.2">
      <c r="A595">
        <v>594</v>
      </c>
      <c r="B595">
        <f>LARGE(data!F:F,A595)</f>
        <v>0.43326079169999998</v>
      </c>
      <c r="C595">
        <f>COUNTIFS(data!D:D,data!$I$2,data!F:F,"&gt;="&amp;B595)</f>
        <v>361</v>
      </c>
      <c r="D595">
        <f>COUNTIFS(data!D:D,data!$J$2,data!F:F,"&gt;="&amp;B595)</f>
        <v>233</v>
      </c>
      <c r="E595">
        <f>COUNTIFS(data!D:D,data!$J$2,data!F:F,"&lt;"&amp;B595)</f>
        <v>490</v>
      </c>
      <c r="F595">
        <f>COUNTIFS(data!D:D,data!$I$2,data!F:F,"&lt;"&amp;B595)</f>
        <v>173</v>
      </c>
      <c r="G595">
        <f t="shared" si="54"/>
        <v>0.32226832641770403</v>
      </c>
      <c r="H595">
        <f t="shared" si="55"/>
        <v>0.67602996254681647</v>
      </c>
      <c r="I595">
        <f t="shared" si="59"/>
        <v>0</v>
      </c>
      <c r="J595">
        <f t="shared" si="56"/>
        <v>0.6077441077441077</v>
      </c>
      <c r="K595">
        <f t="shared" si="57"/>
        <v>0.64007092198581561</v>
      </c>
      <c r="L595">
        <f>A595*COUNTIF(data!D:D,data!$I$2)/data!$L$2</f>
        <v>252.3436754176611</v>
      </c>
      <c r="M595" s="1">
        <f>A595/data!$L$2</f>
        <v>0.47255369928400953</v>
      </c>
      <c r="N595">
        <f t="shared" si="58"/>
        <v>1.430588658116748</v>
      </c>
    </row>
    <row r="596" spans="1:14" x14ac:dyDescent="0.2">
      <c r="A596">
        <v>595</v>
      </c>
      <c r="B596">
        <f>LARGE(data!F:F,A596)</f>
        <v>0.43303946780000002</v>
      </c>
      <c r="C596">
        <f>COUNTIFS(data!D:D,data!$I$2,data!F:F,"&gt;="&amp;B596)</f>
        <v>361</v>
      </c>
      <c r="D596">
        <f>COUNTIFS(data!D:D,data!$J$2,data!F:F,"&gt;="&amp;B596)</f>
        <v>234</v>
      </c>
      <c r="E596">
        <f>COUNTIFS(data!D:D,data!$J$2,data!F:F,"&lt;"&amp;B596)</f>
        <v>489</v>
      </c>
      <c r="F596">
        <f>COUNTIFS(data!D:D,data!$I$2,data!F:F,"&lt;"&amp;B596)</f>
        <v>173</v>
      </c>
      <c r="G596">
        <f t="shared" si="54"/>
        <v>0.32365145228215769</v>
      </c>
      <c r="H596">
        <f t="shared" si="55"/>
        <v>0.67602996254681647</v>
      </c>
      <c r="I596">
        <f t="shared" si="59"/>
        <v>9.3503452634414118E-4</v>
      </c>
      <c r="J596">
        <f t="shared" si="56"/>
        <v>0.60672268907563021</v>
      </c>
      <c r="K596">
        <f t="shared" si="57"/>
        <v>0.63950398582816659</v>
      </c>
      <c r="L596">
        <f>A596*COUNTIF(data!D:D,data!$I$2)/data!$L$2</f>
        <v>252.76849642004774</v>
      </c>
      <c r="M596" s="1">
        <f>A596/data!$L$2</f>
        <v>0.47334924423229913</v>
      </c>
      <c r="N596">
        <f t="shared" si="58"/>
        <v>1.4281843074308376</v>
      </c>
    </row>
    <row r="597" spans="1:14" x14ac:dyDescent="0.2">
      <c r="A597">
        <v>596</v>
      </c>
      <c r="B597">
        <f>LARGE(data!F:F,A597)</f>
        <v>0.43292584150000002</v>
      </c>
      <c r="C597">
        <f>COUNTIFS(data!D:D,data!$I$2,data!F:F,"&gt;="&amp;B597)</f>
        <v>361</v>
      </c>
      <c r="D597">
        <f>COUNTIFS(data!D:D,data!$J$2,data!F:F,"&gt;="&amp;B597)</f>
        <v>235</v>
      </c>
      <c r="E597">
        <f>COUNTIFS(data!D:D,data!$J$2,data!F:F,"&lt;"&amp;B597)</f>
        <v>488</v>
      </c>
      <c r="F597">
        <f>COUNTIFS(data!D:D,data!$I$2,data!F:F,"&lt;"&amp;B597)</f>
        <v>173</v>
      </c>
      <c r="G597">
        <f t="shared" si="54"/>
        <v>0.32503457814661135</v>
      </c>
      <c r="H597">
        <f t="shared" si="55"/>
        <v>0.67602996254681647</v>
      </c>
      <c r="I597">
        <f t="shared" si="59"/>
        <v>9.3503452634414118E-4</v>
      </c>
      <c r="J597">
        <f t="shared" si="56"/>
        <v>0.60570469798657722</v>
      </c>
      <c r="K597">
        <f t="shared" si="57"/>
        <v>0.63893805309734519</v>
      </c>
      <c r="L597">
        <f>A597*COUNTIF(data!D:D,data!$I$2)/data!$L$2</f>
        <v>253.19331742243438</v>
      </c>
      <c r="M597" s="1">
        <f>A597/data!$L$2</f>
        <v>0.47414478918058872</v>
      </c>
      <c r="N597">
        <f t="shared" si="58"/>
        <v>1.4257880250358193</v>
      </c>
    </row>
    <row r="598" spans="1:14" x14ac:dyDescent="0.2">
      <c r="A598">
        <v>597</v>
      </c>
      <c r="B598">
        <f>LARGE(data!F:F,A598)</f>
        <v>0.43133795559999999</v>
      </c>
      <c r="C598">
        <f>COUNTIFS(data!D:D,data!$I$2,data!F:F,"&gt;="&amp;B598)</f>
        <v>361</v>
      </c>
      <c r="D598">
        <f>COUNTIFS(data!D:D,data!$J$2,data!F:F,"&gt;="&amp;B598)</f>
        <v>236</v>
      </c>
      <c r="E598">
        <f>COUNTIFS(data!D:D,data!$J$2,data!F:F,"&lt;"&amp;B598)</f>
        <v>487</v>
      </c>
      <c r="F598">
        <f>COUNTIFS(data!D:D,data!$I$2,data!F:F,"&lt;"&amp;B598)</f>
        <v>173</v>
      </c>
      <c r="G598">
        <f t="shared" si="54"/>
        <v>0.32641770401106501</v>
      </c>
      <c r="H598">
        <f t="shared" si="55"/>
        <v>0.67602996254681647</v>
      </c>
      <c r="I598">
        <f t="shared" si="59"/>
        <v>9.3503452634414118E-4</v>
      </c>
      <c r="J598">
        <f t="shared" si="56"/>
        <v>0.60469011725293131</v>
      </c>
      <c r="K598">
        <f t="shared" si="57"/>
        <v>0.63837312113174183</v>
      </c>
      <c r="L598">
        <f>A598*COUNTIF(data!D:D,data!$I$2)/data!$L$2</f>
        <v>253.61813842482101</v>
      </c>
      <c r="M598" s="1">
        <f>A598/data!$L$2</f>
        <v>0.47494033412887826</v>
      </c>
      <c r="N598">
        <f t="shared" si="58"/>
        <v>1.4233997703875181</v>
      </c>
    </row>
    <row r="599" spans="1:14" x14ac:dyDescent="0.2">
      <c r="A599">
        <v>598</v>
      </c>
      <c r="B599">
        <f>LARGE(data!F:F,A599)</f>
        <v>0.43033896449999998</v>
      </c>
      <c r="C599">
        <f>COUNTIFS(data!D:D,data!$I$2,data!F:F,"&gt;="&amp;B599)</f>
        <v>362</v>
      </c>
      <c r="D599">
        <f>COUNTIFS(data!D:D,data!$J$2,data!F:F,"&gt;="&amp;B599)</f>
        <v>236</v>
      </c>
      <c r="E599">
        <f>COUNTIFS(data!D:D,data!$J$2,data!F:F,"&lt;"&amp;B599)</f>
        <v>487</v>
      </c>
      <c r="F599">
        <f>COUNTIFS(data!D:D,data!$I$2,data!F:F,"&lt;"&amp;B599)</f>
        <v>172</v>
      </c>
      <c r="G599">
        <f t="shared" si="54"/>
        <v>0.32641770401106501</v>
      </c>
      <c r="H599">
        <f t="shared" si="55"/>
        <v>0.67790262172284643</v>
      </c>
      <c r="I599">
        <f t="shared" si="59"/>
        <v>0</v>
      </c>
      <c r="J599">
        <f t="shared" si="56"/>
        <v>0.60535117056856191</v>
      </c>
      <c r="K599">
        <f t="shared" si="57"/>
        <v>0.63957597173144887</v>
      </c>
      <c r="L599">
        <f>A599*COUNTIF(data!D:D,data!$I$2)/data!$L$2</f>
        <v>254.04295942720765</v>
      </c>
      <c r="M599" s="1">
        <f>A599/data!$L$2</f>
        <v>0.47573587907716786</v>
      </c>
      <c r="N599">
        <f t="shared" si="58"/>
        <v>1.4249558453271203</v>
      </c>
    </row>
    <row r="600" spans="1:14" x14ac:dyDescent="0.2">
      <c r="A600">
        <v>599</v>
      </c>
      <c r="B600">
        <f>LARGE(data!F:F,A600)</f>
        <v>0.42978169980000003</v>
      </c>
      <c r="C600">
        <f>COUNTIFS(data!D:D,data!$I$2,data!F:F,"&gt;="&amp;B600)</f>
        <v>362</v>
      </c>
      <c r="D600">
        <f>COUNTIFS(data!D:D,data!$J$2,data!F:F,"&gt;="&amp;B600)</f>
        <v>237</v>
      </c>
      <c r="E600">
        <f>COUNTIFS(data!D:D,data!$J$2,data!F:F,"&lt;"&amp;B600)</f>
        <v>486</v>
      </c>
      <c r="F600">
        <f>COUNTIFS(data!D:D,data!$I$2,data!F:F,"&lt;"&amp;B600)</f>
        <v>172</v>
      </c>
      <c r="G600">
        <f t="shared" si="54"/>
        <v>0.32780082987551867</v>
      </c>
      <c r="H600">
        <f t="shared" si="55"/>
        <v>0.67790262172284643</v>
      </c>
      <c r="I600">
        <f t="shared" si="59"/>
        <v>9.3762464968581466E-4</v>
      </c>
      <c r="J600">
        <f t="shared" si="56"/>
        <v>0.60434056761268784</v>
      </c>
      <c r="K600">
        <f t="shared" si="57"/>
        <v>0.63901147396293034</v>
      </c>
      <c r="L600">
        <f>A600*COUNTIF(data!D:D,data!$I$2)/data!$L$2</f>
        <v>254.46778042959428</v>
      </c>
      <c r="M600" s="1">
        <f>A600/data!$L$2</f>
        <v>0.47653142402545745</v>
      </c>
      <c r="N600">
        <f t="shared" si="58"/>
        <v>1.422576954099529</v>
      </c>
    </row>
    <row r="601" spans="1:14" x14ac:dyDescent="0.2">
      <c r="A601">
        <v>600</v>
      </c>
      <c r="B601">
        <f>LARGE(data!F:F,A601)</f>
        <v>0.42976985600000001</v>
      </c>
      <c r="C601">
        <f>COUNTIFS(data!D:D,data!$I$2,data!F:F,"&gt;="&amp;B601)</f>
        <v>362</v>
      </c>
      <c r="D601">
        <f>COUNTIFS(data!D:D,data!$J$2,data!F:F,"&gt;="&amp;B601)</f>
        <v>238</v>
      </c>
      <c r="E601">
        <f>COUNTIFS(data!D:D,data!$J$2,data!F:F,"&lt;"&amp;B601)</f>
        <v>485</v>
      </c>
      <c r="F601">
        <f>COUNTIFS(data!D:D,data!$I$2,data!F:F,"&lt;"&amp;B601)</f>
        <v>172</v>
      </c>
      <c r="G601">
        <f t="shared" si="54"/>
        <v>0.32918395573997233</v>
      </c>
      <c r="H601">
        <f t="shared" si="55"/>
        <v>0.67790262172284643</v>
      </c>
      <c r="I601">
        <f t="shared" si="59"/>
        <v>9.3762464968581466E-4</v>
      </c>
      <c r="J601">
        <f t="shared" si="56"/>
        <v>0.60333333333333339</v>
      </c>
      <c r="K601">
        <f t="shared" si="57"/>
        <v>0.63844797178130519</v>
      </c>
      <c r="L601">
        <f>A601*COUNTIF(data!D:D,data!$I$2)/data!$L$2</f>
        <v>254.89260143198089</v>
      </c>
      <c r="M601" s="1">
        <f>A601/data!$L$2</f>
        <v>0.47732696897374699</v>
      </c>
      <c r="N601">
        <f t="shared" si="58"/>
        <v>1.4202059925093633</v>
      </c>
    </row>
    <row r="602" spans="1:14" x14ac:dyDescent="0.2">
      <c r="A602">
        <v>601</v>
      </c>
      <c r="B602">
        <f>LARGE(data!F:F,A602)</f>
        <v>0.4289865363</v>
      </c>
      <c r="C602">
        <f>COUNTIFS(data!D:D,data!$I$2,data!F:F,"&gt;="&amp;B602)</f>
        <v>362</v>
      </c>
      <c r="D602">
        <f>COUNTIFS(data!D:D,data!$J$2,data!F:F,"&gt;="&amp;B602)</f>
        <v>239</v>
      </c>
      <c r="E602">
        <f>COUNTIFS(data!D:D,data!$J$2,data!F:F,"&lt;"&amp;B602)</f>
        <v>484</v>
      </c>
      <c r="F602">
        <f>COUNTIFS(data!D:D,data!$I$2,data!F:F,"&lt;"&amp;B602)</f>
        <v>172</v>
      </c>
      <c r="G602">
        <f t="shared" si="54"/>
        <v>0.33056708160442599</v>
      </c>
      <c r="H602">
        <f t="shared" si="55"/>
        <v>0.67790262172284643</v>
      </c>
      <c r="I602">
        <f t="shared" si="59"/>
        <v>9.3762464968581466E-4</v>
      </c>
      <c r="J602">
        <f t="shared" si="56"/>
        <v>0.60232945091514145</v>
      </c>
      <c r="K602">
        <f t="shared" si="57"/>
        <v>0.63788546255506606</v>
      </c>
      <c r="L602">
        <f>A602*COUNTIF(data!D:D,data!$I$2)/data!$L$2</f>
        <v>255.31742243436753</v>
      </c>
      <c r="M602" s="1">
        <f>A602/data!$L$2</f>
        <v>0.47812251392203658</v>
      </c>
      <c r="N602">
        <f t="shared" si="58"/>
        <v>1.4178429209744061</v>
      </c>
    </row>
    <row r="603" spans="1:14" x14ac:dyDescent="0.2">
      <c r="A603">
        <v>602</v>
      </c>
      <c r="B603">
        <f>LARGE(data!F:F,A603)</f>
        <v>0.42894705789999998</v>
      </c>
      <c r="C603">
        <f>COUNTIFS(data!D:D,data!$I$2,data!F:F,"&gt;="&amp;B603)</f>
        <v>362</v>
      </c>
      <c r="D603">
        <f>COUNTIFS(data!D:D,data!$J$2,data!F:F,"&gt;="&amp;B603)</f>
        <v>240</v>
      </c>
      <c r="E603">
        <f>COUNTIFS(data!D:D,data!$J$2,data!F:F,"&lt;"&amp;B603)</f>
        <v>483</v>
      </c>
      <c r="F603">
        <f>COUNTIFS(data!D:D,data!$I$2,data!F:F,"&lt;"&amp;B603)</f>
        <v>172</v>
      </c>
      <c r="G603">
        <f t="shared" si="54"/>
        <v>0.33195020746887965</v>
      </c>
      <c r="H603">
        <f t="shared" si="55"/>
        <v>0.67790262172284643</v>
      </c>
      <c r="I603">
        <f t="shared" si="59"/>
        <v>9.3762464968581466E-4</v>
      </c>
      <c r="J603">
        <f t="shared" si="56"/>
        <v>0.6013289036544851</v>
      </c>
      <c r="K603">
        <f t="shared" si="57"/>
        <v>0.63732394366197176</v>
      </c>
      <c r="L603">
        <f>A603*COUNTIF(data!D:D,data!$I$2)/data!$L$2</f>
        <v>255.74224343675417</v>
      </c>
      <c r="M603" s="1">
        <f>A603/data!$L$2</f>
        <v>0.47891805887032618</v>
      </c>
      <c r="N603">
        <f t="shared" si="58"/>
        <v>1.4154877001754451</v>
      </c>
    </row>
    <row r="604" spans="1:14" x14ac:dyDescent="0.2">
      <c r="A604">
        <v>603</v>
      </c>
      <c r="B604">
        <f>LARGE(data!F:F,A604)</f>
        <v>0.42818879129999998</v>
      </c>
      <c r="C604">
        <f>COUNTIFS(data!D:D,data!$I$2,data!F:F,"&gt;="&amp;B604)</f>
        <v>364</v>
      </c>
      <c r="D604">
        <f>COUNTIFS(data!D:D,data!$J$2,data!F:F,"&gt;="&amp;B604)</f>
        <v>240</v>
      </c>
      <c r="E604">
        <f>COUNTIFS(data!D:D,data!$J$2,data!F:F,"&lt;"&amp;B604)</f>
        <v>483</v>
      </c>
      <c r="F604">
        <f>COUNTIFS(data!D:D,data!$I$2,data!F:F,"&lt;"&amp;B604)</f>
        <v>170</v>
      </c>
      <c r="G604">
        <f t="shared" si="54"/>
        <v>0.33195020746887965</v>
      </c>
      <c r="H604">
        <f t="shared" si="55"/>
        <v>0.68164794007490637</v>
      </c>
      <c r="I604">
        <f t="shared" si="59"/>
        <v>0</v>
      </c>
      <c r="J604">
        <f t="shared" si="56"/>
        <v>0.60264900662251653</v>
      </c>
      <c r="K604">
        <f t="shared" si="57"/>
        <v>0.63971880492091382</v>
      </c>
      <c r="L604">
        <f>A604*COUNTIF(data!D:D,data!$I$2)/data!$L$2</f>
        <v>256.1670644391408</v>
      </c>
      <c r="M604" s="1">
        <f>A604/data!$L$2</f>
        <v>0.47971360381861577</v>
      </c>
      <c r="N604">
        <f t="shared" si="58"/>
        <v>1.4209476959770437</v>
      </c>
    </row>
    <row r="605" spans="1:14" x14ac:dyDescent="0.2">
      <c r="A605">
        <v>604</v>
      </c>
      <c r="B605">
        <f>LARGE(data!F:F,A605)</f>
        <v>0.42818879129999998</v>
      </c>
      <c r="C605">
        <f>COUNTIFS(data!D:D,data!$I$2,data!F:F,"&gt;="&amp;B605)</f>
        <v>364</v>
      </c>
      <c r="D605">
        <f>COUNTIFS(data!D:D,data!$J$2,data!F:F,"&gt;="&amp;B605)</f>
        <v>240</v>
      </c>
      <c r="E605">
        <f>COUNTIFS(data!D:D,data!$J$2,data!F:F,"&lt;"&amp;B605)</f>
        <v>483</v>
      </c>
      <c r="F605">
        <f>COUNTIFS(data!D:D,data!$I$2,data!F:F,"&lt;"&amp;B605)</f>
        <v>170</v>
      </c>
      <c r="G605">
        <f t="shared" si="54"/>
        <v>0.33195020746887965</v>
      </c>
      <c r="H605">
        <f t="shared" si="55"/>
        <v>0.68164794007490637</v>
      </c>
      <c r="I605">
        <f t="shared" si="59"/>
        <v>0</v>
      </c>
      <c r="J605">
        <f t="shared" si="56"/>
        <v>0.60264900662251653</v>
      </c>
      <c r="K605">
        <f t="shared" si="57"/>
        <v>0.63971880492091382</v>
      </c>
      <c r="L605">
        <f>A605*COUNTIF(data!D:D,data!$I$2)/data!$L$2</f>
        <v>256.59188544152744</v>
      </c>
      <c r="M605" s="1">
        <f>A605/data!$L$2</f>
        <v>0.48050914876690531</v>
      </c>
      <c r="N605">
        <f t="shared" si="58"/>
        <v>1.4185951335664857</v>
      </c>
    </row>
    <row r="606" spans="1:14" x14ac:dyDescent="0.2">
      <c r="A606">
        <v>605</v>
      </c>
      <c r="B606">
        <f>LARGE(data!F:F,A606)</f>
        <v>0.42701761919999998</v>
      </c>
      <c r="C606">
        <f>COUNTIFS(data!D:D,data!$I$2,data!F:F,"&gt;="&amp;B606)</f>
        <v>364</v>
      </c>
      <c r="D606">
        <f>COUNTIFS(data!D:D,data!$J$2,data!F:F,"&gt;="&amp;B606)</f>
        <v>241</v>
      </c>
      <c r="E606">
        <f>COUNTIFS(data!D:D,data!$J$2,data!F:F,"&lt;"&amp;B606)</f>
        <v>482</v>
      </c>
      <c r="F606">
        <f>COUNTIFS(data!D:D,data!$I$2,data!F:F,"&lt;"&amp;B606)</f>
        <v>170</v>
      </c>
      <c r="G606">
        <f t="shared" si="54"/>
        <v>0.33333333333333331</v>
      </c>
      <c r="H606">
        <f t="shared" si="55"/>
        <v>0.68164794007490637</v>
      </c>
      <c r="I606">
        <f t="shared" si="59"/>
        <v>9.4280489636916172E-4</v>
      </c>
      <c r="J606">
        <f t="shared" si="56"/>
        <v>0.60165289256198351</v>
      </c>
      <c r="K606">
        <f t="shared" si="57"/>
        <v>0.63915715539947326</v>
      </c>
      <c r="L606">
        <f>A606*COUNTIF(data!D:D,data!$I$2)/data!$L$2</f>
        <v>257.01670644391407</v>
      </c>
      <c r="M606" s="1">
        <f>A606/data!$L$2</f>
        <v>0.48130469371519491</v>
      </c>
      <c r="N606">
        <f t="shared" si="58"/>
        <v>1.4162503482217477</v>
      </c>
    </row>
    <row r="607" spans="1:14" x14ac:dyDescent="0.2">
      <c r="A607">
        <v>606</v>
      </c>
      <c r="B607">
        <f>LARGE(data!F:F,A607)</f>
        <v>0.42700941609999998</v>
      </c>
      <c r="C607">
        <f>COUNTIFS(data!D:D,data!$I$2,data!F:F,"&gt;="&amp;B607)</f>
        <v>367</v>
      </c>
      <c r="D607">
        <f>COUNTIFS(data!D:D,data!$J$2,data!F:F,"&gt;="&amp;B607)</f>
        <v>241</v>
      </c>
      <c r="E607">
        <f>COUNTIFS(data!D:D,data!$J$2,data!F:F,"&lt;"&amp;B607)</f>
        <v>482</v>
      </c>
      <c r="F607">
        <f>COUNTIFS(data!D:D,data!$I$2,data!F:F,"&lt;"&amp;B607)</f>
        <v>167</v>
      </c>
      <c r="G607">
        <f t="shared" si="54"/>
        <v>0.33333333333333331</v>
      </c>
      <c r="H607">
        <f t="shared" si="55"/>
        <v>0.68726591760299627</v>
      </c>
      <c r="I607">
        <f t="shared" si="59"/>
        <v>0</v>
      </c>
      <c r="J607">
        <f t="shared" si="56"/>
        <v>0.60361842105263153</v>
      </c>
      <c r="K607">
        <f t="shared" si="57"/>
        <v>0.64273204903677761</v>
      </c>
      <c r="L607">
        <f>A607*COUNTIF(data!D:D,data!$I$2)/data!$L$2</f>
        <v>257.44152744630071</v>
      </c>
      <c r="M607" s="1">
        <f>A607/data!$L$2</f>
        <v>0.4821002386634845</v>
      </c>
      <c r="N607">
        <f t="shared" si="58"/>
        <v>1.4255664330477993</v>
      </c>
    </row>
    <row r="608" spans="1:14" x14ac:dyDescent="0.2">
      <c r="A608">
        <v>607</v>
      </c>
      <c r="B608">
        <f>LARGE(data!F:F,A608)</f>
        <v>0.42700941609999998</v>
      </c>
      <c r="C608">
        <f>COUNTIFS(data!D:D,data!$I$2,data!F:F,"&gt;="&amp;B608)</f>
        <v>367</v>
      </c>
      <c r="D608">
        <f>COUNTIFS(data!D:D,data!$J$2,data!F:F,"&gt;="&amp;B608)</f>
        <v>241</v>
      </c>
      <c r="E608">
        <f>COUNTIFS(data!D:D,data!$J$2,data!F:F,"&lt;"&amp;B608)</f>
        <v>482</v>
      </c>
      <c r="F608">
        <f>COUNTIFS(data!D:D,data!$I$2,data!F:F,"&lt;"&amp;B608)</f>
        <v>167</v>
      </c>
      <c r="G608">
        <f t="shared" si="54"/>
        <v>0.33333333333333331</v>
      </c>
      <c r="H608">
        <f t="shared" si="55"/>
        <v>0.68726591760299627</v>
      </c>
      <c r="I608">
        <f t="shared" si="59"/>
        <v>0</v>
      </c>
      <c r="J608">
        <f t="shared" si="56"/>
        <v>0.60361842105263153</v>
      </c>
      <c r="K608">
        <f t="shared" si="57"/>
        <v>0.64273204903677761</v>
      </c>
      <c r="L608">
        <f>A608*COUNTIF(data!D:D,data!$I$2)/data!$L$2</f>
        <v>257.86634844868735</v>
      </c>
      <c r="M608" s="1">
        <f>A608/data!$L$2</f>
        <v>0.48289578361177404</v>
      </c>
      <c r="N608">
        <f t="shared" si="58"/>
        <v>1.423217888677045</v>
      </c>
    </row>
    <row r="609" spans="1:14" x14ac:dyDescent="0.2">
      <c r="A609">
        <v>608</v>
      </c>
      <c r="B609">
        <f>LARGE(data!F:F,A609)</f>
        <v>0.42700941609999998</v>
      </c>
      <c r="C609">
        <f>COUNTIFS(data!D:D,data!$I$2,data!F:F,"&gt;="&amp;B609)</f>
        <v>367</v>
      </c>
      <c r="D609">
        <f>COUNTIFS(data!D:D,data!$J$2,data!F:F,"&gt;="&amp;B609)</f>
        <v>241</v>
      </c>
      <c r="E609">
        <f>COUNTIFS(data!D:D,data!$J$2,data!F:F,"&lt;"&amp;B609)</f>
        <v>482</v>
      </c>
      <c r="F609">
        <f>COUNTIFS(data!D:D,data!$I$2,data!F:F,"&lt;"&amp;B609)</f>
        <v>167</v>
      </c>
      <c r="G609">
        <f t="shared" si="54"/>
        <v>0.33333333333333331</v>
      </c>
      <c r="H609">
        <f t="shared" si="55"/>
        <v>0.68726591760299627</v>
      </c>
      <c r="I609">
        <f t="shared" si="59"/>
        <v>0</v>
      </c>
      <c r="J609">
        <f t="shared" si="56"/>
        <v>0.60361842105263153</v>
      </c>
      <c r="K609">
        <f t="shared" si="57"/>
        <v>0.64273204903677761</v>
      </c>
      <c r="L609">
        <f>A609*COUNTIF(data!D:D,data!$I$2)/data!$L$2</f>
        <v>258.29116945107398</v>
      </c>
      <c r="M609" s="1">
        <f>A609/data!$L$2</f>
        <v>0.48369132856006364</v>
      </c>
      <c r="N609">
        <f t="shared" si="58"/>
        <v>1.4208770697811945</v>
      </c>
    </row>
    <row r="610" spans="1:14" x14ac:dyDescent="0.2">
      <c r="A610">
        <v>609</v>
      </c>
      <c r="B610">
        <f>LARGE(data!F:F,A610)</f>
        <v>0.42611616499999999</v>
      </c>
      <c r="C610">
        <f>COUNTIFS(data!D:D,data!$I$2,data!F:F,"&gt;="&amp;B610)</f>
        <v>367</v>
      </c>
      <c r="D610">
        <f>COUNTIFS(data!D:D,data!$J$2,data!F:F,"&gt;="&amp;B610)</f>
        <v>242</v>
      </c>
      <c r="E610">
        <f>COUNTIFS(data!D:D,data!$J$2,data!F:F,"&lt;"&amp;B610)</f>
        <v>481</v>
      </c>
      <c r="F610">
        <f>COUNTIFS(data!D:D,data!$I$2,data!F:F,"&lt;"&amp;B610)</f>
        <v>167</v>
      </c>
      <c r="G610">
        <f t="shared" si="54"/>
        <v>0.33471645919778698</v>
      </c>
      <c r="H610">
        <f t="shared" si="55"/>
        <v>0.68726591760299627</v>
      </c>
      <c r="I610">
        <f t="shared" si="59"/>
        <v>9.5057526639418237E-4</v>
      </c>
      <c r="J610">
        <f t="shared" si="56"/>
        <v>0.60262725779967163</v>
      </c>
      <c r="K610">
        <f t="shared" si="57"/>
        <v>0.64216972878390199</v>
      </c>
      <c r="L610">
        <f>A610*COUNTIF(data!D:D,data!$I$2)/data!$L$2</f>
        <v>258.71599045346062</v>
      </c>
      <c r="M610" s="1">
        <f>A610/data!$L$2</f>
        <v>0.48448687350835323</v>
      </c>
      <c r="N610">
        <f t="shared" si="58"/>
        <v>1.4185439383037213</v>
      </c>
    </row>
    <row r="611" spans="1:14" x14ac:dyDescent="0.2">
      <c r="A611">
        <v>610</v>
      </c>
      <c r="B611">
        <f>LARGE(data!F:F,A611)</f>
        <v>0.4260930288</v>
      </c>
      <c r="C611">
        <f>COUNTIFS(data!D:D,data!$I$2,data!F:F,"&gt;="&amp;B611)</f>
        <v>367</v>
      </c>
      <c r="D611">
        <f>COUNTIFS(data!D:D,data!$J$2,data!F:F,"&gt;="&amp;B611)</f>
        <v>243</v>
      </c>
      <c r="E611">
        <f>COUNTIFS(data!D:D,data!$J$2,data!F:F,"&lt;"&amp;B611)</f>
        <v>480</v>
      </c>
      <c r="F611">
        <f>COUNTIFS(data!D:D,data!$I$2,data!F:F,"&lt;"&amp;B611)</f>
        <v>167</v>
      </c>
      <c r="G611">
        <f t="shared" si="54"/>
        <v>0.33609958506224069</v>
      </c>
      <c r="H611">
        <f t="shared" si="55"/>
        <v>0.68726591760299627</v>
      </c>
      <c r="I611">
        <f t="shared" si="59"/>
        <v>9.5057526639422043E-4</v>
      </c>
      <c r="J611">
        <f t="shared" si="56"/>
        <v>0.60163934426229504</v>
      </c>
      <c r="K611">
        <f t="shared" si="57"/>
        <v>0.64160839160839156</v>
      </c>
      <c r="L611">
        <f>A611*COUNTIF(data!D:D,data!$I$2)/data!$L$2</f>
        <v>259.14081145584726</v>
      </c>
      <c r="M611" s="1">
        <f>A611/data!$L$2</f>
        <v>0.48528241845664283</v>
      </c>
      <c r="N611">
        <f t="shared" si="58"/>
        <v>1.4162184564376497</v>
      </c>
    </row>
    <row r="612" spans="1:14" x14ac:dyDescent="0.2">
      <c r="A612">
        <v>611</v>
      </c>
      <c r="B612">
        <f>LARGE(data!F:F,A612)</f>
        <v>0.426084884</v>
      </c>
      <c r="C612">
        <f>COUNTIFS(data!D:D,data!$I$2,data!F:F,"&gt;="&amp;B612)</f>
        <v>368</v>
      </c>
      <c r="D612">
        <f>COUNTIFS(data!D:D,data!$J$2,data!F:F,"&gt;="&amp;B612)</f>
        <v>243</v>
      </c>
      <c r="E612">
        <f>COUNTIFS(data!D:D,data!$J$2,data!F:F,"&lt;"&amp;B612)</f>
        <v>480</v>
      </c>
      <c r="F612">
        <f>COUNTIFS(data!D:D,data!$I$2,data!F:F,"&lt;"&amp;B612)</f>
        <v>166</v>
      </c>
      <c r="G612">
        <f t="shared" si="54"/>
        <v>0.33609958506224069</v>
      </c>
      <c r="H612">
        <f t="shared" si="55"/>
        <v>0.68913857677902624</v>
      </c>
      <c r="I612">
        <f t="shared" si="59"/>
        <v>0</v>
      </c>
      <c r="J612">
        <f t="shared" si="56"/>
        <v>0.60229132569558097</v>
      </c>
      <c r="K612">
        <f t="shared" si="57"/>
        <v>0.64279475982532752</v>
      </c>
      <c r="L612">
        <f>A612*COUNTIF(data!D:D,data!$I$2)/data!$L$2</f>
        <v>259.56563245823389</v>
      </c>
      <c r="M612" s="1">
        <f>A612/data!$L$2</f>
        <v>0.48607796340493237</v>
      </c>
      <c r="N612">
        <f t="shared" si="58"/>
        <v>1.4177531767778002</v>
      </c>
    </row>
    <row r="613" spans="1:14" x14ac:dyDescent="0.2">
      <c r="A613">
        <v>612</v>
      </c>
      <c r="B613">
        <f>LARGE(data!F:F,A613)</f>
        <v>0.42598556589999997</v>
      </c>
      <c r="C613">
        <f>COUNTIFS(data!D:D,data!$I$2,data!F:F,"&gt;="&amp;B613)</f>
        <v>369</v>
      </c>
      <c r="D613">
        <f>COUNTIFS(data!D:D,data!$J$2,data!F:F,"&gt;="&amp;B613)</f>
        <v>243</v>
      </c>
      <c r="E613">
        <f>COUNTIFS(data!D:D,data!$J$2,data!F:F,"&lt;"&amp;B613)</f>
        <v>480</v>
      </c>
      <c r="F613">
        <f>COUNTIFS(data!D:D,data!$I$2,data!F:F,"&lt;"&amp;B613)</f>
        <v>165</v>
      </c>
      <c r="G613">
        <f t="shared" si="54"/>
        <v>0.33609958506224069</v>
      </c>
      <c r="H613">
        <f t="shared" si="55"/>
        <v>0.6910112359550562</v>
      </c>
      <c r="I613">
        <f t="shared" si="59"/>
        <v>0</v>
      </c>
      <c r="J613">
        <f t="shared" si="56"/>
        <v>0.6029411764705882</v>
      </c>
      <c r="K613">
        <f t="shared" si="57"/>
        <v>0.64397905759162311</v>
      </c>
      <c r="L613">
        <f>A613*COUNTIF(data!D:D,data!$I$2)/data!$L$2</f>
        <v>259.99045346062053</v>
      </c>
      <c r="M613" s="1">
        <f>A613/data!$L$2</f>
        <v>0.48687350835322196</v>
      </c>
      <c r="N613">
        <f t="shared" si="58"/>
        <v>1.4192828816920027</v>
      </c>
    </row>
    <row r="614" spans="1:14" x14ac:dyDescent="0.2">
      <c r="A614">
        <v>613</v>
      </c>
      <c r="B614">
        <f>LARGE(data!F:F,A614)</f>
        <v>0.42553893240000001</v>
      </c>
      <c r="C614">
        <f>COUNTIFS(data!D:D,data!$I$2,data!F:F,"&gt;="&amp;B614)</f>
        <v>369</v>
      </c>
      <c r="D614">
        <f>COUNTIFS(data!D:D,data!$J$2,data!F:F,"&gt;="&amp;B614)</f>
        <v>244</v>
      </c>
      <c r="E614">
        <f>COUNTIFS(data!D:D,data!$J$2,data!F:F,"&lt;"&amp;B614)</f>
        <v>479</v>
      </c>
      <c r="F614">
        <f>COUNTIFS(data!D:D,data!$I$2,data!F:F,"&lt;"&amp;B614)</f>
        <v>165</v>
      </c>
      <c r="G614">
        <f t="shared" si="54"/>
        <v>0.33748271092669435</v>
      </c>
      <c r="H614">
        <f t="shared" si="55"/>
        <v>0.6910112359550562</v>
      </c>
      <c r="I614">
        <f t="shared" si="59"/>
        <v>9.5575551307752944E-4</v>
      </c>
      <c r="J614">
        <f t="shared" si="56"/>
        <v>0.60195758564437196</v>
      </c>
      <c r="K614">
        <f t="shared" si="57"/>
        <v>0.64341761115954665</v>
      </c>
      <c r="L614">
        <f>A614*COUNTIF(data!D:D,data!$I$2)/data!$L$2</f>
        <v>260.41527446300717</v>
      </c>
      <c r="M614" s="1">
        <f>A614/data!$L$2</f>
        <v>0.48766905330151156</v>
      </c>
      <c r="N614">
        <f t="shared" si="58"/>
        <v>1.4169675751965833</v>
      </c>
    </row>
    <row r="615" spans="1:14" x14ac:dyDescent="0.2">
      <c r="A615">
        <v>614</v>
      </c>
      <c r="B615">
        <f>LARGE(data!F:F,A615)</f>
        <v>0.4250146306</v>
      </c>
      <c r="C615">
        <f>COUNTIFS(data!D:D,data!$I$2,data!F:F,"&gt;="&amp;B615)</f>
        <v>369</v>
      </c>
      <c r="D615">
        <f>COUNTIFS(data!D:D,data!$J$2,data!F:F,"&gt;="&amp;B615)</f>
        <v>245</v>
      </c>
      <c r="E615">
        <f>COUNTIFS(data!D:D,data!$J$2,data!F:F,"&lt;"&amp;B615)</f>
        <v>478</v>
      </c>
      <c r="F615">
        <f>COUNTIFS(data!D:D,data!$I$2,data!F:F,"&lt;"&amp;B615)</f>
        <v>165</v>
      </c>
      <c r="G615">
        <f t="shared" si="54"/>
        <v>0.33886583679114801</v>
      </c>
      <c r="H615">
        <f t="shared" si="55"/>
        <v>0.6910112359550562</v>
      </c>
      <c r="I615">
        <f t="shared" si="59"/>
        <v>9.5575551307752944E-4</v>
      </c>
      <c r="J615">
        <f t="shared" si="56"/>
        <v>0.60097719869706845</v>
      </c>
      <c r="K615">
        <f t="shared" si="57"/>
        <v>0.6428571428571429</v>
      </c>
      <c r="L615">
        <f>A615*COUNTIF(data!D:D,data!$I$2)/data!$L$2</f>
        <v>260.8400954653938</v>
      </c>
      <c r="M615" s="1">
        <f>A615/data!$L$2</f>
        <v>0.4884645982498011</v>
      </c>
      <c r="N615">
        <f t="shared" si="58"/>
        <v>1.414659810416133</v>
      </c>
    </row>
    <row r="616" spans="1:14" x14ac:dyDescent="0.2">
      <c r="A616">
        <v>615</v>
      </c>
      <c r="B616">
        <f>LARGE(data!F:F,A616)</f>
        <v>0.42380204690000001</v>
      </c>
      <c r="C616">
        <f>COUNTIFS(data!D:D,data!$I$2,data!F:F,"&gt;="&amp;B616)</f>
        <v>369</v>
      </c>
      <c r="D616">
        <f>COUNTIFS(data!D:D,data!$J$2,data!F:F,"&gt;="&amp;B616)</f>
        <v>246</v>
      </c>
      <c r="E616">
        <f>COUNTIFS(data!D:D,data!$J$2,data!F:F,"&lt;"&amp;B616)</f>
        <v>477</v>
      </c>
      <c r="F616">
        <f>COUNTIFS(data!D:D,data!$I$2,data!F:F,"&lt;"&amp;B616)</f>
        <v>165</v>
      </c>
      <c r="G616">
        <f t="shared" si="54"/>
        <v>0.34024896265560167</v>
      </c>
      <c r="H616">
        <f t="shared" si="55"/>
        <v>0.6910112359550562</v>
      </c>
      <c r="I616">
        <f t="shared" si="59"/>
        <v>9.5575551307752944E-4</v>
      </c>
      <c r="J616">
        <f t="shared" si="56"/>
        <v>0.6</v>
      </c>
      <c r="K616">
        <f t="shared" si="57"/>
        <v>0.6422976501305484</v>
      </c>
      <c r="L616">
        <f>A616*COUNTIF(data!D:D,data!$I$2)/data!$L$2</f>
        <v>261.26491646778044</v>
      </c>
      <c r="M616" s="1">
        <f>A616/data!$L$2</f>
        <v>0.48926014319809069</v>
      </c>
      <c r="N616">
        <f t="shared" si="58"/>
        <v>1.4123595505617976</v>
      </c>
    </row>
    <row r="617" spans="1:14" x14ac:dyDescent="0.2">
      <c r="A617">
        <v>616</v>
      </c>
      <c r="B617">
        <f>LARGE(data!F:F,A617)</f>
        <v>0.42355374890000003</v>
      </c>
      <c r="C617">
        <f>COUNTIFS(data!D:D,data!$I$2,data!F:F,"&gt;="&amp;B617)</f>
        <v>369</v>
      </c>
      <c r="D617">
        <f>COUNTIFS(data!D:D,data!$J$2,data!F:F,"&gt;="&amp;B617)</f>
        <v>247</v>
      </c>
      <c r="E617">
        <f>COUNTIFS(data!D:D,data!$J$2,data!F:F,"&lt;"&amp;B617)</f>
        <v>476</v>
      </c>
      <c r="F617">
        <f>COUNTIFS(data!D:D,data!$I$2,data!F:F,"&lt;"&amp;B617)</f>
        <v>165</v>
      </c>
      <c r="G617">
        <f t="shared" si="54"/>
        <v>0.34163208852005533</v>
      </c>
      <c r="H617">
        <f t="shared" si="55"/>
        <v>0.6910112359550562</v>
      </c>
      <c r="I617">
        <f t="shared" si="59"/>
        <v>9.5575551307752944E-4</v>
      </c>
      <c r="J617">
        <f t="shared" si="56"/>
        <v>0.59902597402597402</v>
      </c>
      <c r="K617">
        <f t="shared" si="57"/>
        <v>0.6417391304347827</v>
      </c>
      <c r="L617">
        <f>A617*COUNTIF(data!D:D,data!$I$2)/data!$L$2</f>
        <v>261.68973747016707</v>
      </c>
      <c r="M617" s="1">
        <f>A617/data!$L$2</f>
        <v>0.49005568814638029</v>
      </c>
      <c r="N617">
        <f t="shared" si="58"/>
        <v>1.4100667590836129</v>
      </c>
    </row>
    <row r="618" spans="1:14" x14ac:dyDescent="0.2">
      <c r="A618">
        <v>617</v>
      </c>
      <c r="B618">
        <f>LARGE(data!F:F,A618)</f>
        <v>0.42350810760000002</v>
      </c>
      <c r="C618">
        <f>COUNTIFS(data!D:D,data!$I$2,data!F:F,"&gt;="&amp;B618)</f>
        <v>369</v>
      </c>
      <c r="D618">
        <f>COUNTIFS(data!D:D,data!$J$2,data!F:F,"&gt;="&amp;B618)</f>
        <v>248</v>
      </c>
      <c r="E618">
        <f>COUNTIFS(data!D:D,data!$J$2,data!F:F,"&lt;"&amp;B618)</f>
        <v>475</v>
      </c>
      <c r="F618">
        <f>COUNTIFS(data!D:D,data!$I$2,data!F:F,"&lt;"&amp;B618)</f>
        <v>165</v>
      </c>
      <c r="G618">
        <f t="shared" si="54"/>
        <v>0.34301521438450899</v>
      </c>
      <c r="H618">
        <f t="shared" si="55"/>
        <v>0.6910112359550562</v>
      </c>
      <c r="I618">
        <f t="shared" si="59"/>
        <v>9.5575551307752944E-4</v>
      </c>
      <c r="J618">
        <f t="shared" si="56"/>
        <v>0.59805510534846029</v>
      </c>
      <c r="K618">
        <f t="shared" si="57"/>
        <v>0.64118158123370972</v>
      </c>
      <c r="L618">
        <f>A618*COUNTIF(data!D:D,data!$I$2)/data!$L$2</f>
        <v>262.11455847255371</v>
      </c>
      <c r="M618" s="1">
        <f>A618/data!$L$2</f>
        <v>0.49085123309466983</v>
      </c>
      <c r="N618">
        <f t="shared" si="58"/>
        <v>1.4077813996685666</v>
      </c>
    </row>
    <row r="619" spans="1:14" x14ac:dyDescent="0.2">
      <c r="A619">
        <v>618</v>
      </c>
      <c r="B619">
        <f>LARGE(data!F:F,A619)</f>
        <v>0.42336011470000001</v>
      </c>
      <c r="C619">
        <f>COUNTIFS(data!D:D,data!$I$2,data!F:F,"&gt;="&amp;B619)</f>
        <v>370</v>
      </c>
      <c r="D619">
        <f>COUNTIFS(data!D:D,data!$J$2,data!F:F,"&gt;="&amp;B619)</f>
        <v>248</v>
      </c>
      <c r="E619">
        <f>COUNTIFS(data!D:D,data!$J$2,data!F:F,"&lt;"&amp;B619)</f>
        <v>475</v>
      </c>
      <c r="F619">
        <f>COUNTIFS(data!D:D,data!$I$2,data!F:F,"&lt;"&amp;B619)</f>
        <v>164</v>
      </c>
      <c r="G619">
        <f t="shared" si="54"/>
        <v>0.34301521438450899</v>
      </c>
      <c r="H619">
        <f t="shared" si="55"/>
        <v>0.69288389513108617</v>
      </c>
      <c r="I619">
        <f t="shared" si="59"/>
        <v>0</v>
      </c>
      <c r="J619">
        <f t="shared" si="56"/>
        <v>0.59870550161812297</v>
      </c>
      <c r="K619">
        <f t="shared" si="57"/>
        <v>0.64236111111111105</v>
      </c>
      <c r="L619">
        <f>A619*COUNTIF(data!D:D,data!$I$2)/data!$L$2</f>
        <v>262.53937947494035</v>
      </c>
      <c r="M619" s="1">
        <f>A619/data!$L$2</f>
        <v>0.49164677804295942</v>
      </c>
      <c r="N619">
        <f t="shared" si="58"/>
        <v>1.4093123886404131</v>
      </c>
    </row>
    <row r="620" spans="1:14" x14ac:dyDescent="0.2">
      <c r="A620">
        <v>619</v>
      </c>
      <c r="B620">
        <f>LARGE(data!F:F,A620)</f>
        <v>0.422915808</v>
      </c>
      <c r="C620">
        <f>COUNTIFS(data!D:D,data!$I$2,data!F:F,"&gt;="&amp;B620)</f>
        <v>370</v>
      </c>
      <c r="D620">
        <f>COUNTIFS(data!D:D,data!$J$2,data!F:F,"&gt;="&amp;B620)</f>
        <v>249</v>
      </c>
      <c r="E620">
        <f>COUNTIFS(data!D:D,data!$J$2,data!F:F,"&lt;"&amp;B620)</f>
        <v>474</v>
      </c>
      <c r="F620">
        <f>COUNTIFS(data!D:D,data!$I$2,data!F:F,"&lt;"&amp;B620)</f>
        <v>164</v>
      </c>
      <c r="G620">
        <f t="shared" si="54"/>
        <v>0.34439834024896265</v>
      </c>
      <c r="H620">
        <f t="shared" si="55"/>
        <v>0.69288389513108617</v>
      </c>
      <c r="I620">
        <f t="shared" si="59"/>
        <v>9.5834563641920291E-4</v>
      </c>
      <c r="J620">
        <f t="shared" si="56"/>
        <v>0.59773828756058156</v>
      </c>
      <c r="K620">
        <f t="shared" si="57"/>
        <v>0.64180398959236773</v>
      </c>
      <c r="L620">
        <f>A620*COUNTIF(data!D:D,data!$I$2)/data!$L$2</f>
        <v>262.96420047732698</v>
      </c>
      <c r="M620" s="1">
        <f>A620/data!$L$2</f>
        <v>0.49244232299124902</v>
      </c>
      <c r="N620">
        <f t="shared" si="58"/>
        <v>1.4070356319544026</v>
      </c>
    </row>
    <row r="621" spans="1:14" x14ac:dyDescent="0.2">
      <c r="A621">
        <v>620</v>
      </c>
      <c r="B621">
        <f>LARGE(data!F:F,A621)</f>
        <v>0.42159089999999999</v>
      </c>
      <c r="C621">
        <f>COUNTIFS(data!D:D,data!$I$2,data!F:F,"&gt;="&amp;B621)</f>
        <v>371</v>
      </c>
      <c r="D621">
        <f>COUNTIFS(data!D:D,data!$J$2,data!F:F,"&gt;="&amp;B621)</f>
        <v>249</v>
      </c>
      <c r="E621">
        <f>COUNTIFS(data!D:D,data!$J$2,data!F:F,"&lt;"&amp;B621)</f>
        <v>474</v>
      </c>
      <c r="F621">
        <f>COUNTIFS(data!D:D,data!$I$2,data!F:F,"&lt;"&amp;B621)</f>
        <v>163</v>
      </c>
      <c r="G621">
        <f t="shared" si="54"/>
        <v>0.34439834024896265</v>
      </c>
      <c r="H621">
        <f t="shared" si="55"/>
        <v>0.69475655430711614</v>
      </c>
      <c r="I621">
        <f t="shared" si="59"/>
        <v>0</v>
      </c>
      <c r="J621">
        <f t="shared" si="56"/>
        <v>0.59838709677419355</v>
      </c>
      <c r="K621">
        <f t="shared" si="57"/>
        <v>0.64298093587521665</v>
      </c>
      <c r="L621">
        <f>A621*COUNTIF(data!D:D,data!$I$2)/data!$L$2</f>
        <v>263.38902147971362</v>
      </c>
      <c r="M621" s="1">
        <f>A621/data!$L$2</f>
        <v>0.49323786793953861</v>
      </c>
      <c r="N621">
        <f t="shared" si="58"/>
        <v>1.4085628851032983</v>
      </c>
    </row>
    <row r="622" spans="1:14" x14ac:dyDescent="0.2">
      <c r="A622">
        <v>621</v>
      </c>
      <c r="B622">
        <f>LARGE(data!F:F,A622)</f>
        <v>0.42094919450000001</v>
      </c>
      <c r="C622">
        <f>COUNTIFS(data!D:D,data!$I$2,data!F:F,"&gt;="&amp;B622)</f>
        <v>371</v>
      </c>
      <c r="D622">
        <f>COUNTIFS(data!D:D,data!$J$2,data!F:F,"&gt;="&amp;B622)</f>
        <v>250</v>
      </c>
      <c r="E622">
        <f>COUNTIFS(data!D:D,data!$J$2,data!F:F,"&lt;"&amp;B622)</f>
        <v>473</v>
      </c>
      <c r="F622">
        <f>COUNTIFS(data!D:D,data!$I$2,data!F:F,"&lt;"&amp;B622)</f>
        <v>163</v>
      </c>
      <c r="G622">
        <f t="shared" si="54"/>
        <v>0.34578146611341631</v>
      </c>
      <c r="H622">
        <f t="shared" si="55"/>
        <v>0.69475655430711614</v>
      </c>
      <c r="I622">
        <f t="shared" si="59"/>
        <v>9.6093575976087639E-4</v>
      </c>
      <c r="J622">
        <f t="shared" si="56"/>
        <v>0.59742351046698872</v>
      </c>
      <c r="K622">
        <f t="shared" si="57"/>
        <v>0.64242424242424234</v>
      </c>
      <c r="L622">
        <f>A622*COUNTIF(data!D:D,data!$I$2)/data!$L$2</f>
        <v>263.81384248210026</v>
      </c>
      <c r="M622" s="1">
        <f>A622/data!$L$2</f>
        <v>0.49403341288782815</v>
      </c>
      <c r="N622">
        <f t="shared" si="58"/>
        <v>1.4062946678970127</v>
      </c>
    </row>
    <row r="623" spans="1:14" x14ac:dyDescent="0.2">
      <c r="A623">
        <v>622</v>
      </c>
      <c r="B623">
        <f>LARGE(data!F:F,A623)</f>
        <v>0.42075334399999997</v>
      </c>
      <c r="C623">
        <f>COUNTIFS(data!D:D,data!$I$2,data!F:F,"&gt;="&amp;B623)</f>
        <v>371</v>
      </c>
      <c r="D623">
        <f>COUNTIFS(data!D:D,data!$J$2,data!F:F,"&gt;="&amp;B623)</f>
        <v>251</v>
      </c>
      <c r="E623">
        <f>COUNTIFS(data!D:D,data!$J$2,data!F:F,"&lt;"&amp;B623)</f>
        <v>472</v>
      </c>
      <c r="F623">
        <f>COUNTIFS(data!D:D,data!$I$2,data!F:F,"&lt;"&amp;B623)</f>
        <v>163</v>
      </c>
      <c r="G623">
        <f t="shared" si="54"/>
        <v>0.34716459197786997</v>
      </c>
      <c r="H623">
        <f t="shared" si="55"/>
        <v>0.69475655430711614</v>
      </c>
      <c r="I623">
        <f t="shared" si="59"/>
        <v>9.6093575976087639E-4</v>
      </c>
      <c r="J623">
        <f t="shared" si="56"/>
        <v>0.59646302250803862</v>
      </c>
      <c r="K623">
        <f t="shared" si="57"/>
        <v>0.64186851211072671</v>
      </c>
      <c r="L623">
        <f>A623*COUNTIF(data!D:D,data!$I$2)/data!$L$2</f>
        <v>264.23866348448689</v>
      </c>
      <c r="M623" s="1">
        <f>A623/data!$L$2</f>
        <v>0.49482895783611774</v>
      </c>
      <c r="N623">
        <f t="shared" si="58"/>
        <v>1.4040337439936412</v>
      </c>
    </row>
    <row r="624" spans="1:14" x14ac:dyDescent="0.2">
      <c r="A624">
        <v>623</v>
      </c>
      <c r="B624">
        <f>LARGE(data!F:F,A624)</f>
        <v>0.420205045</v>
      </c>
      <c r="C624">
        <f>COUNTIFS(data!D:D,data!$I$2,data!F:F,"&gt;="&amp;B624)</f>
        <v>371</v>
      </c>
      <c r="D624">
        <f>COUNTIFS(data!D:D,data!$J$2,data!F:F,"&gt;="&amp;B624)</f>
        <v>252</v>
      </c>
      <c r="E624">
        <f>COUNTIFS(data!D:D,data!$J$2,data!F:F,"&lt;"&amp;B624)</f>
        <v>471</v>
      </c>
      <c r="F624">
        <f>COUNTIFS(data!D:D,data!$I$2,data!F:F,"&lt;"&amp;B624)</f>
        <v>163</v>
      </c>
      <c r="G624">
        <f t="shared" si="54"/>
        <v>0.34854771784232363</v>
      </c>
      <c r="H624">
        <f t="shared" si="55"/>
        <v>0.69475655430711614</v>
      </c>
      <c r="I624">
        <f t="shared" si="59"/>
        <v>9.6093575976087639E-4</v>
      </c>
      <c r="J624">
        <f t="shared" si="56"/>
        <v>0.5955056179775281</v>
      </c>
      <c r="K624">
        <f t="shared" si="57"/>
        <v>0.64131374243733807</v>
      </c>
      <c r="L624">
        <f>A624*COUNTIF(data!D:D,data!$I$2)/data!$L$2</f>
        <v>264.66348448687353</v>
      </c>
      <c r="M624" s="1">
        <f>A624/data!$L$2</f>
        <v>0.49562450278440734</v>
      </c>
      <c r="N624">
        <f t="shared" si="58"/>
        <v>1.4017800782729453</v>
      </c>
    </row>
    <row r="625" spans="1:14" x14ac:dyDescent="0.2">
      <c r="A625">
        <v>624</v>
      </c>
      <c r="B625">
        <f>LARGE(data!F:F,A625)</f>
        <v>0.41982844930000002</v>
      </c>
      <c r="C625">
        <f>COUNTIFS(data!D:D,data!$I$2,data!F:F,"&gt;="&amp;B625)</f>
        <v>371</v>
      </c>
      <c r="D625">
        <f>COUNTIFS(data!D:D,data!$J$2,data!F:F,"&gt;="&amp;B625)</f>
        <v>253</v>
      </c>
      <c r="E625">
        <f>COUNTIFS(data!D:D,data!$J$2,data!F:F,"&lt;"&amp;B625)</f>
        <v>470</v>
      </c>
      <c r="F625">
        <f>COUNTIFS(data!D:D,data!$I$2,data!F:F,"&lt;"&amp;B625)</f>
        <v>163</v>
      </c>
      <c r="G625">
        <f t="shared" si="54"/>
        <v>0.34993084370677729</v>
      </c>
      <c r="H625">
        <f t="shared" si="55"/>
        <v>0.69475655430711614</v>
      </c>
      <c r="I625">
        <f t="shared" si="59"/>
        <v>9.6093575976087639E-4</v>
      </c>
      <c r="J625">
        <f t="shared" si="56"/>
        <v>0.59455128205128205</v>
      </c>
      <c r="K625">
        <f t="shared" si="57"/>
        <v>0.64075993091537142</v>
      </c>
      <c r="L625">
        <f>A625*COUNTIF(data!D:D,data!$I$2)/data!$L$2</f>
        <v>265.08830548926016</v>
      </c>
      <c r="M625" s="1">
        <f>A625/data!$L$2</f>
        <v>0.49642004773269688</v>
      </c>
      <c r="N625">
        <f t="shared" si="58"/>
        <v>1.3995336358398156</v>
      </c>
    </row>
    <row r="626" spans="1:14" x14ac:dyDescent="0.2">
      <c r="A626">
        <v>625</v>
      </c>
      <c r="B626">
        <f>LARGE(data!F:F,A626)</f>
        <v>0.41897219050000001</v>
      </c>
      <c r="C626">
        <f>COUNTIFS(data!D:D,data!$I$2,data!F:F,"&gt;="&amp;B626)</f>
        <v>371</v>
      </c>
      <c r="D626">
        <f>COUNTIFS(data!D:D,data!$J$2,data!F:F,"&gt;="&amp;B626)</f>
        <v>254</v>
      </c>
      <c r="E626">
        <f>COUNTIFS(data!D:D,data!$J$2,data!F:F,"&lt;"&amp;B626)</f>
        <v>469</v>
      </c>
      <c r="F626">
        <f>COUNTIFS(data!D:D,data!$I$2,data!F:F,"&lt;"&amp;B626)</f>
        <v>163</v>
      </c>
      <c r="G626">
        <f t="shared" si="54"/>
        <v>0.35131396957123096</v>
      </c>
      <c r="H626">
        <f t="shared" si="55"/>
        <v>0.69475655430711614</v>
      </c>
      <c r="I626">
        <f t="shared" si="59"/>
        <v>9.6093575976087639E-4</v>
      </c>
      <c r="J626">
        <f t="shared" si="56"/>
        <v>0.59360000000000002</v>
      </c>
      <c r="K626">
        <f t="shared" si="57"/>
        <v>0.64020707506471108</v>
      </c>
      <c r="L626">
        <f>A626*COUNTIF(data!D:D,data!$I$2)/data!$L$2</f>
        <v>265.5131264916468</v>
      </c>
      <c r="M626" s="1">
        <f>A626/data!$L$2</f>
        <v>0.49721559268098647</v>
      </c>
      <c r="N626">
        <f t="shared" si="58"/>
        <v>1.3972943820224717</v>
      </c>
    </row>
    <row r="627" spans="1:14" x14ac:dyDescent="0.2">
      <c r="A627">
        <v>626</v>
      </c>
      <c r="B627">
        <f>LARGE(data!F:F,A627)</f>
        <v>0.41886100389999997</v>
      </c>
      <c r="C627">
        <f>COUNTIFS(data!D:D,data!$I$2,data!F:F,"&gt;="&amp;B627)</f>
        <v>372</v>
      </c>
      <c r="D627">
        <f>COUNTIFS(data!D:D,data!$J$2,data!F:F,"&gt;="&amp;B627)</f>
        <v>254</v>
      </c>
      <c r="E627">
        <f>COUNTIFS(data!D:D,data!$J$2,data!F:F,"&lt;"&amp;B627)</f>
        <v>469</v>
      </c>
      <c r="F627">
        <f>COUNTIFS(data!D:D,data!$I$2,data!F:F,"&lt;"&amp;B627)</f>
        <v>162</v>
      </c>
      <c r="G627">
        <f t="shared" si="54"/>
        <v>0.35131396957123096</v>
      </c>
      <c r="H627">
        <f t="shared" si="55"/>
        <v>0.6966292134831461</v>
      </c>
      <c r="I627">
        <f t="shared" si="59"/>
        <v>0</v>
      </c>
      <c r="J627">
        <f t="shared" si="56"/>
        <v>0.59424920127795522</v>
      </c>
      <c r="K627">
        <f t="shared" si="57"/>
        <v>0.64137931034482754</v>
      </c>
      <c r="L627">
        <f>A627*COUNTIF(data!D:D,data!$I$2)/data!$L$2</f>
        <v>265.93794749403344</v>
      </c>
      <c r="M627" s="1">
        <f>A627/data!$L$2</f>
        <v>0.49801113762927607</v>
      </c>
      <c r="N627">
        <f t="shared" si="58"/>
        <v>1.3988225580644003</v>
      </c>
    </row>
    <row r="628" spans="1:14" x14ac:dyDescent="0.2">
      <c r="A628">
        <v>627</v>
      </c>
      <c r="B628">
        <f>LARGE(data!F:F,A628)</f>
        <v>0.41787204709999998</v>
      </c>
      <c r="C628">
        <f>COUNTIFS(data!D:D,data!$I$2,data!F:F,"&gt;="&amp;B628)</f>
        <v>372</v>
      </c>
      <c r="D628">
        <f>COUNTIFS(data!D:D,data!$J$2,data!F:F,"&gt;="&amp;B628)</f>
        <v>255</v>
      </c>
      <c r="E628">
        <f>COUNTIFS(data!D:D,data!$J$2,data!F:F,"&lt;"&amp;B628)</f>
        <v>468</v>
      </c>
      <c r="F628">
        <f>COUNTIFS(data!D:D,data!$I$2,data!F:F,"&lt;"&amp;B628)</f>
        <v>162</v>
      </c>
      <c r="G628">
        <f t="shared" si="54"/>
        <v>0.35269709543568467</v>
      </c>
      <c r="H628">
        <f t="shared" si="55"/>
        <v>0.6966292134831461</v>
      </c>
      <c r="I628">
        <f t="shared" si="59"/>
        <v>9.6352588310258868E-4</v>
      </c>
      <c r="J628">
        <f t="shared" si="56"/>
        <v>0.59330143540669855</v>
      </c>
      <c r="K628">
        <f t="shared" si="57"/>
        <v>0.64082687338501299</v>
      </c>
      <c r="L628">
        <f>A628*COUNTIF(data!D:D,data!$I$2)/data!$L$2</f>
        <v>266.36276849642007</v>
      </c>
      <c r="M628" s="1">
        <f>A628/data!$L$2</f>
        <v>0.49880668257756561</v>
      </c>
      <c r="N628">
        <f t="shared" si="58"/>
        <v>1.3965915810977902</v>
      </c>
    </row>
    <row r="629" spans="1:14" x14ac:dyDescent="0.2">
      <c r="A629">
        <v>628</v>
      </c>
      <c r="B629">
        <f>LARGE(data!F:F,A629)</f>
        <v>0.41544103640000002</v>
      </c>
      <c r="C629">
        <f>COUNTIFS(data!D:D,data!$I$2,data!F:F,"&gt;="&amp;B629)</f>
        <v>373</v>
      </c>
      <c r="D629">
        <f>COUNTIFS(data!D:D,data!$J$2,data!F:F,"&gt;="&amp;B629)</f>
        <v>255</v>
      </c>
      <c r="E629">
        <f>COUNTIFS(data!D:D,data!$J$2,data!F:F,"&lt;"&amp;B629)</f>
        <v>468</v>
      </c>
      <c r="F629">
        <f>COUNTIFS(data!D:D,data!$I$2,data!F:F,"&lt;"&amp;B629)</f>
        <v>161</v>
      </c>
      <c r="G629">
        <f t="shared" si="54"/>
        <v>0.35269709543568467</v>
      </c>
      <c r="H629">
        <f t="shared" si="55"/>
        <v>0.69850187265917607</v>
      </c>
      <c r="I629">
        <f t="shared" si="59"/>
        <v>0</v>
      </c>
      <c r="J629">
        <f t="shared" si="56"/>
        <v>0.5939490445859873</v>
      </c>
      <c r="K629">
        <f t="shared" si="57"/>
        <v>0.64199655765920816</v>
      </c>
      <c r="L629">
        <f>A629*COUNTIF(data!D:D,data!$I$2)/data!$L$2</f>
        <v>266.78758949880671</v>
      </c>
      <c r="M629" s="1">
        <f>A629/data!$L$2</f>
        <v>0.4996022275258552</v>
      </c>
      <c r="N629">
        <f t="shared" si="58"/>
        <v>1.3981160094467902</v>
      </c>
    </row>
    <row r="630" spans="1:14" x14ac:dyDescent="0.2">
      <c r="A630">
        <v>629</v>
      </c>
      <c r="B630">
        <f>LARGE(data!F:F,A630)</f>
        <v>0.41497361030000002</v>
      </c>
      <c r="C630">
        <f>COUNTIFS(data!D:D,data!$I$2,data!F:F,"&gt;="&amp;B630)</f>
        <v>373</v>
      </c>
      <c r="D630">
        <f>COUNTIFS(data!D:D,data!$J$2,data!F:F,"&gt;="&amp;B630)</f>
        <v>256</v>
      </c>
      <c r="E630">
        <f>COUNTIFS(data!D:D,data!$J$2,data!F:F,"&lt;"&amp;B630)</f>
        <v>467</v>
      </c>
      <c r="F630">
        <f>COUNTIFS(data!D:D,data!$I$2,data!F:F,"&lt;"&amp;B630)</f>
        <v>161</v>
      </c>
      <c r="G630">
        <f t="shared" si="54"/>
        <v>0.35408022130013833</v>
      </c>
      <c r="H630">
        <f t="shared" si="55"/>
        <v>0.69850187265917607</v>
      </c>
      <c r="I630">
        <f t="shared" si="59"/>
        <v>9.6611600644422346E-4</v>
      </c>
      <c r="J630">
        <f t="shared" si="56"/>
        <v>0.59300476947535774</v>
      </c>
      <c r="K630">
        <f t="shared" si="57"/>
        <v>0.64144453998280315</v>
      </c>
      <c r="L630">
        <f>A630*COUNTIF(data!D:D,data!$I$2)/data!$L$2</f>
        <v>267.21241050119329</v>
      </c>
      <c r="M630" s="1">
        <f>A630/data!$L$2</f>
        <v>0.50039777247414474</v>
      </c>
      <c r="N630">
        <f t="shared" si="58"/>
        <v>1.3958932494953646</v>
      </c>
    </row>
    <row r="631" spans="1:14" x14ac:dyDescent="0.2">
      <c r="A631">
        <v>630</v>
      </c>
      <c r="B631">
        <f>LARGE(data!F:F,A631)</f>
        <v>0.41493306520000001</v>
      </c>
      <c r="C631">
        <f>COUNTIFS(data!D:D,data!$I$2,data!F:F,"&gt;="&amp;B631)</f>
        <v>377</v>
      </c>
      <c r="D631">
        <f>COUNTIFS(data!D:D,data!$J$2,data!F:F,"&gt;="&amp;B631)</f>
        <v>256</v>
      </c>
      <c r="E631">
        <f>COUNTIFS(data!D:D,data!$J$2,data!F:F,"&lt;"&amp;B631)</f>
        <v>467</v>
      </c>
      <c r="F631">
        <f>COUNTIFS(data!D:D,data!$I$2,data!F:F,"&lt;"&amp;B631)</f>
        <v>157</v>
      </c>
      <c r="G631">
        <f t="shared" ref="G631:G694" si="60">D631/(E631+D631)</f>
        <v>0.35408022130013833</v>
      </c>
      <c r="H631">
        <f t="shared" ref="H631:H694" si="61">C631/(C631+F631)</f>
        <v>0.70599250936329583</v>
      </c>
      <c r="I631">
        <f t="shared" si="59"/>
        <v>0</v>
      </c>
      <c r="J631">
        <f t="shared" ref="J631:J694" si="62">C631/(C631+D631)</f>
        <v>0.59557661927330174</v>
      </c>
      <c r="K631">
        <f t="shared" ref="K631:K694" si="63">2*J631*H631/(J631+H631)</f>
        <v>0.64610111396743786</v>
      </c>
      <c r="L631">
        <f>A631*COUNTIF(data!D:D,data!$I$2)/data!$L$2</f>
        <v>267.63723150357993</v>
      </c>
      <c r="M631" s="1">
        <f>A631/data!$L$2</f>
        <v>0.50119331742243434</v>
      </c>
      <c r="N631">
        <f t="shared" si="58"/>
        <v>1.4086231496343857</v>
      </c>
    </row>
    <row r="632" spans="1:14" x14ac:dyDescent="0.2">
      <c r="A632">
        <v>631</v>
      </c>
      <c r="B632">
        <f>LARGE(data!F:F,A632)</f>
        <v>0.41493306520000001</v>
      </c>
      <c r="C632">
        <f>COUNTIFS(data!D:D,data!$I$2,data!F:F,"&gt;="&amp;B632)</f>
        <v>377</v>
      </c>
      <c r="D632">
        <f>COUNTIFS(data!D:D,data!$J$2,data!F:F,"&gt;="&amp;B632)</f>
        <v>256</v>
      </c>
      <c r="E632">
        <f>COUNTIFS(data!D:D,data!$J$2,data!F:F,"&lt;"&amp;B632)</f>
        <v>467</v>
      </c>
      <c r="F632">
        <f>COUNTIFS(data!D:D,data!$I$2,data!F:F,"&lt;"&amp;B632)</f>
        <v>157</v>
      </c>
      <c r="G632">
        <f t="shared" si="60"/>
        <v>0.35408022130013833</v>
      </c>
      <c r="H632">
        <f t="shared" si="61"/>
        <v>0.70599250936329583</v>
      </c>
      <c r="I632">
        <f t="shared" si="59"/>
        <v>0</v>
      </c>
      <c r="J632">
        <f t="shared" si="62"/>
        <v>0.59557661927330174</v>
      </c>
      <c r="K632">
        <f t="shared" si="63"/>
        <v>0.64610111396743786</v>
      </c>
      <c r="L632">
        <f>A632*COUNTIF(data!D:D,data!$I$2)/data!$L$2</f>
        <v>268.06205250596656</v>
      </c>
      <c r="M632" s="1">
        <f>A632/data!$L$2</f>
        <v>0.50198886237072393</v>
      </c>
      <c r="N632">
        <f t="shared" si="58"/>
        <v>1.4063907833116689</v>
      </c>
    </row>
    <row r="633" spans="1:14" x14ac:dyDescent="0.2">
      <c r="A633">
        <v>632</v>
      </c>
      <c r="B633">
        <f>LARGE(data!F:F,A633)</f>
        <v>0.41493306520000001</v>
      </c>
      <c r="C633">
        <f>COUNTIFS(data!D:D,data!$I$2,data!F:F,"&gt;="&amp;B633)</f>
        <v>377</v>
      </c>
      <c r="D633">
        <f>COUNTIFS(data!D:D,data!$J$2,data!F:F,"&gt;="&amp;B633)</f>
        <v>256</v>
      </c>
      <c r="E633">
        <f>COUNTIFS(data!D:D,data!$J$2,data!F:F,"&lt;"&amp;B633)</f>
        <v>467</v>
      </c>
      <c r="F633">
        <f>COUNTIFS(data!D:D,data!$I$2,data!F:F,"&lt;"&amp;B633)</f>
        <v>157</v>
      </c>
      <c r="G633">
        <f t="shared" si="60"/>
        <v>0.35408022130013833</v>
      </c>
      <c r="H633">
        <f t="shared" si="61"/>
        <v>0.70599250936329583</v>
      </c>
      <c r="I633">
        <f t="shared" si="59"/>
        <v>0</v>
      </c>
      <c r="J633">
        <f t="shared" si="62"/>
        <v>0.59557661927330174</v>
      </c>
      <c r="K633">
        <f t="shared" si="63"/>
        <v>0.64610111396743786</v>
      </c>
      <c r="L633">
        <f>A633*COUNTIF(data!D:D,data!$I$2)/data!$L$2</f>
        <v>268.4868735083532</v>
      </c>
      <c r="M633" s="1">
        <f>A633/data!$L$2</f>
        <v>0.50278440731901353</v>
      </c>
      <c r="N633">
        <f t="shared" si="58"/>
        <v>1.4041654814393403</v>
      </c>
    </row>
    <row r="634" spans="1:14" x14ac:dyDescent="0.2">
      <c r="A634">
        <v>633</v>
      </c>
      <c r="B634">
        <f>LARGE(data!F:F,A634)</f>
        <v>0.41493306520000001</v>
      </c>
      <c r="C634">
        <f>COUNTIFS(data!D:D,data!$I$2,data!F:F,"&gt;="&amp;B634)</f>
        <v>377</v>
      </c>
      <c r="D634">
        <f>COUNTIFS(data!D:D,data!$J$2,data!F:F,"&gt;="&amp;B634)</f>
        <v>256</v>
      </c>
      <c r="E634">
        <f>COUNTIFS(data!D:D,data!$J$2,data!F:F,"&lt;"&amp;B634)</f>
        <v>467</v>
      </c>
      <c r="F634">
        <f>COUNTIFS(data!D:D,data!$I$2,data!F:F,"&lt;"&amp;B634)</f>
        <v>157</v>
      </c>
      <c r="G634">
        <f t="shared" si="60"/>
        <v>0.35408022130013833</v>
      </c>
      <c r="H634">
        <f t="shared" si="61"/>
        <v>0.70599250936329583</v>
      </c>
      <c r="I634">
        <f t="shared" si="59"/>
        <v>0</v>
      </c>
      <c r="J634">
        <f t="shared" si="62"/>
        <v>0.59557661927330174</v>
      </c>
      <c r="K634">
        <f t="shared" si="63"/>
        <v>0.64610111396743786</v>
      </c>
      <c r="L634">
        <f>A634*COUNTIF(data!D:D,data!$I$2)/data!$L$2</f>
        <v>268.91169451073984</v>
      </c>
      <c r="M634" s="1">
        <f>A634/data!$L$2</f>
        <v>0.50357995226730312</v>
      </c>
      <c r="N634">
        <f t="shared" si="58"/>
        <v>1.4019472105365924</v>
      </c>
    </row>
    <row r="635" spans="1:14" x14ac:dyDescent="0.2">
      <c r="A635">
        <v>634</v>
      </c>
      <c r="B635">
        <f>LARGE(data!F:F,A635)</f>
        <v>0.414868338</v>
      </c>
      <c r="C635">
        <f>COUNTIFS(data!D:D,data!$I$2,data!F:F,"&gt;="&amp;B635)</f>
        <v>378</v>
      </c>
      <c r="D635">
        <f>COUNTIFS(data!D:D,data!$J$2,data!F:F,"&gt;="&amp;B635)</f>
        <v>256</v>
      </c>
      <c r="E635">
        <f>COUNTIFS(data!D:D,data!$J$2,data!F:F,"&lt;"&amp;B635)</f>
        <v>467</v>
      </c>
      <c r="F635">
        <f>COUNTIFS(data!D:D,data!$I$2,data!F:F,"&lt;"&amp;B635)</f>
        <v>156</v>
      </c>
      <c r="G635">
        <f t="shared" si="60"/>
        <v>0.35408022130013833</v>
      </c>
      <c r="H635">
        <f t="shared" si="61"/>
        <v>0.7078651685393258</v>
      </c>
      <c r="I635">
        <f t="shared" si="59"/>
        <v>0</v>
      </c>
      <c r="J635">
        <f t="shared" si="62"/>
        <v>0.59621451104100942</v>
      </c>
      <c r="K635">
        <f t="shared" si="63"/>
        <v>0.64726027397260266</v>
      </c>
      <c r="L635">
        <f>A635*COUNTIF(data!D:D,data!$I$2)/data!$L$2</f>
        <v>269.33651551312647</v>
      </c>
      <c r="M635" s="1">
        <f>A635/data!$L$2</f>
        <v>0.50437549721559272</v>
      </c>
      <c r="N635">
        <f t="shared" si="58"/>
        <v>1.403448764753837</v>
      </c>
    </row>
    <row r="636" spans="1:14" x14ac:dyDescent="0.2">
      <c r="A636">
        <v>635</v>
      </c>
      <c r="B636">
        <f>LARGE(data!F:F,A636)</f>
        <v>0.4144135799</v>
      </c>
      <c r="C636">
        <f>COUNTIFS(data!D:D,data!$I$2,data!F:F,"&gt;="&amp;B636)</f>
        <v>378</v>
      </c>
      <c r="D636">
        <f>COUNTIFS(data!D:D,data!$J$2,data!F:F,"&gt;="&amp;B636)</f>
        <v>257</v>
      </c>
      <c r="E636">
        <f>COUNTIFS(data!D:D,data!$J$2,data!F:F,"&lt;"&amp;B636)</f>
        <v>466</v>
      </c>
      <c r="F636">
        <f>COUNTIFS(data!D:D,data!$I$2,data!F:F,"&lt;"&amp;B636)</f>
        <v>156</v>
      </c>
      <c r="G636">
        <f t="shared" si="60"/>
        <v>0.35546334716459199</v>
      </c>
      <c r="H636">
        <f t="shared" si="61"/>
        <v>0.7078651685393258</v>
      </c>
      <c r="I636">
        <f t="shared" si="59"/>
        <v>9.7906662315259095E-4</v>
      </c>
      <c r="J636">
        <f t="shared" si="62"/>
        <v>0.59527559055118107</v>
      </c>
      <c r="K636">
        <f t="shared" si="63"/>
        <v>0.6467065868263473</v>
      </c>
      <c r="L636">
        <f>A636*COUNTIF(data!D:D,data!$I$2)/data!$L$2</f>
        <v>269.76133651551311</v>
      </c>
      <c r="M636" s="1">
        <f>A636/data!$L$2</f>
        <v>0.50517104216388231</v>
      </c>
      <c r="N636">
        <f t="shared" si="58"/>
        <v>1.4012386092187916</v>
      </c>
    </row>
    <row r="637" spans="1:14" x14ac:dyDescent="0.2">
      <c r="A637">
        <v>636</v>
      </c>
      <c r="B637">
        <f>LARGE(data!F:F,A637)</f>
        <v>0.41436032969999997</v>
      </c>
      <c r="C637">
        <f>COUNTIFS(data!D:D,data!$I$2,data!F:F,"&gt;="&amp;B637)</f>
        <v>378</v>
      </c>
      <c r="D637">
        <f>COUNTIFS(data!D:D,data!$J$2,data!F:F,"&gt;="&amp;B637)</f>
        <v>258</v>
      </c>
      <c r="E637">
        <f>COUNTIFS(data!D:D,data!$J$2,data!F:F,"&lt;"&amp;B637)</f>
        <v>465</v>
      </c>
      <c r="F637">
        <f>COUNTIFS(data!D:D,data!$I$2,data!F:F,"&lt;"&amp;B637)</f>
        <v>156</v>
      </c>
      <c r="G637">
        <f t="shared" si="60"/>
        <v>0.35684647302904565</v>
      </c>
      <c r="H637">
        <f t="shared" si="61"/>
        <v>0.7078651685393258</v>
      </c>
      <c r="I637">
        <f t="shared" si="59"/>
        <v>9.7906662315259095E-4</v>
      </c>
      <c r="J637">
        <f t="shared" si="62"/>
        <v>0.59433962264150941</v>
      </c>
      <c r="K637">
        <f t="shared" si="63"/>
        <v>0.64615384615384619</v>
      </c>
      <c r="L637">
        <f>A637*COUNTIF(data!D:D,data!$I$2)/data!$L$2</f>
        <v>270.18615751789974</v>
      </c>
      <c r="M637" s="1">
        <f>A637/data!$L$2</f>
        <v>0.5059665871121718</v>
      </c>
      <c r="N637">
        <f t="shared" si="58"/>
        <v>1.3990354038583848</v>
      </c>
    </row>
    <row r="638" spans="1:14" x14ac:dyDescent="0.2">
      <c r="A638">
        <v>637</v>
      </c>
      <c r="B638">
        <f>LARGE(data!F:F,A638)</f>
        <v>0.41431064719999999</v>
      </c>
      <c r="C638">
        <f>COUNTIFS(data!D:D,data!$I$2,data!F:F,"&gt;="&amp;B638)</f>
        <v>378</v>
      </c>
      <c r="D638">
        <f>COUNTIFS(data!D:D,data!$J$2,data!F:F,"&gt;="&amp;B638)</f>
        <v>259</v>
      </c>
      <c r="E638">
        <f>COUNTIFS(data!D:D,data!$J$2,data!F:F,"&lt;"&amp;B638)</f>
        <v>464</v>
      </c>
      <c r="F638">
        <f>COUNTIFS(data!D:D,data!$I$2,data!F:F,"&lt;"&amp;B638)</f>
        <v>156</v>
      </c>
      <c r="G638">
        <f t="shared" si="60"/>
        <v>0.35822959889349931</v>
      </c>
      <c r="H638">
        <f t="shared" si="61"/>
        <v>0.7078651685393258</v>
      </c>
      <c r="I638">
        <f t="shared" si="59"/>
        <v>9.7906662315259095E-4</v>
      </c>
      <c r="J638">
        <f t="shared" si="62"/>
        <v>0.59340659340659341</v>
      </c>
      <c r="K638">
        <f t="shared" si="63"/>
        <v>0.64560204953031597</v>
      </c>
      <c r="L638">
        <f>A638*COUNTIF(data!D:D,data!$I$2)/data!$L$2</f>
        <v>270.61097852028638</v>
      </c>
      <c r="M638" s="1">
        <f>A638/data!$L$2</f>
        <v>0.50676213206046139</v>
      </c>
      <c r="N638">
        <f t="shared" si="58"/>
        <v>1.3968391159402396</v>
      </c>
    </row>
    <row r="639" spans="1:14" x14ac:dyDescent="0.2">
      <c r="A639">
        <v>638</v>
      </c>
      <c r="B639">
        <f>LARGE(data!F:F,A639)</f>
        <v>0.41410525529999997</v>
      </c>
      <c r="C639">
        <f>COUNTIFS(data!D:D,data!$I$2,data!F:F,"&gt;="&amp;B639)</f>
        <v>378</v>
      </c>
      <c r="D639">
        <f>COUNTIFS(data!D:D,data!$J$2,data!F:F,"&gt;="&amp;B639)</f>
        <v>260</v>
      </c>
      <c r="E639">
        <f>COUNTIFS(data!D:D,data!$J$2,data!F:F,"&lt;"&amp;B639)</f>
        <v>463</v>
      </c>
      <c r="F639">
        <f>COUNTIFS(data!D:D,data!$I$2,data!F:F,"&lt;"&amp;B639)</f>
        <v>156</v>
      </c>
      <c r="G639">
        <f t="shared" si="60"/>
        <v>0.35961272475795297</v>
      </c>
      <c r="H639">
        <f t="shared" si="61"/>
        <v>0.7078651685393258</v>
      </c>
      <c r="I639">
        <f t="shared" si="59"/>
        <v>9.7906662315259095E-4</v>
      </c>
      <c r="J639">
        <f t="shared" si="62"/>
        <v>0.59247648902821315</v>
      </c>
      <c r="K639">
        <f t="shared" si="63"/>
        <v>0.64505119453924908</v>
      </c>
      <c r="L639">
        <f>A639*COUNTIF(data!D:D,data!$I$2)/data!$L$2</f>
        <v>271.03579952267302</v>
      </c>
      <c r="M639" s="1">
        <f>A639/data!$L$2</f>
        <v>0.50755767700875098</v>
      </c>
      <c r="N639">
        <f t="shared" si="58"/>
        <v>1.3946497129371984</v>
      </c>
    </row>
    <row r="640" spans="1:14" x14ac:dyDescent="0.2">
      <c r="A640">
        <v>639</v>
      </c>
      <c r="B640">
        <f>LARGE(data!F:F,A640)</f>
        <v>0.41372387770000002</v>
      </c>
      <c r="C640">
        <f>COUNTIFS(data!D:D,data!$I$2,data!F:F,"&gt;="&amp;B640)</f>
        <v>378</v>
      </c>
      <c r="D640">
        <f>COUNTIFS(data!D:D,data!$J$2,data!F:F,"&gt;="&amp;B640)</f>
        <v>261</v>
      </c>
      <c r="E640">
        <f>COUNTIFS(data!D:D,data!$J$2,data!F:F,"&lt;"&amp;B640)</f>
        <v>462</v>
      </c>
      <c r="F640">
        <f>COUNTIFS(data!D:D,data!$I$2,data!F:F,"&lt;"&amp;B640)</f>
        <v>156</v>
      </c>
      <c r="G640">
        <f t="shared" si="60"/>
        <v>0.36099585062240663</v>
      </c>
      <c r="H640">
        <f t="shared" si="61"/>
        <v>0.7078651685393258</v>
      </c>
      <c r="I640">
        <f t="shared" si="59"/>
        <v>9.7906662315259095E-4</v>
      </c>
      <c r="J640">
        <f t="shared" si="62"/>
        <v>0.59154929577464788</v>
      </c>
      <c r="K640">
        <f t="shared" si="63"/>
        <v>0.64450127877237862</v>
      </c>
      <c r="L640">
        <f>A640*COUNTIF(data!D:D,data!$I$2)/data!$L$2</f>
        <v>271.46062052505965</v>
      </c>
      <c r="M640" s="1">
        <f>A640/data!$L$2</f>
        <v>0.50835322195704058</v>
      </c>
      <c r="N640">
        <f t="shared" si="58"/>
        <v>1.3924671625257161</v>
      </c>
    </row>
    <row r="641" spans="1:14" x14ac:dyDescent="0.2">
      <c r="A641">
        <v>640</v>
      </c>
      <c r="B641">
        <f>LARGE(data!F:F,A641)</f>
        <v>0.41335065650000002</v>
      </c>
      <c r="C641">
        <f>COUNTIFS(data!D:D,data!$I$2,data!F:F,"&gt;="&amp;B641)</f>
        <v>380</v>
      </c>
      <c r="D641">
        <f>COUNTIFS(data!D:D,data!$J$2,data!F:F,"&gt;="&amp;B641)</f>
        <v>261</v>
      </c>
      <c r="E641">
        <f>COUNTIFS(data!D:D,data!$J$2,data!F:F,"&lt;"&amp;B641)</f>
        <v>462</v>
      </c>
      <c r="F641">
        <f>COUNTIFS(data!D:D,data!$I$2,data!F:F,"&lt;"&amp;B641)</f>
        <v>154</v>
      </c>
      <c r="G641">
        <f t="shared" si="60"/>
        <v>0.36099585062240663</v>
      </c>
      <c r="H641">
        <f t="shared" si="61"/>
        <v>0.71161048689138573</v>
      </c>
      <c r="I641">
        <f t="shared" si="59"/>
        <v>0</v>
      </c>
      <c r="J641">
        <f t="shared" si="62"/>
        <v>0.59282371294851799</v>
      </c>
      <c r="K641">
        <f t="shared" si="63"/>
        <v>0.64680851063829781</v>
      </c>
      <c r="L641">
        <f>A641*COUNTIF(data!D:D,data!$I$2)/data!$L$2</f>
        <v>271.88544152744629</v>
      </c>
      <c r="M641" s="1">
        <f>A641/data!$L$2</f>
        <v>0.50914876690533017</v>
      </c>
      <c r="N641">
        <f t="shared" si="58"/>
        <v>1.3976474719101124</v>
      </c>
    </row>
    <row r="642" spans="1:14" x14ac:dyDescent="0.2">
      <c r="A642">
        <v>641</v>
      </c>
      <c r="B642">
        <f>LARGE(data!F:F,A642)</f>
        <v>0.41335065650000002</v>
      </c>
      <c r="C642">
        <f>COUNTIFS(data!D:D,data!$I$2,data!F:F,"&gt;="&amp;B642)</f>
        <v>380</v>
      </c>
      <c r="D642">
        <f>COUNTIFS(data!D:D,data!$J$2,data!F:F,"&gt;="&amp;B642)</f>
        <v>261</v>
      </c>
      <c r="E642">
        <f>COUNTIFS(data!D:D,data!$J$2,data!F:F,"&lt;"&amp;B642)</f>
        <v>462</v>
      </c>
      <c r="F642">
        <f>COUNTIFS(data!D:D,data!$I$2,data!F:F,"&lt;"&amp;B642)</f>
        <v>154</v>
      </c>
      <c r="G642">
        <f t="shared" si="60"/>
        <v>0.36099585062240663</v>
      </c>
      <c r="H642">
        <f t="shared" si="61"/>
        <v>0.71161048689138573</v>
      </c>
      <c r="I642">
        <f t="shared" si="59"/>
        <v>0</v>
      </c>
      <c r="J642">
        <f t="shared" si="62"/>
        <v>0.59282371294851799</v>
      </c>
      <c r="K642">
        <f t="shared" si="63"/>
        <v>0.64680851063829781</v>
      </c>
      <c r="L642">
        <f>A642*COUNTIF(data!D:D,data!$I$2)/data!$L$2</f>
        <v>272.31026252983293</v>
      </c>
      <c r="M642" s="1">
        <f>A642/data!$L$2</f>
        <v>0.50994431185361977</v>
      </c>
      <c r="N642">
        <f t="shared" ref="N642:N705" si="64">C642/L642</f>
        <v>1.3954670546372416</v>
      </c>
    </row>
    <row r="643" spans="1:14" x14ac:dyDescent="0.2">
      <c r="A643">
        <v>642</v>
      </c>
      <c r="B643">
        <f>LARGE(data!F:F,A643)</f>
        <v>0.41241931500000001</v>
      </c>
      <c r="C643">
        <f>COUNTIFS(data!D:D,data!$I$2,data!F:F,"&gt;="&amp;B643)</f>
        <v>381</v>
      </c>
      <c r="D643">
        <f>COUNTIFS(data!D:D,data!$J$2,data!F:F,"&gt;="&amp;B643)</f>
        <v>261</v>
      </c>
      <c r="E643">
        <f>COUNTIFS(data!D:D,data!$J$2,data!F:F,"&lt;"&amp;B643)</f>
        <v>462</v>
      </c>
      <c r="F643">
        <f>COUNTIFS(data!D:D,data!$I$2,data!F:F,"&lt;"&amp;B643)</f>
        <v>153</v>
      </c>
      <c r="G643">
        <f t="shared" si="60"/>
        <v>0.36099585062240663</v>
      </c>
      <c r="H643">
        <f t="shared" si="61"/>
        <v>0.7134831460674157</v>
      </c>
      <c r="I643">
        <f t="shared" ref="I643:I706" si="65">(G643-G642)*(H643+H642)*0.5</f>
        <v>0</v>
      </c>
      <c r="J643">
        <f t="shared" si="62"/>
        <v>0.59345794392523366</v>
      </c>
      <c r="K643">
        <f t="shared" si="63"/>
        <v>0.64795918367346939</v>
      </c>
      <c r="L643">
        <f>A643*COUNTIF(data!D:D,data!$I$2)/data!$L$2</f>
        <v>272.73508353221956</v>
      </c>
      <c r="M643" s="1">
        <f>A643/data!$L$2</f>
        <v>0.51073985680190925</v>
      </c>
      <c r="N643">
        <f t="shared" si="64"/>
        <v>1.3969599915992861</v>
      </c>
    </row>
    <row r="644" spans="1:14" x14ac:dyDescent="0.2">
      <c r="A644">
        <v>643</v>
      </c>
      <c r="B644">
        <f>LARGE(data!F:F,A644)</f>
        <v>0.4121060251</v>
      </c>
      <c r="C644">
        <f>COUNTIFS(data!D:D,data!$I$2,data!F:F,"&gt;="&amp;B644)</f>
        <v>381</v>
      </c>
      <c r="D644">
        <f>COUNTIFS(data!D:D,data!$J$2,data!F:F,"&gt;="&amp;B644)</f>
        <v>262</v>
      </c>
      <c r="E644">
        <f>COUNTIFS(data!D:D,data!$J$2,data!F:F,"&lt;"&amp;B644)</f>
        <v>461</v>
      </c>
      <c r="F644">
        <f>COUNTIFS(data!D:D,data!$I$2,data!F:F,"&lt;"&amp;B644)</f>
        <v>153</v>
      </c>
      <c r="G644">
        <f t="shared" si="60"/>
        <v>0.36237897648686029</v>
      </c>
      <c r="H644">
        <f t="shared" si="61"/>
        <v>0.7134831460674157</v>
      </c>
      <c r="I644">
        <f t="shared" si="65"/>
        <v>9.868369931776116E-4</v>
      </c>
      <c r="J644">
        <f t="shared" si="62"/>
        <v>0.59253499222395023</v>
      </c>
      <c r="K644">
        <f t="shared" si="63"/>
        <v>0.64740866610025494</v>
      </c>
      <c r="L644">
        <f>A644*COUNTIF(data!D:D,data!$I$2)/data!$L$2</f>
        <v>273.1599045346062</v>
      </c>
      <c r="M644" s="1">
        <f>A644/data!$L$2</f>
        <v>0.51153540175019885</v>
      </c>
      <c r="N644">
        <f t="shared" si="64"/>
        <v>1.3947874255159278</v>
      </c>
    </row>
    <row r="645" spans="1:14" x14ac:dyDescent="0.2">
      <c r="A645">
        <v>644</v>
      </c>
      <c r="B645">
        <f>LARGE(data!F:F,A645)</f>
        <v>0.41085290969999999</v>
      </c>
      <c r="C645">
        <f>COUNTIFS(data!D:D,data!$I$2,data!F:F,"&gt;="&amp;B645)</f>
        <v>383</v>
      </c>
      <c r="D645">
        <f>COUNTIFS(data!D:D,data!$J$2,data!F:F,"&gt;="&amp;B645)</f>
        <v>263</v>
      </c>
      <c r="E645">
        <f>COUNTIFS(data!D:D,data!$J$2,data!F:F,"&lt;"&amp;B645)</f>
        <v>460</v>
      </c>
      <c r="F645">
        <f>COUNTIFS(data!D:D,data!$I$2,data!F:F,"&lt;"&amp;B645)</f>
        <v>151</v>
      </c>
      <c r="G645">
        <f t="shared" si="60"/>
        <v>0.36376210235131395</v>
      </c>
      <c r="H645">
        <f t="shared" si="61"/>
        <v>0.71722846441947563</v>
      </c>
      <c r="I645">
        <f t="shared" si="65"/>
        <v>9.8942711651928508E-4</v>
      </c>
      <c r="J645">
        <f t="shared" si="62"/>
        <v>0.59287925696594423</v>
      </c>
      <c r="K645">
        <f t="shared" si="63"/>
        <v>0.64915254237288134</v>
      </c>
      <c r="L645">
        <f>A645*COUNTIF(data!D:D,data!$I$2)/data!$L$2</f>
        <v>273.58472553699283</v>
      </c>
      <c r="M645" s="1">
        <f>A645/data!$L$2</f>
        <v>0.51233094669848844</v>
      </c>
      <c r="N645">
        <f t="shared" si="64"/>
        <v>1.3999319561727965</v>
      </c>
    </row>
    <row r="646" spans="1:14" x14ac:dyDescent="0.2">
      <c r="A646">
        <v>645</v>
      </c>
      <c r="B646">
        <f>LARGE(data!F:F,A646)</f>
        <v>0.41085290969999999</v>
      </c>
      <c r="C646">
        <f>COUNTIFS(data!D:D,data!$I$2,data!F:F,"&gt;="&amp;B646)</f>
        <v>383</v>
      </c>
      <c r="D646">
        <f>COUNTIFS(data!D:D,data!$J$2,data!F:F,"&gt;="&amp;B646)</f>
        <v>263</v>
      </c>
      <c r="E646">
        <f>COUNTIFS(data!D:D,data!$J$2,data!F:F,"&lt;"&amp;B646)</f>
        <v>460</v>
      </c>
      <c r="F646">
        <f>COUNTIFS(data!D:D,data!$I$2,data!F:F,"&lt;"&amp;B646)</f>
        <v>151</v>
      </c>
      <c r="G646">
        <f t="shared" si="60"/>
        <v>0.36376210235131395</v>
      </c>
      <c r="H646">
        <f t="shared" si="61"/>
        <v>0.71722846441947563</v>
      </c>
      <c r="I646">
        <f t="shared" si="65"/>
        <v>0</v>
      </c>
      <c r="J646">
        <f t="shared" si="62"/>
        <v>0.59287925696594423</v>
      </c>
      <c r="K646">
        <f t="shared" si="63"/>
        <v>0.64915254237288134</v>
      </c>
      <c r="L646">
        <f>A646*COUNTIF(data!D:D,data!$I$2)/data!$L$2</f>
        <v>274.00954653937947</v>
      </c>
      <c r="M646" s="1">
        <f>A646/data!$L$2</f>
        <v>0.51312649164677804</v>
      </c>
      <c r="N646">
        <f t="shared" si="64"/>
        <v>1.3977615190314432</v>
      </c>
    </row>
    <row r="647" spans="1:14" x14ac:dyDescent="0.2">
      <c r="A647">
        <v>646</v>
      </c>
      <c r="B647">
        <f>LARGE(data!F:F,A647)</f>
        <v>0.41085290969999999</v>
      </c>
      <c r="C647">
        <f>COUNTIFS(data!D:D,data!$I$2,data!F:F,"&gt;="&amp;B647)</f>
        <v>383</v>
      </c>
      <c r="D647">
        <f>COUNTIFS(data!D:D,data!$J$2,data!F:F,"&gt;="&amp;B647)</f>
        <v>263</v>
      </c>
      <c r="E647">
        <f>COUNTIFS(data!D:D,data!$J$2,data!F:F,"&lt;"&amp;B647)</f>
        <v>460</v>
      </c>
      <c r="F647">
        <f>COUNTIFS(data!D:D,data!$I$2,data!F:F,"&lt;"&amp;B647)</f>
        <v>151</v>
      </c>
      <c r="G647">
        <f t="shared" si="60"/>
        <v>0.36376210235131395</v>
      </c>
      <c r="H647">
        <f t="shared" si="61"/>
        <v>0.71722846441947563</v>
      </c>
      <c r="I647">
        <f t="shared" si="65"/>
        <v>0</v>
      </c>
      <c r="J647">
        <f t="shared" si="62"/>
        <v>0.59287925696594423</v>
      </c>
      <c r="K647">
        <f t="shared" si="63"/>
        <v>0.64915254237288134</v>
      </c>
      <c r="L647">
        <f>A647*COUNTIF(data!D:D,data!$I$2)/data!$L$2</f>
        <v>274.43436754176611</v>
      </c>
      <c r="M647" s="1">
        <f>A647/data!$L$2</f>
        <v>0.51392203659506763</v>
      </c>
      <c r="N647">
        <f t="shared" si="64"/>
        <v>1.3955978015097228</v>
      </c>
    </row>
    <row r="648" spans="1:14" x14ac:dyDescent="0.2">
      <c r="A648">
        <v>647</v>
      </c>
      <c r="B648">
        <f>LARGE(data!F:F,A648)</f>
        <v>0.4103229243</v>
      </c>
      <c r="C648">
        <f>COUNTIFS(data!D:D,data!$I$2,data!F:F,"&gt;="&amp;B648)</f>
        <v>384</v>
      </c>
      <c r="D648">
        <f>COUNTIFS(data!D:D,data!$J$2,data!F:F,"&gt;="&amp;B648)</f>
        <v>263</v>
      </c>
      <c r="E648">
        <f>COUNTIFS(data!D:D,data!$J$2,data!F:F,"&lt;"&amp;B648)</f>
        <v>460</v>
      </c>
      <c r="F648">
        <f>COUNTIFS(data!D:D,data!$I$2,data!F:F,"&lt;"&amp;B648)</f>
        <v>150</v>
      </c>
      <c r="G648">
        <f t="shared" si="60"/>
        <v>0.36376210235131395</v>
      </c>
      <c r="H648">
        <f t="shared" si="61"/>
        <v>0.7191011235955056</v>
      </c>
      <c r="I648">
        <f t="shared" si="65"/>
        <v>0</v>
      </c>
      <c r="J648">
        <f t="shared" si="62"/>
        <v>0.59350850077279749</v>
      </c>
      <c r="K648">
        <f t="shared" si="63"/>
        <v>0.6502963590177816</v>
      </c>
      <c r="L648">
        <f>A648*COUNTIF(data!D:D,data!$I$2)/data!$L$2</f>
        <v>274.85918854415274</v>
      </c>
      <c r="M648" s="1">
        <f>A648/data!$L$2</f>
        <v>0.51471758154335723</v>
      </c>
      <c r="N648">
        <f t="shared" si="64"/>
        <v>1.3970789990101244</v>
      </c>
    </row>
    <row r="649" spans="1:14" x14ac:dyDescent="0.2">
      <c r="A649">
        <v>648</v>
      </c>
      <c r="B649">
        <f>LARGE(data!F:F,A649)</f>
        <v>0.41005926869999998</v>
      </c>
      <c r="C649">
        <f>COUNTIFS(data!D:D,data!$I$2,data!F:F,"&gt;="&amp;B649)</f>
        <v>384</v>
      </c>
      <c r="D649">
        <f>COUNTIFS(data!D:D,data!$J$2,data!F:F,"&gt;="&amp;B649)</f>
        <v>264</v>
      </c>
      <c r="E649">
        <f>COUNTIFS(data!D:D,data!$J$2,data!F:F,"&lt;"&amp;B649)</f>
        <v>459</v>
      </c>
      <c r="F649">
        <f>COUNTIFS(data!D:D,data!$I$2,data!F:F,"&lt;"&amp;B649)</f>
        <v>150</v>
      </c>
      <c r="G649">
        <f t="shared" si="60"/>
        <v>0.36514522821576761</v>
      </c>
      <c r="H649">
        <f t="shared" si="61"/>
        <v>0.7191011235955056</v>
      </c>
      <c r="I649">
        <f t="shared" si="65"/>
        <v>9.9460736320263225E-4</v>
      </c>
      <c r="J649">
        <f t="shared" si="62"/>
        <v>0.59259259259259256</v>
      </c>
      <c r="K649">
        <f t="shared" si="63"/>
        <v>0.64974619289340096</v>
      </c>
      <c r="L649">
        <f>A649*COUNTIF(data!D:D,data!$I$2)/data!$L$2</f>
        <v>275.28400954653938</v>
      </c>
      <c r="M649" s="1">
        <f>A649/data!$L$2</f>
        <v>0.51551312649164682</v>
      </c>
      <c r="N649">
        <f t="shared" si="64"/>
        <v>1.394923012900541</v>
      </c>
    </row>
    <row r="650" spans="1:14" x14ac:dyDescent="0.2">
      <c r="A650">
        <v>649</v>
      </c>
      <c r="B650">
        <f>LARGE(data!F:F,A650)</f>
        <v>0.40955600269999998</v>
      </c>
      <c r="C650">
        <f>COUNTIFS(data!D:D,data!$I$2,data!F:F,"&gt;="&amp;B650)</f>
        <v>384</v>
      </c>
      <c r="D650">
        <f>COUNTIFS(data!D:D,data!$J$2,data!F:F,"&gt;="&amp;B650)</f>
        <v>265</v>
      </c>
      <c r="E650">
        <f>COUNTIFS(data!D:D,data!$J$2,data!F:F,"&lt;"&amp;B650)</f>
        <v>458</v>
      </c>
      <c r="F650">
        <f>COUNTIFS(data!D:D,data!$I$2,data!F:F,"&lt;"&amp;B650)</f>
        <v>150</v>
      </c>
      <c r="G650">
        <f t="shared" si="60"/>
        <v>0.36652835408022127</v>
      </c>
      <c r="H650">
        <f t="shared" si="61"/>
        <v>0.7191011235955056</v>
      </c>
      <c r="I650">
        <f t="shared" si="65"/>
        <v>9.9460736320263225E-4</v>
      </c>
      <c r="J650">
        <f t="shared" si="62"/>
        <v>0.59167950693374427</v>
      </c>
      <c r="K650">
        <f t="shared" si="63"/>
        <v>0.6491969568892646</v>
      </c>
      <c r="L650">
        <f>A650*COUNTIF(data!D:D,data!$I$2)/data!$L$2</f>
        <v>275.70883054892602</v>
      </c>
      <c r="M650" s="1">
        <f>A650/data!$L$2</f>
        <v>0.51630867143993631</v>
      </c>
      <c r="N650">
        <f t="shared" si="64"/>
        <v>1.3927736708159484</v>
      </c>
    </row>
    <row r="651" spans="1:14" x14ac:dyDescent="0.2">
      <c r="A651">
        <v>650</v>
      </c>
      <c r="B651">
        <f>LARGE(data!F:F,A651)</f>
        <v>0.40918247190000001</v>
      </c>
      <c r="C651">
        <f>COUNTIFS(data!D:D,data!$I$2,data!F:F,"&gt;="&amp;B651)</f>
        <v>384</v>
      </c>
      <c r="D651">
        <f>COUNTIFS(data!D:D,data!$J$2,data!F:F,"&gt;="&amp;B651)</f>
        <v>266</v>
      </c>
      <c r="E651">
        <f>COUNTIFS(data!D:D,data!$J$2,data!F:F,"&lt;"&amp;B651)</f>
        <v>457</v>
      </c>
      <c r="F651">
        <f>COUNTIFS(data!D:D,data!$I$2,data!F:F,"&lt;"&amp;B651)</f>
        <v>150</v>
      </c>
      <c r="G651">
        <f t="shared" si="60"/>
        <v>0.36791147994467499</v>
      </c>
      <c r="H651">
        <f t="shared" si="61"/>
        <v>0.7191011235955056</v>
      </c>
      <c r="I651">
        <f t="shared" si="65"/>
        <v>9.9460736320267215E-4</v>
      </c>
      <c r="J651">
        <f t="shared" si="62"/>
        <v>0.59076923076923082</v>
      </c>
      <c r="K651">
        <f t="shared" si="63"/>
        <v>0.64864864864864868</v>
      </c>
      <c r="L651">
        <f>A651*COUNTIF(data!D:D,data!$I$2)/data!$L$2</f>
        <v>276.13365155131265</v>
      </c>
      <c r="M651" s="1">
        <f>A651/data!$L$2</f>
        <v>0.5171042163882259</v>
      </c>
      <c r="N651">
        <f t="shared" si="64"/>
        <v>1.3906309420916163</v>
      </c>
    </row>
    <row r="652" spans="1:14" x14ac:dyDescent="0.2">
      <c r="A652">
        <v>651</v>
      </c>
      <c r="B652">
        <f>LARGE(data!F:F,A652)</f>
        <v>0.40910602709999999</v>
      </c>
      <c r="C652">
        <f>COUNTIFS(data!D:D,data!$I$2,data!F:F,"&gt;="&amp;B652)</f>
        <v>384</v>
      </c>
      <c r="D652">
        <f>COUNTIFS(data!D:D,data!$J$2,data!F:F,"&gt;="&amp;B652)</f>
        <v>267</v>
      </c>
      <c r="E652">
        <f>COUNTIFS(data!D:D,data!$J$2,data!F:F,"&lt;"&amp;B652)</f>
        <v>456</v>
      </c>
      <c r="F652">
        <f>COUNTIFS(data!D:D,data!$I$2,data!F:F,"&lt;"&amp;B652)</f>
        <v>150</v>
      </c>
      <c r="G652">
        <f t="shared" si="60"/>
        <v>0.36929460580912865</v>
      </c>
      <c r="H652">
        <f t="shared" si="61"/>
        <v>0.7191011235955056</v>
      </c>
      <c r="I652">
        <f t="shared" si="65"/>
        <v>9.9460736320263225E-4</v>
      </c>
      <c r="J652">
        <f t="shared" si="62"/>
        <v>0.58986175115207373</v>
      </c>
      <c r="K652">
        <f t="shared" si="63"/>
        <v>0.64810126582278471</v>
      </c>
      <c r="L652">
        <f>A652*COUNTIF(data!D:D,data!$I$2)/data!$L$2</f>
        <v>276.55847255369929</v>
      </c>
      <c r="M652" s="1">
        <f>A652/data!$L$2</f>
        <v>0.5178997613365155</v>
      </c>
      <c r="N652">
        <f t="shared" si="64"/>
        <v>1.3884947962512297</v>
      </c>
    </row>
    <row r="653" spans="1:14" x14ac:dyDescent="0.2">
      <c r="A653">
        <v>652</v>
      </c>
      <c r="B653">
        <f>LARGE(data!F:F,A653)</f>
        <v>0.4090047403</v>
      </c>
      <c r="C653">
        <f>COUNTIFS(data!D:D,data!$I$2,data!F:F,"&gt;="&amp;B653)</f>
        <v>387</v>
      </c>
      <c r="D653">
        <f>COUNTIFS(data!D:D,data!$J$2,data!F:F,"&gt;="&amp;B653)</f>
        <v>267</v>
      </c>
      <c r="E653">
        <f>COUNTIFS(data!D:D,data!$J$2,data!F:F,"&lt;"&amp;B653)</f>
        <v>456</v>
      </c>
      <c r="F653">
        <f>COUNTIFS(data!D:D,data!$I$2,data!F:F,"&lt;"&amp;B653)</f>
        <v>147</v>
      </c>
      <c r="G653">
        <f t="shared" si="60"/>
        <v>0.36929460580912865</v>
      </c>
      <c r="H653">
        <f t="shared" si="61"/>
        <v>0.7247191011235955</v>
      </c>
      <c r="I653">
        <f t="shared" si="65"/>
        <v>0</v>
      </c>
      <c r="J653">
        <f t="shared" si="62"/>
        <v>0.59174311926605505</v>
      </c>
      <c r="K653">
        <f t="shared" si="63"/>
        <v>0.65151515151515149</v>
      </c>
      <c r="L653">
        <f>A653*COUNTIF(data!D:D,data!$I$2)/data!$L$2</f>
        <v>276.98329355608593</v>
      </c>
      <c r="M653" s="1">
        <f>A653/data!$L$2</f>
        <v>0.51869530628480509</v>
      </c>
      <c r="N653">
        <f t="shared" si="64"/>
        <v>1.3971961811539257</v>
      </c>
    </row>
    <row r="654" spans="1:14" x14ac:dyDescent="0.2">
      <c r="A654">
        <v>653</v>
      </c>
      <c r="B654">
        <f>LARGE(data!F:F,A654)</f>
        <v>0.4090047403</v>
      </c>
      <c r="C654">
        <f>COUNTIFS(data!D:D,data!$I$2,data!F:F,"&gt;="&amp;B654)</f>
        <v>387</v>
      </c>
      <c r="D654">
        <f>COUNTIFS(data!D:D,data!$J$2,data!F:F,"&gt;="&amp;B654)</f>
        <v>267</v>
      </c>
      <c r="E654">
        <f>COUNTIFS(data!D:D,data!$J$2,data!F:F,"&lt;"&amp;B654)</f>
        <v>456</v>
      </c>
      <c r="F654">
        <f>COUNTIFS(data!D:D,data!$I$2,data!F:F,"&lt;"&amp;B654)</f>
        <v>147</v>
      </c>
      <c r="G654">
        <f t="shared" si="60"/>
        <v>0.36929460580912865</v>
      </c>
      <c r="H654">
        <f t="shared" si="61"/>
        <v>0.7247191011235955</v>
      </c>
      <c r="I654">
        <f t="shared" si="65"/>
        <v>0</v>
      </c>
      <c r="J654">
        <f t="shared" si="62"/>
        <v>0.59174311926605505</v>
      </c>
      <c r="K654">
        <f t="shared" si="63"/>
        <v>0.65151515151515149</v>
      </c>
      <c r="L654">
        <f>A654*COUNTIF(data!D:D,data!$I$2)/data!$L$2</f>
        <v>277.40811455847256</v>
      </c>
      <c r="M654" s="1">
        <f>A654/data!$L$2</f>
        <v>0.51949085123309469</v>
      </c>
      <c r="N654">
        <f t="shared" si="64"/>
        <v>1.395056523908667</v>
      </c>
    </row>
    <row r="655" spans="1:14" x14ac:dyDescent="0.2">
      <c r="A655">
        <v>654</v>
      </c>
      <c r="B655">
        <f>LARGE(data!F:F,A655)</f>
        <v>0.4090047403</v>
      </c>
      <c r="C655">
        <f>COUNTIFS(data!D:D,data!$I$2,data!F:F,"&gt;="&amp;B655)</f>
        <v>387</v>
      </c>
      <c r="D655">
        <f>COUNTIFS(data!D:D,data!$J$2,data!F:F,"&gt;="&amp;B655)</f>
        <v>267</v>
      </c>
      <c r="E655">
        <f>COUNTIFS(data!D:D,data!$J$2,data!F:F,"&lt;"&amp;B655)</f>
        <v>456</v>
      </c>
      <c r="F655">
        <f>COUNTIFS(data!D:D,data!$I$2,data!F:F,"&lt;"&amp;B655)</f>
        <v>147</v>
      </c>
      <c r="G655">
        <f t="shared" si="60"/>
        <v>0.36929460580912865</v>
      </c>
      <c r="H655">
        <f t="shared" si="61"/>
        <v>0.7247191011235955</v>
      </c>
      <c r="I655">
        <f t="shared" si="65"/>
        <v>0</v>
      </c>
      <c r="J655">
        <f t="shared" si="62"/>
        <v>0.59174311926605505</v>
      </c>
      <c r="K655">
        <f t="shared" si="63"/>
        <v>0.65151515151515149</v>
      </c>
      <c r="L655">
        <f>A655*COUNTIF(data!D:D,data!$I$2)/data!$L$2</f>
        <v>277.8329355608592</v>
      </c>
      <c r="M655" s="1">
        <f>A655/data!$L$2</f>
        <v>0.52028639618138428</v>
      </c>
      <c r="N655">
        <f t="shared" si="64"/>
        <v>1.3929234099577363</v>
      </c>
    </row>
    <row r="656" spans="1:14" x14ac:dyDescent="0.2">
      <c r="A656">
        <v>655</v>
      </c>
      <c r="B656">
        <f>LARGE(data!F:F,A656)</f>
        <v>0.4056172884</v>
      </c>
      <c r="C656">
        <f>COUNTIFS(data!D:D,data!$I$2,data!F:F,"&gt;="&amp;B656)</f>
        <v>387</v>
      </c>
      <c r="D656">
        <f>COUNTIFS(data!D:D,data!$J$2,data!F:F,"&gt;="&amp;B656)</f>
        <v>268</v>
      </c>
      <c r="E656">
        <f>COUNTIFS(data!D:D,data!$J$2,data!F:F,"&lt;"&amp;B656)</f>
        <v>455</v>
      </c>
      <c r="F656">
        <f>COUNTIFS(data!D:D,data!$I$2,data!F:F,"&lt;"&amp;B656)</f>
        <v>147</v>
      </c>
      <c r="G656">
        <f t="shared" si="60"/>
        <v>0.37067773167358231</v>
      </c>
      <c r="H656">
        <f t="shared" si="61"/>
        <v>0.7247191011235955</v>
      </c>
      <c r="I656">
        <f t="shared" si="65"/>
        <v>1.0023777332276527E-3</v>
      </c>
      <c r="J656">
        <f t="shared" si="62"/>
        <v>0.59083969465648856</v>
      </c>
      <c r="K656">
        <f t="shared" si="63"/>
        <v>0.65096719932716562</v>
      </c>
      <c r="L656">
        <f>A656*COUNTIF(data!D:D,data!$I$2)/data!$L$2</f>
        <v>278.25775656324583</v>
      </c>
      <c r="M656" s="1">
        <f>A656/data!$L$2</f>
        <v>0.52108194112967388</v>
      </c>
      <c r="N656">
        <f t="shared" si="64"/>
        <v>1.3907968093318466</v>
      </c>
    </row>
    <row r="657" spans="1:14" x14ac:dyDescent="0.2">
      <c r="A657">
        <v>656</v>
      </c>
      <c r="B657">
        <f>LARGE(data!F:F,A657)</f>
        <v>0.40459456799999999</v>
      </c>
      <c r="C657">
        <f>COUNTIFS(data!D:D,data!$I$2,data!F:F,"&gt;="&amp;B657)</f>
        <v>388</v>
      </c>
      <c r="D657">
        <f>COUNTIFS(data!D:D,data!$J$2,data!F:F,"&gt;="&amp;B657)</f>
        <v>268</v>
      </c>
      <c r="E657">
        <f>COUNTIFS(data!D:D,data!$J$2,data!F:F,"&lt;"&amp;B657)</f>
        <v>455</v>
      </c>
      <c r="F657">
        <f>COUNTIFS(data!D:D,data!$I$2,data!F:F,"&lt;"&amp;B657)</f>
        <v>146</v>
      </c>
      <c r="G657">
        <f t="shared" si="60"/>
        <v>0.37067773167358231</v>
      </c>
      <c r="H657">
        <f t="shared" si="61"/>
        <v>0.72659176029962547</v>
      </c>
      <c r="I657">
        <f t="shared" si="65"/>
        <v>0</v>
      </c>
      <c r="J657">
        <f t="shared" si="62"/>
        <v>0.59146341463414631</v>
      </c>
      <c r="K657">
        <f t="shared" si="63"/>
        <v>0.65210084033613447</v>
      </c>
      <c r="L657">
        <f>A657*COUNTIF(data!D:D,data!$I$2)/data!$L$2</f>
        <v>278.68257756563247</v>
      </c>
      <c r="M657" s="1">
        <f>A657/data!$L$2</f>
        <v>0.52187748607796336</v>
      </c>
      <c r="N657">
        <f t="shared" si="64"/>
        <v>1.3922650041107152</v>
      </c>
    </row>
    <row r="658" spans="1:14" x14ac:dyDescent="0.2">
      <c r="A658">
        <v>657</v>
      </c>
      <c r="B658">
        <f>LARGE(data!F:F,A658)</f>
        <v>0.40422173169999998</v>
      </c>
      <c r="C658">
        <f>COUNTIFS(data!D:D,data!$I$2,data!F:F,"&gt;="&amp;B658)</f>
        <v>388</v>
      </c>
      <c r="D658">
        <f>COUNTIFS(data!D:D,data!$J$2,data!F:F,"&gt;="&amp;B658)</f>
        <v>269</v>
      </c>
      <c r="E658">
        <f>COUNTIFS(data!D:D,data!$J$2,data!F:F,"&lt;"&amp;B658)</f>
        <v>454</v>
      </c>
      <c r="F658">
        <f>COUNTIFS(data!D:D,data!$I$2,data!F:F,"&lt;"&amp;B658)</f>
        <v>146</v>
      </c>
      <c r="G658">
        <f t="shared" si="60"/>
        <v>0.37206085753803597</v>
      </c>
      <c r="H658">
        <f t="shared" si="61"/>
        <v>0.72659176029962547</v>
      </c>
      <c r="I658">
        <f t="shared" si="65"/>
        <v>1.0049678565693262E-3</v>
      </c>
      <c r="J658">
        <f t="shared" si="62"/>
        <v>0.59056316590563163</v>
      </c>
      <c r="K658">
        <f t="shared" si="63"/>
        <v>0.65155331654072202</v>
      </c>
      <c r="L658">
        <f>A658*COUNTIF(data!D:D,data!$I$2)/data!$L$2</f>
        <v>279.10739856801911</v>
      </c>
      <c r="M658" s="1">
        <f>A658/data!$L$2</f>
        <v>0.52267303102625295</v>
      </c>
      <c r="N658">
        <f t="shared" si="64"/>
        <v>1.3901458792947172</v>
      </c>
    </row>
    <row r="659" spans="1:14" x14ac:dyDescent="0.2">
      <c r="A659">
        <v>658</v>
      </c>
      <c r="B659">
        <f>LARGE(data!F:F,A659)</f>
        <v>0.40378568529999997</v>
      </c>
      <c r="C659">
        <f>COUNTIFS(data!D:D,data!$I$2,data!F:F,"&gt;="&amp;B659)</f>
        <v>388</v>
      </c>
      <c r="D659">
        <f>COUNTIFS(data!D:D,data!$J$2,data!F:F,"&gt;="&amp;B659)</f>
        <v>270</v>
      </c>
      <c r="E659">
        <f>COUNTIFS(data!D:D,data!$J$2,data!F:F,"&lt;"&amp;B659)</f>
        <v>453</v>
      </c>
      <c r="F659">
        <f>COUNTIFS(data!D:D,data!$I$2,data!F:F,"&lt;"&amp;B659)</f>
        <v>146</v>
      </c>
      <c r="G659">
        <f t="shared" si="60"/>
        <v>0.37344398340248963</v>
      </c>
      <c r="H659">
        <f t="shared" si="61"/>
        <v>0.72659176029962547</v>
      </c>
      <c r="I659">
        <f t="shared" si="65"/>
        <v>1.0049678565693262E-3</v>
      </c>
      <c r="J659">
        <f t="shared" si="62"/>
        <v>0.58966565349544076</v>
      </c>
      <c r="K659">
        <f t="shared" si="63"/>
        <v>0.65100671140939603</v>
      </c>
      <c r="L659">
        <f>A659*COUNTIF(data!D:D,data!$I$2)/data!$L$2</f>
        <v>279.53221957040574</v>
      </c>
      <c r="M659" s="1">
        <f>A659/data!$L$2</f>
        <v>0.52346857597454255</v>
      </c>
      <c r="N659">
        <f t="shared" si="64"/>
        <v>1.3880331955875824</v>
      </c>
    </row>
    <row r="660" spans="1:14" x14ac:dyDescent="0.2">
      <c r="A660">
        <v>659</v>
      </c>
      <c r="B660">
        <f>LARGE(data!F:F,A660)</f>
        <v>0.40284177630000001</v>
      </c>
      <c r="C660">
        <f>COUNTIFS(data!D:D,data!$I$2,data!F:F,"&gt;="&amp;B660)</f>
        <v>388</v>
      </c>
      <c r="D660">
        <f>COUNTIFS(data!D:D,data!$J$2,data!F:F,"&gt;="&amp;B660)</f>
        <v>271</v>
      </c>
      <c r="E660">
        <f>COUNTIFS(data!D:D,data!$J$2,data!F:F,"&lt;"&amp;B660)</f>
        <v>452</v>
      </c>
      <c r="F660">
        <f>COUNTIFS(data!D:D,data!$I$2,data!F:F,"&lt;"&amp;B660)</f>
        <v>146</v>
      </c>
      <c r="G660">
        <f t="shared" si="60"/>
        <v>0.37482710926694329</v>
      </c>
      <c r="H660">
        <f t="shared" si="61"/>
        <v>0.72659176029962547</v>
      </c>
      <c r="I660">
        <f t="shared" si="65"/>
        <v>1.0049678565693262E-3</v>
      </c>
      <c r="J660">
        <f t="shared" si="62"/>
        <v>0.58877086494688924</v>
      </c>
      <c r="K660">
        <f t="shared" si="63"/>
        <v>0.65046102263202021</v>
      </c>
      <c r="L660">
        <f>A660*COUNTIF(data!D:D,data!$I$2)/data!$L$2</f>
        <v>279.95704057279238</v>
      </c>
      <c r="M660" s="1">
        <f>A660/data!$L$2</f>
        <v>0.52426412092283214</v>
      </c>
      <c r="N660">
        <f t="shared" si="64"/>
        <v>1.3859269236671157</v>
      </c>
    </row>
    <row r="661" spans="1:14" x14ac:dyDescent="0.2">
      <c r="A661">
        <v>660</v>
      </c>
      <c r="B661">
        <f>LARGE(data!F:F,A661)</f>
        <v>0.4005336665</v>
      </c>
      <c r="C661">
        <f>COUNTIFS(data!D:D,data!$I$2,data!F:F,"&gt;="&amp;B661)</f>
        <v>388</v>
      </c>
      <c r="D661">
        <f>COUNTIFS(data!D:D,data!$J$2,data!F:F,"&gt;="&amp;B661)</f>
        <v>272</v>
      </c>
      <c r="E661">
        <f>COUNTIFS(data!D:D,data!$J$2,data!F:F,"&lt;"&amp;B661)</f>
        <v>451</v>
      </c>
      <c r="F661">
        <f>COUNTIFS(data!D:D,data!$I$2,data!F:F,"&lt;"&amp;B661)</f>
        <v>146</v>
      </c>
      <c r="G661">
        <f t="shared" si="60"/>
        <v>0.37621023513139695</v>
      </c>
      <c r="H661">
        <f t="shared" si="61"/>
        <v>0.72659176029962547</v>
      </c>
      <c r="I661">
        <f t="shared" si="65"/>
        <v>1.0049678565693262E-3</v>
      </c>
      <c r="J661">
        <f t="shared" si="62"/>
        <v>0.58787878787878789</v>
      </c>
      <c r="K661">
        <f t="shared" si="63"/>
        <v>0.64991624790619773</v>
      </c>
      <c r="L661">
        <f>A661*COUNTIF(data!D:D,data!$I$2)/data!$L$2</f>
        <v>280.38186157517902</v>
      </c>
      <c r="M661" s="1">
        <f>A661/data!$L$2</f>
        <v>0.52505966587112174</v>
      </c>
      <c r="N661">
        <f t="shared" si="64"/>
        <v>1.3838270343888321</v>
      </c>
    </row>
    <row r="662" spans="1:14" x14ac:dyDescent="0.2">
      <c r="A662">
        <v>661</v>
      </c>
      <c r="B662">
        <f>LARGE(data!F:F,A662)</f>
        <v>0.39941330780000001</v>
      </c>
      <c r="C662">
        <f>COUNTIFS(data!D:D,data!$I$2,data!F:F,"&gt;="&amp;B662)</f>
        <v>388</v>
      </c>
      <c r="D662">
        <f>COUNTIFS(data!D:D,data!$J$2,data!F:F,"&gt;="&amp;B662)</f>
        <v>273</v>
      </c>
      <c r="E662">
        <f>COUNTIFS(data!D:D,data!$J$2,data!F:F,"&lt;"&amp;B662)</f>
        <v>450</v>
      </c>
      <c r="F662">
        <f>COUNTIFS(data!D:D,data!$I$2,data!F:F,"&lt;"&amp;B662)</f>
        <v>146</v>
      </c>
      <c r="G662">
        <f t="shared" si="60"/>
        <v>0.37759336099585061</v>
      </c>
      <c r="H662">
        <f t="shared" si="61"/>
        <v>0.72659176029962547</v>
      </c>
      <c r="I662">
        <f t="shared" si="65"/>
        <v>1.0049678565693262E-3</v>
      </c>
      <c r="J662">
        <f t="shared" si="62"/>
        <v>0.58698940998487137</v>
      </c>
      <c r="K662">
        <f t="shared" si="63"/>
        <v>0.64937238493723848</v>
      </c>
      <c r="L662">
        <f>A662*COUNTIF(data!D:D,data!$I$2)/data!$L$2</f>
        <v>280.80668257756565</v>
      </c>
      <c r="M662" s="1">
        <f>A662/data!$L$2</f>
        <v>0.52585521081941133</v>
      </c>
      <c r="N662">
        <f t="shared" si="64"/>
        <v>1.3817334987846128</v>
      </c>
    </row>
    <row r="663" spans="1:14" x14ac:dyDescent="0.2">
      <c r="A663">
        <v>662</v>
      </c>
      <c r="B663">
        <f>LARGE(data!F:F,A663)</f>
        <v>0.39878523970000002</v>
      </c>
      <c r="C663">
        <f>COUNTIFS(data!D:D,data!$I$2,data!F:F,"&gt;="&amp;B663)</f>
        <v>388</v>
      </c>
      <c r="D663">
        <f>COUNTIFS(data!D:D,data!$J$2,data!F:F,"&gt;="&amp;B663)</f>
        <v>274</v>
      </c>
      <c r="E663">
        <f>COUNTIFS(data!D:D,data!$J$2,data!F:F,"&lt;"&amp;B663)</f>
        <v>449</v>
      </c>
      <c r="F663">
        <f>COUNTIFS(data!D:D,data!$I$2,data!F:F,"&lt;"&amp;B663)</f>
        <v>146</v>
      </c>
      <c r="G663">
        <f t="shared" si="60"/>
        <v>0.37897648686030427</v>
      </c>
      <c r="H663">
        <f t="shared" si="61"/>
        <v>0.72659176029962547</v>
      </c>
      <c r="I663">
        <f t="shared" si="65"/>
        <v>1.0049678565693262E-3</v>
      </c>
      <c r="J663">
        <f t="shared" si="62"/>
        <v>0.58610271903323263</v>
      </c>
      <c r="K663">
        <f t="shared" si="63"/>
        <v>0.6488294314381271</v>
      </c>
      <c r="L663">
        <f>A663*COUNTIF(data!D:D,data!$I$2)/data!$L$2</f>
        <v>281.23150357995229</v>
      </c>
      <c r="M663" s="1">
        <f>A663/data!$L$2</f>
        <v>0.52665075576770093</v>
      </c>
      <c r="N663">
        <f t="shared" si="64"/>
        <v>1.3796462880613733</v>
      </c>
    </row>
    <row r="664" spans="1:14" x14ac:dyDescent="0.2">
      <c r="A664">
        <v>663</v>
      </c>
      <c r="B664">
        <f>LARGE(data!F:F,A664)</f>
        <v>0.3979129871</v>
      </c>
      <c r="C664">
        <f>COUNTIFS(data!D:D,data!$I$2,data!F:F,"&gt;="&amp;B664)</f>
        <v>389</v>
      </c>
      <c r="D664">
        <f>COUNTIFS(data!D:D,data!$J$2,data!F:F,"&gt;="&amp;B664)</f>
        <v>274</v>
      </c>
      <c r="E664">
        <f>COUNTIFS(data!D:D,data!$J$2,data!F:F,"&lt;"&amp;B664)</f>
        <v>449</v>
      </c>
      <c r="F664">
        <f>COUNTIFS(data!D:D,data!$I$2,data!F:F,"&lt;"&amp;B664)</f>
        <v>145</v>
      </c>
      <c r="G664">
        <f t="shared" si="60"/>
        <v>0.37897648686030427</v>
      </c>
      <c r="H664">
        <f t="shared" si="61"/>
        <v>0.72846441947565543</v>
      </c>
      <c r="I664">
        <f t="shared" si="65"/>
        <v>0</v>
      </c>
      <c r="J664">
        <f t="shared" si="62"/>
        <v>0.5867269984917044</v>
      </c>
      <c r="K664">
        <f t="shared" si="63"/>
        <v>0.6499582289055974</v>
      </c>
      <c r="L664">
        <f>A664*COUNTIF(data!D:D,data!$I$2)/data!$L$2</f>
        <v>281.65632458233893</v>
      </c>
      <c r="M664" s="1">
        <f>A664/data!$L$2</f>
        <v>0.52744630071599041</v>
      </c>
      <c r="N664">
        <f t="shared" si="64"/>
        <v>1.3811157998203603</v>
      </c>
    </row>
    <row r="665" spans="1:14" x14ac:dyDescent="0.2">
      <c r="A665">
        <v>664</v>
      </c>
      <c r="B665">
        <f>LARGE(data!F:F,A665)</f>
        <v>0.39791148570000001</v>
      </c>
      <c r="C665">
        <f>COUNTIFS(data!D:D,data!$I$2,data!F:F,"&gt;="&amp;B665)</f>
        <v>389</v>
      </c>
      <c r="D665">
        <f>COUNTIFS(data!D:D,data!$J$2,data!F:F,"&gt;="&amp;B665)</f>
        <v>275</v>
      </c>
      <c r="E665">
        <f>COUNTIFS(data!D:D,data!$J$2,data!F:F,"&lt;"&amp;B665)</f>
        <v>448</v>
      </c>
      <c r="F665">
        <f>COUNTIFS(data!D:D,data!$I$2,data!F:F,"&lt;"&amp;B665)</f>
        <v>145</v>
      </c>
      <c r="G665">
        <f t="shared" si="60"/>
        <v>0.38035961272475793</v>
      </c>
      <c r="H665">
        <f t="shared" si="61"/>
        <v>0.72846441947565543</v>
      </c>
      <c r="I665">
        <f t="shared" si="65"/>
        <v>1.0075579799109999E-3</v>
      </c>
      <c r="J665">
        <f t="shared" si="62"/>
        <v>0.58584337349397586</v>
      </c>
      <c r="K665">
        <f t="shared" si="63"/>
        <v>0.64941569282136902</v>
      </c>
      <c r="L665">
        <f>A665*COUNTIF(data!D:D,data!$I$2)/data!$L$2</f>
        <v>282.08114558472556</v>
      </c>
      <c r="M665" s="1">
        <f>A665/data!$L$2</f>
        <v>0.52824184566428001</v>
      </c>
      <c r="N665">
        <f t="shared" si="64"/>
        <v>1.379035806145932</v>
      </c>
    </row>
    <row r="666" spans="1:14" x14ac:dyDescent="0.2">
      <c r="A666">
        <v>665</v>
      </c>
      <c r="B666">
        <f>LARGE(data!F:F,A666)</f>
        <v>0.39790676460000002</v>
      </c>
      <c r="C666">
        <f>COUNTIFS(data!D:D,data!$I$2,data!F:F,"&gt;="&amp;B666)</f>
        <v>389</v>
      </c>
      <c r="D666">
        <f>COUNTIFS(data!D:D,data!$J$2,data!F:F,"&gt;="&amp;B666)</f>
        <v>276</v>
      </c>
      <c r="E666">
        <f>COUNTIFS(data!D:D,data!$J$2,data!F:F,"&lt;"&amp;B666)</f>
        <v>447</v>
      </c>
      <c r="F666">
        <f>COUNTIFS(data!D:D,data!$I$2,data!F:F,"&lt;"&amp;B666)</f>
        <v>145</v>
      </c>
      <c r="G666">
        <f t="shared" si="60"/>
        <v>0.38174273858921159</v>
      </c>
      <c r="H666">
        <f t="shared" si="61"/>
        <v>0.72846441947565543</v>
      </c>
      <c r="I666">
        <f t="shared" si="65"/>
        <v>1.0075579799109999E-3</v>
      </c>
      <c r="J666">
        <f t="shared" si="62"/>
        <v>0.58496240601503757</v>
      </c>
      <c r="K666">
        <f t="shared" si="63"/>
        <v>0.64887406171809847</v>
      </c>
      <c r="L666">
        <f>A666*COUNTIF(data!D:D,data!$I$2)/data!$L$2</f>
        <v>282.5059665871122</v>
      </c>
      <c r="M666" s="1">
        <f>A666/data!$L$2</f>
        <v>0.5290373906125696</v>
      </c>
      <c r="N666">
        <f t="shared" si="64"/>
        <v>1.3769620680915771</v>
      </c>
    </row>
    <row r="667" spans="1:14" x14ac:dyDescent="0.2">
      <c r="A667">
        <v>666</v>
      </c>
      <c r="B667">
        <f>LARGE(data!F:F,A667)</f>
        <v>0.3979029872</v>
      </c>
      <c r="C667">
        <f>COUNTIFS(data!D:D,data!$I$2,data!F:F,"&gt;="&amp;B667)</f>
        <v>389</v>
      </c>
      <c r="D667">
        <f>COUNTIFS(data!D:D,data!$J$2,data!F:F,"&gt;="&amp;B667)</f>
        <v>277</v>
      </c>
      <c r="E667">
        <f>COUNTIFS(data!D:D,data!$J$2,data!F:F,"&lt;"&amp;B667)</f>
        <v>446</v>
      </c>
      <c r="F667">
        <f>COUNTIFS(data!D:D,data!$I$2,data!F:F,"&lt;"&amp;B667)</f>
        <v>145</v>
      </c>
      <c r="G667">
        <f t="shared" si="60"/>
        <v>0.38312586445366531</v>
      </c>
      <c r="H667">
        <f t="shared" si="61"/>
        <v>0.72846441947565543</v>
      </c>
      <c r="I667">
        <f t="shared" si="65"/>
        <v>1.0075579799110402E-3</v>
      </c>
      <c r="J667">
        <f t="shared" si="62"/>
        <v>0.58408408408408408</v>
      </c>
      <c r="K667">
        <f t="shared" si="63"/>
        <v>0.64833333333333332</v>
      </c>
      <c r="L667">
        <f>A667*COUNTIF(data!D:D,data!$I$2)/data!$L$2</f>
        <v>282.93078758949883</v>
      </c>
      <c r="M667" s="1">
        <f>A667/data!$L$2</f>
        <v>0.5298329355608592</v>
      </c>
      <c r="N667">
        <f t="shared" si="64"/>
        <v>1.3748945574788269</v>
      </c>
    </row>
    <row r="668" spans="1:14" x14ac:dyDescent="0.2">
      <c r="A668">
        <v>667</v>
      </c>
      <c r="B668">
        <f>LARGE(data!F:F,A668)</f>
        <v>0.39752354080000002</v>
      </c>
      <c r="C668">
        <f>COUNTIFS(data!D:D,data!$I$2,data!F:F,"&gt;="&amp;B668)</f>
        <v>392</v>
      </c>
      <c r="D668">
        <f>COUNTIFS(data!D:D,data!$J$2,data!F:F,"&gt;="&amp;B668)</f>
        <v>277</v>
      </c>
      <c r="E668">
        <f>COUNTIFS(data!D:D,data!$J$2,data!F:F,"&lt;"&amp;B668)</f>
        <v>446</v>
      </c>
      <c r="F668">
        <f>COUNTIFS(data!D:D,data!$I$2,data!F:F,"&lt;"&amp;B668)</f>
        <v>142</v>
      </c>
      <c r="G668">
        <f t="shared" si="60"/>
        <v>0.38312586445366531</v>
      </c>
      <c r="H668">
        <f t="shared" si="61"/>
        <v>0.73408239700374533</v>
      </c>
      <c r="I668">
        <f t="shared" si="65"/>
        <v>0</v>
      </c>
      <c r="J668">
        <f t="shared" si="62"/>
        <v>0.58594917787742895</v>
      </c>
      <c r="K668">
        <f t="shared" si="63"/>
        <v>0.65170407315045709</v>
      </c>
      <c r="L668">
        <f>A668*COUNTIF(data!D:D,data!$I$2)/data!$L$2</f>
        <v>283.35560859188541</v>
      </c>
      <c r="M668" s="1">
        <f>A668/data!$L$2</f>
        <v>0.53062848050914879</v>
      </c>
      <c r="N668">
        <f t="shared" si="64"/>
        <v>1.3834206492259489</v>
      </c>
    </row>
    <row r="669" spans="1:14" x14ac:dyDescent="0.2">
      <c r="A669">
        <v>668</v>
      </c>
      <c r="B669">
        <f>LARGE(data!F:F,A669)</f>
        <v>0.39752354080000002</v>
      </c>
      <c r="C669">
        <f>COUNTIFS(data!D:D,data!$I$2,data!F:F,"&gt;="&amp;B669)</f>
        <v>392</v>
      </c>
      <c r="D669">
        <f>COUNTIFS(data!D:D,data!$J$2,data!F:F,"&gt;="&amp;B669)</f>
        <v>277</v>
      </c>
      <c r="E669">
        <f>COUNTIFS(data!D:D,data!$J$2,data!F:F,"&lt;"&amp;B669)</f>
        <v>446</v>
      </c>
      <c r="F669">
        <f>COUNTIFS(data!D:D,data!$I$2,data!F:F,"&lt;"&amp;B669)</f>
        <v>142</v>
      </c>
      <c r="G669">
        <f t="shared" si="60"/>
        <v>0.38312586445366531</v>
      </c>
      <c r="H669">
        <f t="shared" si="61"/>
        <v>0.73408239700374533</v>
      </c>
      <c r="I669">
        <f t="shared" si="65"/>
        <v>0</v>
      </c>
      <c r="J669">
        <f t="shared" si="62"/>
        <v>0.58594917787742895</v>
      </c>
      <c r="K669">
        <f t="shared" si="63"/>
        <v>0.65170407315045709</v>
      </c>
      <c r="L669">
        <f>A669*COUNTIF(data!D:D,data!$I$2)/data!$L$2</f>
        <v>283.78042959427205</v>
      </c>
      <c r="M669" s="1">
        <f>A669/data!$L$2</f>
        <v>0.53142402545743839</v>
      </c>
      <c r="N669">
        <f t="shared" si="64"/>
        <v>1.3813496602301016</v>
      </c>
    </row>
    <row r="670" spans="1:14" x14ac:dyDescent="0.2">
      <c r="A670">
        <v>669</v>
      </c>
      <c r="B670">
        <f>LARGE(data!F:F,A670)</f>
        <v>0.39752354080000002</v>
      </c>
      <c r="C670">
        <f>COUNTIFS(data!D:D,data!$I$2,data!F:F,"&gt;="&amp;B670)</f>
        <v>392</v>
      </c>
      <c r="D670">
        <f>COUNTIFS(data!D:D,data!$J$2,data!F:F,"&gt;="&amp;B670)</f>
        <v>277</v>
      </c>
      <c r="E670">
        <f>COUNTIFS(data!D:D,data!$J$2,data!F:F,"&lt;"&amp;B670)</f>
        <v>446</v>
      </c>
      <c r="F670">
        <f>COUNTIFS(data!D:D,data!$I$2,data!F:F,"&lt;"&amp;B670)</f>
        <v>142</v>
      </c>
      <c r="G670">
        <f t="shared" si="60"/>
        <v>0.38312586445366531</v>
      </c>
      <c r="H670">
        <f t="shared" si="61"/>
        <v>0.73408239700374533</v>
      </c>
      <c r="I670">
        <f t="shared" si="65"/>
        <v>0</v>
      </c>
      <c r="J670">
        <f t="shared" si="62"/>
        <v>0.58594917787742895</v>
      </c>
      <c r="K670">
        <f t="shared" si="63"/>
        <v>0.65170407315045709</v>
      </c>
      <c r="L670">
        <f>A670*COUNTIF(data!D:D,data!$I$2)/data!$L$2</f>
        <v>284.20525059665869</v>
      </c>
      <c r="M670" s="1">
        <f>A670/data!$L$2</f>
        <v>0.53221957040572787</v>
      </c>
      <c r="N670">
        <f t="shared" si="64"/>
        <v>1.3792848625317009</v>
      </c>
    </row>
    <row r="671" spans="1:14" x14ac:dyDescent="0.2">
      <c r="A671">
        <v>670</v>
      </c>
      <c r="B671">
        <f>LARGE(data!F:F,A671)</f>
        <v>0.3968222133</v>
      </c>
      <c r="C671">
        <f>COUNTIFS(data!D:D,data!$I$2,data!F:F,"&gt;="&amp;B671)</f>
        <v>392</v>
      </c>
      <c r="D671">
        <f>COUNTIFS(data!D:D,data!$J$2,data!F:F,"&gt;="&amp;B671)</f>
        <v>278</v>
      </c>
      <c r="E671">
        <f>COUNTIFS(data!D:D,data!$J$2,data!F:F,"&lt;"&amp;B671)</f>
        <v>445</v>
      </c>
      <c r="F671">
        <f>COUNTIFS(data!D:D,data!$I$2,data!F:F,"&lt;"&amp;B671)</f>
        <v>142</v>
      </c>
      <c r="G671">
        <f t="shared" si="60"/>
        <v>0.38450899031811897</v>
      </c>
      <c r="H671">
        <f t="shared" si="61"/>
        <v>0.73408239700374533</v>
      </c>
      <c r="I671">
        <f t="shared" si="65"/>
        <v>1.0153283499360203E-3</v>
      </c>
      <c r="J671">
        <f t="shared" si="62"/>
        <v>0.58507462686567169</v>
      </c>
      <c r="K671">
        <f t="shared" si="63"/>
        <v>0.65116279069767447</v>
      </c>
      <c r="L671">
        <f>A671*COUNTIF(data!D:D,data!$I$2)/data!$L$2</f>
        <v>284.63007159904532</v>
      </c>
      <c r="M671" s="1">
        <f>A671/data!$L$2</f>
        <v>0.53301511535401747</v>
      </c>
      <c r="N671">
        <f t="shared" si="64"/>
        <v>1.3772262284085193</v>
      </c>
    </row>
    <row r="672" spans="1:14" x14ac:dyDescent="0.2">
      <c r="A672">
        <v>671</v>
      </c>
      <c r="B672">
        <f>LARGE(data!F:F,A672)</f>
        <v>0.39618618830000002</v>
      </c>
      <c r="C672">
        <f>COUNTIFS(data!D:D,data!$I$2,data!F:F,"&gt;="&amp;B672)</f>
        <v>393</v>
      </c>
      <c r="D672">
        <f>COUNTIFS(data!D:D,data!$J$2,data!F:F,"&gt;="&amp;B672)</f>
        <v>278</v>
      </c>
      <c r="E672">
        <f>COUNTIFS(data!D:D,data!$J$2,data!F:F,"&lt;"&amp;B672)</f>
        <v>445</v>
      </c>
      <c r="F672">
        <f>COUNTIFS(data!D:D,data!$I$2,data!F:F,"&lt;"&amp;B672)</f>
        <v>141</v>
      </c>
      <c r="G672">
        <f t="shared" si="60"/>
        <v>0.38450899031811897</v>
      </c>
      <c r="H672">
        <f t="shared" si="61"/>
        <v>0.7359550561797753</v>
      </c>
      <c r="I672">
        <f t="shared" si="65"/>
        <v>0</v>
      </c>
      <c r="J672">
        <f t="shared" si="62"/>
        <v>0.58569299552906107</v>
      </c>
      <c r="K672">
        <f t="shared" si="63"/>
        <v>0.65228215767634845</v>
      </c>
      <c r="L672">
        <f>A672*COUNTIF(data!D:D,data!$I$2)/data!$L$2</f>
        <v>285.05489260143196</v>
      </c>
      <c r="M672" s="1">
        <f>A672/data!$L$2</f>
        <v>0.53381066030230706</v>
      </c>
      <c r="N672">
        <f t="shared" si="64"/>
        <v>1.378681826554363</v>
      </c>
    </row>
    <row r="673" spans="1:14" x14ac:dyDescent="0.2">
      <c r="A673">
        <v>672</v>
      </c>
      <c r="B673">
        <f>LARGE(data!F:F,A673)</f>
        <v>0.39308760230000001</v>
      </c>
      <c r="C673">
        <f>COUNTIFS(data!D:D,data!$I$2,data!F:F,"&gt;="&amp;B673)</f>
        <v>395</v>
      </c>
      <c r="D673">
        <f>COUNTIFS(data!D:D,data!$J$2,data!F:F,"&gt;="&amp;B673)</f>
        <v>278</v>
      </c>
      <c r="E673">
        <f>COUNTIFS(data!D:D,data!$J$2,data!F:F,"&lt;"&amp;B673)</f>
        <v>445</v>
      </c>
      <c r="F673">
        <f>COUNTIFS(data!D:D,data!$I$2,data!F:F,"&lt;"&amp;B673)</f>
        <v>139</v>
      </c>
      <c r="G673">
        <f t="shared" si="60"/>
        <v>0.38450899031811897</v>
      </c>
      <c r="H673">
        <f t="shared" si="61"/>
        <v>0.73970037453183524</v>
      </c>
      <c r="I673">
        <f t="shared" si="65"/>
        <v>0</v>
      </c>
      <c r="J673">
        <f t="shared" si="62"/>
        <v>0.58692421991084698</v>
      </c>
      <c r="K673">
        <f t="shared" si="63"/>
        <v>0.65451532725766359</v>
      </c>
      <c r="L673">
        <f>A673*COUNTIF(data!D:D,data!$I$2)/data!$L$2</f>
        <v>285.4797136038186</v>
      </c>
      <c r="M673" s="1">
        <f>A673/data!$L$2</f>
        <v>0.53460620525059666</v>
      </c>
      <c r="N673">
        <f t="shared" si="64"/>
        <v>1.383635968432317</v>
      </c>
    </row>
    <row r="674" spans="1:14" x14ac:dyDescent="0.2">
      <c r="A674">
        <v>673</v>
      </c>
      <c r="B674">
        <f>LARGE(data!F:F,A674)</f>
        <v>0.39308760230000001</v>
      </c>
      <c r="C674">
        <f>COUNTIFS(data!D:D,data!$I$2,data!F:F,"&gt;="&amp;B674)</f>
        <v>395</v>
      </c>
      <c r="D674">
        <f>COUNTIFS(data!D:D,data!$J$2,data!F:F,"&gt;="&amp;B674)</f>
        <v>278</v>
      </c>
      <c r="E674">
        <f>COUNTIFS(data!D:D,data!$J$2,data!F:F,"&lt;"&amp;B674)</f>
        <v>445</v>
      </c>
      <c r="F674">
        <f>COUNTIFS(data!D:D,data!$I$2,data!F:F,"&lt;"&amp;B674)</f>
        <v>139</v>
      </c>
      <c r="G674">
        <f t="shared" si="60"/>
        <v>0.38450899031811897</v>
      </c>
      <c r="H674">
        <f t="shared" si="61"/>
        <v>0.73970037453183524</v>
      </c>
      <c r="I674">
        <f t="shared" si="65"/>
        <v>0</v>
      </c>
      <c r="J674">
        <f t="shared" si="62"/>
        <v>0.58692421991084698</v>
      </c>
      <c r="K674">
        <f t="shared" si="63"/>
        <v>0.65451532725766359</v>
      </c>
      <c r="L674">
        <f>A674*COUNTIF(data!D:D,data!$I$2)/data!$L$2</f>
        <v>285.90453460620523</v>
      </c>
      <c r="M674" s="1">
        <f>A674/data!$L$2</f>
        <v>0.53540175019888625</v>
      </c>
      <c r="N674">
        <f t="shared" si="64"/>
        <v>1.3815800457451961</v>
      </c>
    </row>
    <row r="675" spans="1:14" x14ac:dyDescent="0.2">
      <c r="A675">
        <v>674</v>
      </c>
      <c r="B675">
        <f>LARGE(data!F:F,A675)</f>
        <v>0.39161395640000002</v>
      </c>
      <c r="C675">
        <f>COUNTIFS(data!D:D,data!$I$2,data!F:F,"&gt;="&amp;B675)</f>
        <v>396</v>
      </c>
      <c r="D675">
        <f>COUNTIFS(data!D:D,data!$J$2,data!F:F,"&gt;="&amp;B675)</f>
        <v>278</v>
      </c>
      <c r="E675">
        <f>COUNTIFS(data!D:D,data!$J$2,data!F:F,"&lt;"&amp;B675)</f>
        <v>445</v>
      </c>
      <c r="F675">
        <f>COUNTIFS(data!D:D,data!$I$2,data!F:F,"&lt;"&amp;B675)</f>
        <v>138</v>
      </c>
      <c r="G675">
        <f t="shared" si="60"/>
        <v>0.38450899031811897</v>
      </c>
      <c r="H675">
        <f t="shared" si="61"/>
        <v>0.7415730337078652</v>
      </c>
      <c r="I675">
        <f t="shared" si="65"/>
        <v>0</v>
      </c>
      <c r="J675">
        <f t="shared" si="62"/>
        <v>0.58753709198813053</v>
      </c>
      <c r="K675">
        <f t="shared" si="63"/>
        <v>0.65562913907284759</v>
      </c>
      <c r="L675">
        <f>A675*COUNTIF(data!D:D,data!$I$2)/data!$L$2</f>
        <v>286.32935560859187</v>
      </c>
      <c r="M675" s="1">
        <f>A675/data!$L$2</f>
        <v>0.53619729514717585</v>
      </c>
      <c r="N675">
        <f t="shared" si="64"/>
        <v>1.3830227052979029</v>
      </c>
    </row>
    <row r="676" spans="1:14" x14ac:dyDescent="0.2">
      <c r="A676">
        <v>675</v>
      </c>
      <c r="B676">
        <f>LARGE(data!F:F,A676)</f>
        <v>0.3907340426</v>
      </c>
      <c r="C676">
        <f>COUNTIFS(data!D:D,data!$I$2,data!F:F,"&gt;="&amp;B676)</f>
        <v>396</v>
      </c>
      <c r="D676">
        <f>COUNTIFS(data!D:D,data!$J$2,data!F:F,"&gt;="&amp;B676)</f>
        <v>279</v>
      </c>
      <c r="E676">
        <f>COUNTIFS(data!D:D,data!$J$2,data!F:F,"&lt;"&amp;B676)</f>
        <v>444</v>
      </c>
      <c r="F676">
        <f>COUNTIFS(data!D:D,data!$I$2,data!F:F,"&lt;"&amp;B676)</f>
        <v>138</v>
      </c>
      <c r="G676">
        <f t="shared" si="60"/>
        <v>0.38589211618257263</v>
      </c>
      <c r="H676">
        <f t="shared" si="61"/>
        <v>0.7415730337078652</v>
      </c>
      <c r="I676">
        <f t="shared" si="65"/>
        <v>1.0256888433027144E-3</v>
      </c>
      <c r="J676">
        <f t="shared" si="62"/>
        <v>0.58666666666666667</v>
      </c>
      <c r="K676">
        <f t="shared" si="63"/>
        <v>0.65508684863523581</v>
      </c>
      <c r="L676">
        <f>A676*COUNTIF(data!D:D,data!$I$2)/data!$L$2</f>
        <v>286.7541766109785</v>
      </c>
      <c r="M676" s="1">
        <f>A676/data!$L$2</f>
        <v>0.53699284009546544</v>
      </c>
      <c r="N676">
        <f t="shared" si="64"/>
        <v>1.3809737827715356</v>
      </c>
    </row>
    <row r="677" spans="1:14" x14ac:dyDescent="0.2">
      <c r="A677">
        <v>676</v>
      </c>
      <c r="B677">
        <f>LARGE(data!F:F,A677)</f>
        <v>0.3902586931</v>
      </c>
      <c r="C677">
        <f>COUNTIFS(data!D:D,data!$I$2,data!F:F,"&gt;="&amp;B677)</f>
        <v>396</v>
      </c>
      <c r="D677">
        <f>COUNTIFS(data!D:D,data!$J$2,data!F:F,"&gt;="&amp;B677)</f>
        <v>280</v>
      </c>
      <c r="E677">
        <f>COUNTIFS(data!D:D,data!$J$2,data!F:F,"&lt;"&amp;B677)</f>
        <v>443</v>
      </c>
      <c r="F677">
        <f>COUNTIFS(data!D:D,data!$I$2,data!F:F,"&lt;"&amp;B677)</f>
        <v>138</v>
      </c>
      <c r="G677">
        <f t="shared" si="60"/>
        <v>0.38727524204702629</v>
      </c>
      <c r="H677">
        <f t="shared" si="61"/>
        <v>0.7415730337078652</v>
      </c>
      <c r="I677">
        <f t="shared" si="65"/>
        <v>1.0256888433027144E-3</v>
      </c>
      <c r="J677">
        <f t="shared" si="62"/>
        <v>0.58579881656804733</v>
      </c>
      <c r="K677">
        <f t="shared" si="63"/>
        <v>0.65454545454545454</v>
      </c>
      <c r="L677">
        <f>A677*COUNTIF(data!D:D,data!$I$2)/data!$L$2</f>
        <v>287.17899761336514</v>
      </c>
      <c r="M677" s="1">
        <f>A677/data!$L$2</f>
        <v>0.53778838504375492</v>
      </c>
      <c r="N677">
        <f t="shared" si="64"/>
        <v>1.3789309221461339</v>
      </c>
    </row>
    <row r="678" spans="1:14" x14ac:dyDescent="0.2">
      <c r="A678">
        <v>677</v>
      </c>
      <c r="B678">
        <f>LARGE(data!F:F,A678)</f>
        <v>0.38997299670000002</v>
      </c>
      <c r="C678">
        <f>COUNTIFS(data!D:D,data!$I$2,data!F:F,"&gt;="&amp;B678)</f>
        <v>396</v>
      </c>
      <c r="D678">
        <f>COUNTIFS(data!D:D,data!$J$2,data!F:F,"&gt;="&amp;B678)</f>
        <v>281</v>
      </c>
      <c r="E678">
        <f>COUNTIFS(data!D:D,data!$J$2,data!F:F,"&lt;"&amp;B678)</f>
        <v>442</v>
      </c>
      <c r="F678">
        <f>COUNTIFS(data!D:D,data!$I$2,data!F:F,"&lt;"&amp;B678)</f>
        <v>138</v>
      </c>
      <c r="G678">
        <f t="shared" si="60"/>
        <v>0.38865836791147995</v>
      </c>
      <c r="H678">
        <f t="shared" si="61"/>
        <v>0.7415730337078652</v>
      </c>
      <c r="I678">
        <f t="shared" si="65"/>
        <v>1.0256888433027144E-3</v>
      </c>
      <c r="J678">
        <f t="shared" si="62"/>
        <v>0.58493353028064987</v>
      </c>
      <c r="K678">
        <f t="shared" si="63"/>
        <v>0.65400495458298924</v>
      </c>
      <c r="L678">
        <f>A678*COUNTIF(data!D:D,data!$I$2)/data!$L$2</f>
        <v>287.60381861575178</v>
      </c>
      <c r="M678" s="1">
        <f>A678/data!$L$2</f>
        <v>0.53858392999204452</v>
      </c>
      <c r="N678">
        <f t="shared" si="64"/>
        <v>1.3768940965595076</v>
      </c>
    </row>
    <row r="679" spans="1:14" x14ac:dyDescent="0.2">
      <c r="A679">
        <v>678</v>
      </c>
      <c r="B679">
        <f>LARGE(data!F:F,A679)</f>
        <v>0.38759774809999997</v>
      </c>
      <c r="C679">
        <f>COUNTIFS(data!D:D,data!$I$2,data!F:F,"&gt;="&amp;B679)</f>
        <v>397</v>
      </c>
      <c r="D679">
        <f>COUNTIFS(data!D:D,data!$J$2,data!F:F,"&gt;="&amp;B679)</f>
        <v>281</v>
      </c>
      <c r="E679">
        <f>COUNTIFS(data!D:D,data!$J$2,data!F:F,"&lt;"&amp;B679)</f>
        <v>442</v>
      </c>
      <c r="F679">
        <f>COUNTIFS(data!D:D,data!$I$2,data!F:F,"&lt;"&amp;B679)</f>
        <v>137</v>
      </c>
      <c r="G679">
        <f t="shared" si="60"/>
        <v>0.38865836791147995</v>
      </c>
      <c r="H679">
        <f t="shared" si="61"/>
        <v>0.74344569288389517</v>
      </c>
      <c r="I679">
        <f t="shared" si="65"/>
        <v>0</v>
      </c>
      <c r="J679">
        <f t="shared" si="62"/>
        <v>0.58554572271386429</v>
      </c>
      <c r="K679">
        <f t="shared" si="63"/>
        <v>0.65511551155115511</v>
      </c>
      <c r="L679">
        <f>A679*COUNTIF(data!D:D,data!$I$2)/data!$L$2</f>
        <v>288.02863961813841</v>
      </c>
      <c r="M679" s="1">
        <f>A679/data!$L$2</f>
        <v>0.53937947494033411</v>
      </c>
      <c r="N679">
        <f t="shared" si="64"/>
        <v>1.3783351562758941</v>
      </c>
    </row>
    <row r="680" spans="1:14" x14ac:dyDescent="0.2">
      <c r="A680">
        <v>679</v>
      </c>
      <c r="B680">
        <f>LARGE(data!F:F,A680)</f>
        <v>0.38734884159999999</v>
      </c>
      <c r="C680">
        <f>COUNTIFS(data!D:D,data!$I$2,data!F:F,"&gt;="&amp;B680)</f>
        <v>397</v>
      </c>
      <c r="D680">
        <f>COUNTIFS(data!D:D,data!$J$2,data!F:F,"&gt;="&amp;B680)</f>
        <v>282</v>
      </c>
      <c r="E680">
        <f>COUNTIFS(data!D:D,data!$J$2,data!F:F,"&lt;"&amp;B680)</f>
        <v>441</v>
      </c>
      <c r="F680">
        <f>COUNTIFS(data!D:D,data!$I$2,data!F:F,"&lt;"&amp;B680)</f>
        <v>137</v>
      </c>
      <c r="G680">
        <f t="shared" si="60"/>
        <v>0.39004149377593361</v>
      </c>
      <c r="H680">
        <f t="shared" si="61"/>
        <v>0.74344569288389517</v>
      </c>
      <c r="I680">
        <f t="shared" si="65"/>
        <v>1.0282789666443881E-3</v>
      </c>
      <c r="J680">
        <f t="shared" si="62"/>
        <v>0.5846833578792342</v>
      </c>
      <c r="K680">
        <f t="shared" si="63"/>
        <v>0.65457543281121189</v>
      </c>
      <c r="L680">
        <f>A680*COUNTIF(data!D:D,data!$I$2)/data!$L$2</f>
        <v>288.45346062052505</v>
      </c>
      <c r="M680" s="1">
        <f>A680/data!$L$2</f>
        <v>0.54017501988862371</v>
      </c>
      <c r="N680">
        <f t="shared" si="64"/>
        <v>1.3763052075921298</v>
      </c>
    </row>
    <row r="681" spans="1:14" x14ac:dyDescent="0.2">
      <c r="A681">
        <v>680</v>
      </c>
      <c r="B681">
        <f>LARGE(data!F:F,A681)</f>
        <v>0.3868774901</v>
      </c>
      <c r="C681">
        <f>COUNTIFS(data!D:D,data!$I$2,data!F:F,"&gt;="&amp;B681)</f>
        <v>397</v>
      </c>
      <c r="D681">
        <f>COUNTIFS(data!D:D,data!$J$2,data!F:F,"&gt;="&amp;B681)</f>
        <v>283</v>
      </c>
      <c r="E681">
        <f>COUNTIFS(data!D:D,data!$J$2,data!F:F,"&lt;"&amp;B681)</f>
        <v>440</v>
      </c>
      <c r="F681">
        <f>COUNTIFS(data!D:D,data!$I$2,data!F:F,"&lt;"&amp;B681)</f>
        <v>137</v>
      </c>
      <c r="G681">
        <f t="shared" si="60"/>
        <v>0.39142461964038727</v>
      </c>
      <c r="H681">
        <f t="shared" si="61"/>
        <v>0.74344569288389517</v>
      </c>
      <c r="I681">
        <f t="shared" si="65"/>
        <v>1.0282789666443881E-3</v>
      </c>
      <c r="J681">
        <f t="shared" si="62"/>
        <v>0.58382352941176474</v>
      </c>
      <c r="K681">
        <f t="shared" si="63"/>
        <v>0.65403624382207581</v>
      </c>
      <c r="L681">
        <f>A681*COUNTIF(data!D:D,data!$I$2)/data!$L$2</f>
        <v>288.87828162291169</v>
      </c>
      <c r="M681" s="1">
        <f>A681/data!$L$2</f>
        <v>0.5409705648369133</v>
      </c>
      <c r="N681">
        <f t="shared" si="64"/>
        <v>1.374281229345671</v>
      </c>
    </row>
    <row r="682" spans="1:14" x14ac:dyDescent="0.2">
      <c r="A682">
        <v>681</v>
      </c>
      <c r="B682">
        <f>LARGE(data!F:F,A682)</f>
        <v>0.38611779429999998</v>
      </c>
      <c r="C682">
        <f>COUNTIFS(data!D:D,data!$I$2,data!F:F,"&gt;="&amp;B682)</f>
        <v>397</v>
      </c>
      <c r="D682">
        <f>COUNTIFS(data!D:D,data!$J$2,data!F:F,"&gt;="&amp;B682)</f>
        <v>284</v>
      </c>
      <c r="E682">
        <f>COUNTIFS(data!D:D,data!$J$2,data!F:F,"&lt;"&amp;B682)</f>
        <v>439</v>
      </c>
      <c r="F682">
        <f>COUNTIFS(data!D:D,data!$I$2,data!F:F,"&lt;"&amp;B682)</f>
        <v>137</v>
      </c>
      <c r="G682">
        <f t="shared" si="60"/>
        <v>0.39280774550484093</v>
      </c>
      <c r="H682">
        <f t="shared" si="61"/>
        <v>0.74344569288389517</v>
      </c>
      <c r="I682">
        <f t="shared" si="65"/>
        <v>1.0282789666443881E-3</v>
      </c>
      <c r="J682">
        <f t="shared" si="62"/>
        <v>0.58296622613803228</v>
      </c>
      <c r="K682">
        <f t="shared" si="63"/>
        <v>0.65349794238683123</v>
      </c>
      <c r="L682">
        <f>A682*COUNTIF(data!D:D,data!$I$2)/data!$L$2</f>
        <v>289.30310262529832</v>
      </c>
      <c r="M682" s="1">
        <f>A682/data!$L$2</f>
        <v>0.5417661097852029</v>
      </c>
      <c r="N682">
        <f t="shared" si="64"/>
        <v>1.372263195235031</v>
      </c>
    </row>
    <row r="683" spans="1:14" x14ac:dyDescent="0.2">
      <c r="A683">
        <v>682</v>
      </c>
      <c r="B683">
        <f>LARGE(data!F:F,A683)</f>
        <v>0.38589128610000001</v>
      </c>
      <c r="C683">
        <f>COUNTIFS(data!D:D,data!$I$2,data!F:F,"&gt;="&amp;B683)</f>
        <v>397</v>
      </c>
      <c r="D683">
        <f>COUNTIFS(data!D:D,data!$J$2,data!F:F,"&gt;="&amp;B683)</f>
        <v>285</v>
      </c>
      <c r="E683">
        <f>COUNTIFS(data!D:D,data!$J$2,data!F:F,"&lt;"&amp;B683)</f>
        <v>438</v>
      </c>
      <c r="F683">
        <f>COUNTIFS(data!D:D,data!$I$2,data!F:F,"&lt;"&amp;B683)</f>
        <v>137</v>
      </c>
      <c r="G683">
        <f t="shared" si="60"/>
        <v>0.39419087136929459</v>
      </c>
      <c r="H683">
        <f t="shared" si="61"/>
        <v>0.74344569288389517</v>
      </c>
      <c r="I683">
        <f t="shared" si="65"/>
        <v>1.0282789666443881E-3</v>
      </c>
      <c r="J683">
        <f t="shared" si="62"/>
        <v>0.58211143695014667</v>
      </c>
      <c r="K683">
        <f t="shared" si="63"/>
        <v>0.65296052631578949</v>
      </c>
      <c r="L683">
        <f>A683*COUNTIF(data!D:D,data!$I$2)/data!$L$2</f>
        <v>289.72792362768496</v>
      </c>
      <c r="M683" s="1">
        <f>A683/data!$L$2</f>
        <v>0.54256165473349249</v>
      </c>
      <c r="N683">
        <f t="shared" si="64"/>
        <v>1.3702510791129856</v>
      </c>
    </row>
    <row r="684" spans="1:14" x14ac:dyDescent="0.2">
      <c r="A684">
        <v>683</v>
      </c>
      <c r="B684">
        <f>LARGE(data!F:F,A684)</f>
        <v>0.3828560426</v>
      </c>
      <c r="C684">
        <f>COUNTIFS(data!D:D,data!$I$2,data!F:F,"&gt;="&amp;B684)</f>
        <v>399</v>
      </c>
      <c r="D684">
        <f>COUNTIFS(data!D:D,data!$J$2,data!F:F,"&gt;="&amp;B684)</f>
        <v>285</v>
      </c>
      <c r="E684">
        <f>COUNTIFS(data!D:D,data!$J$2,data!F:F,"&lt;"&amp;B684)</f>
        <v>438</v>
      </c>
      <c r="F684">
        <f>COUNTIFS(data!D:D,data!$I$2,data!F:F,"&lt;"&amp;B684)</f>
        <v>135</v>
      </c>
      <c r="G684">
        <f t="shared" si="60"/>
        <v>0.39419087136929459</v>
      </c>
      <c r="H684">
        <f t="shared" si="61"/>
        <v>0.7471910112359551</v>
      </c>
      <c r="I684">
        <f t="shared" si="65"/>
        <v>0</v>
      </c>
      <c r="J684">
        <f t="shared" si="62"/>
        <v>0.58333333333333337</v>
      </c>
      <c r="K684">
        <f t="shared" si="63"/>
        <v>0.65517241379310343</v>
      </c>
      <c r="L684">
        <f>A684*COUNTIF(data!D:D,data!$I$2)/data!$L$2</f>
        <v>290.1527446300716</v>
      </c>
      <c r="M684" s="1">
        <f>A684/data!$L$2</f>
        <v>0.54335719968178198</v>
      </c>
      <c r="N684">
        <f t="shared" si="64"/>
        <v>1.3751377761692467</v>
      </c>
    </row>
    <row r="685" spans="1:14" x14ac:dyDescent="0.2">
      <c r="A685">
        <v>684</v>
      </c>
      <c r="B685">
        <f>LARGE(data!F:F,A685)</f>
        <v>0.3828560426</v>
      </c>
      <c r="C685">
        <f>COUNTIFS(data!D:D,data!$I$2,data!F:F,"&gt;="&amp;B685)</f>
        <v>399</v>
      </c>
      <c r="D685">
        <f>COUNTIFS(data!D:D,data!$J$2,data!F:F,"&gt;="&amp;B685)</f>
        <v>285</v>
      </c>
      <c r="E685">
        <f>COUNTIFS(data!D:D,data!$J$2,data!F:F,"&lt;"&amp;B685)</f>
        <v>438</v>
      </c>
      <c r="F685">
        <f>COUNTIFS(data!D:D,data!$I$2,data!F:F,"&lt;"&amp;B685)</f>
        <v>135</v>
      </c>
      <c r="G685">
        <f t="shared" si="60"/>
        <v>0.39419087136929459</v>
      </c>
      <c r="H685">
        <f t="shared" si="61"/>
        <v>0.7471910112359551</v>
      </c>
      <c r="I685">
        <f t="shared" si="65"/>
        <v>0</v>
      </c>
      <c r="J685">
        <f t="shared" si="62"/>
        <v>0.58333333333333337</v>
      </c>
      <c r="K685">
        <f t="shared" si="63"/>
        <v>0.65517241379310343</v>
      </c>
      <c r="L685">
        <f>A685*COUNTIF(data!D:D,data!$I$2)/data!$L$2</f>
        <v>290.57756563245823</v>
      </c>
      <c r="M685" s="1">
        <f>A685/data!$L$2</f>
        <v>0.54415274463007157</v>
      </c>
      <c r="N685">
        <f t="shared" si="64"/>
        <v>1.3731273408239701</v>
      </c>
    </row>
    <row r="686" spans="1:14" x14ac:dyDescent="0.2">
      <c r="A686">
        <v>685</v>
      </c>
      <c r="B686">
        <f>LARGE(data!F:F,A686)</f>
        <v>0.38258804600000001</v>
      </c>
      <c r="C686">
        <f>COUNTIFS(data!D:D,data!$I$2,data!F:F,"&gt;="&amp;B686)</f>
        <v>399</v>
      </c>
      <c r="D686">
        <f>COUNTIFS(data!D:D,data!$J$2,data!F:F,"&gt;="&amp;B686)</f>
        <v>286</v>
      </c>
      <c r="E686">
        <f>COUNTIFS(data!D:D,data!$J$2,data!F:F,"&lt;"&amp;B686)</f>
        <v>437</v>
      </c>
      <c r="F686">
        <f>COUNTIFS(data!D:D,data!$I$2,data!F:F,"&lt;"&amp;B686)</f>
        <v>135</v>
      </c>
      <c r="G686">
        <f t="shared" si="60"/>
        <v>0.39557399723374825</v>
      </c>
      <c r="H686">
        <f t="shared" si="61"/>
        <v>0.7471910112359551</v>
      </c>
      <c r="I686">
        <f t="shared" si="65"/>
        <v>1.0334592133277351E-3</v>
      </c>
      <c r="J686">
        <f t="shared" si="62"/>
        <v>0.58248175182481754</v>
      </c>
      <c r="K686">
        <f t="shared" si="63"/>
        <v>0.65463494667760458</v>
      </c>
      <c r="L686">
        <f>A686*COUNTIF(data!D:D,data!$I$2)/data!$L$2</f>
        <v>291.00238663484487</v>
      </c>
      <c r="M686" s="1">
        <f>A686/data!$L$2</f>
        <v>0.54494828957836117</v>
      </c>
      <c r="N686">
        <f t="shared" si="64"/>
        <v>1.3711227753629132</v>
      </c>
    </row>
    <row r="687" spans="1:14" x14ac:dyDescent="0.2">
      <c r="A687">
        <v>686</v>
      </c>
      <c r="B687">
        <f>LARGE(data!F:F,A687)</f>
        <v>0.38212957850000001</v>
      </c>
      <c r="C687">
        <f>COUNTIFS(data!D:D,data!$I$2,data!F:F,"&gt;="&amp;B687)</f>
        <v>399</v>
      </c>
      <c r="D687">
        <f>COUNTIFS(data!D:D,data!$J$2,data!F:F,"&gt;="&amp;B687)</f>
        <v>287</v>
      </c>
      <c r="E687">
        <f>COUNTIFS(data!D:D,data!$J$2,data!F:F,"&lt;"&amp;B687)</f>
        <v>436</v>
      </c>
      <c r="F687">
        <f>COUNTIFS(data!D:D,data!$I$2,data!F:F,"&lt;"&amp;B687)</f>
        <v>135</v>
      </c>
      <c r="G687">
        <f t="shared" si="60"/>
        <v>0.39695712309820191</v>
      </c>
      <c r="H687">
        <f t="shared" si="61"/>
        <v>0.7471910112359551</v>
      </c>
      <c r="I687">
        <f t="shared" si="65"/>
        <v>1.0334592133277351E-3</v>
      </c>
      <c r="J687">
        <f t="shared" si="62"/>
        <v>0.58163265306122447</v>
      </c>
      <c r="K687">
        <f t="shared" si="63"/>
        <v>0.65409836065573768</v>
      </c>
      <c r="L687">
        <f>A687*COUNTIF(data!D:D,data!$I$2)/data!$L$2</f>
        <v>291.4272076372315</v>
      </c>
      <c r="M687" s="1">
        <f>A687/data!$L$2</f>
        <v>0.54574383452665076</v>
      </c>
      <c r="N687">
        <f t="shared" si="64"/>
        <v>1.3691240541160283</v>
      </c>
    </row>
    <row r="688" spans="1:14" x14ac:dyDescent="0.2">
      <c r="A688">
        <v>687</v>
      </c>
      <c r="B688">
        <f>LARGE(data!F:F,A688)</f>
        <v>0.38188259429999999</v>
      </c>
      <c r="C688">
        <f>COUNTIFS(data!D:D,data!$I$2,data!F:F,"&gt;="&amp;B688)</f>
        <v>400</v>
      </c>
      <c r="D688">
        <f>COUNTIFS(data!D:D,data!$J$2,data!F:F,"&gt;="&amp;B688)</f>
        <v>287</v>
      </c>
      <c r="E688">
        <f>COUNTIFS(data!D:D,data!$J$2,data!F:F,"&lt;"&amp;B688)</f>
        <v>436</v>
      </c>
      <c r="F688">
        <f>COUNTIFS(data!D:D,data!$I$2,data!F:F,"&lt;"&amp;B688)</f>
        <v>134</v>
      </c>
      <c r="G688">
        <f t="shared" si="60"/>
        <v>0.39695712309820191</v>
      </c>
      <c r="H688">
        <f t="shared" si="61"/>
        <v>0.74906367041198507</v>
      </c>
      <c r="I688">
        <f t="shared" si="65"/>
        <v>0</v>
      </c>
      <c r="J688">
        <f t="shared" si="62"/>
        <v>0.58224163027656473</v>
      </c>
      <c r="K688">
        <f t="shared" si="63"/>
        <v>0.65520065520065518</v>
      </c>
      <c r="L688">
        <f>A688*COUNTIF(data!D:D,data!$I$2)/data!$L$2</f>
        <v>291.85202863961814</v>
      </c>
      <c r="M688" s="1">
        <f>A688/data!$L$2</f>
        <v>0.54653937947494036</v>
      </c>
      <c r="N688">
        <f t="shared" si="64"/>
        <v>1.3705575454262957</v>
      </c>
    </row>
    <row r="689" spans="1:14" x14ac:dyDescent="0.2">
      <c r="A689">
        <v>688</v>
      </c>
      <c r="B689">
        <f>LARGE(data!F:F,A689)</f>
        <v>0.38178322190000002</v>
      </c>
      <c r="C689">
        <f>COUNTIFS(data!D:D,data!$I$2,data!F:F,"&gt;="&amp;B689)</f>
        <v>400</v>
      </c>
      <c r="D689">
        <f>COUNTIFS(data!D:D,data!$J$2,data!F:F,"&gt;="&amp;B689)</f>
        <v>288</v>
      </c>
      <c r="E689">
        <f>COUNTIFS(data!D:D,data!$J$2,data!F:F,"&lt;"&amp;B689)</f>
        <v>435</v>
      </c>
      <c r="F689">
        <f>COUNTIFS(data!D:D,data!$I$2,data!F:F,"&lt;"&amp;B689)</f>
        <v>134</v>
      </c>
      <c r="G689">
        <f t="shared" si="60"/>
        <v>0.39834024896265557</v>
      </c>
      <c r="H689">
        <f t="shared" si="61"/>
        <v>0.74906367041198507</v>
      </c>
      <c r="I689">
        <f t="shared" si="65"/>
        <v>1.0360493366694085E-3</v>
      </c>
      <c r="J689">
        <f t="shared" si="62"/>
        <v>0.58139534883720934</v>
      </c>
      <c r="K689">
        <f t="shared" si="63"/>
        <v>0.65466448445171843</v>
      </c>
      <c r="L689">
        <f>A689*COUNTIF(data!D:D,data!$I$2)/data!$L$2</f>
        <v>292.27684964200478</v>
      </c>
      <c r="M689" s="1">
        <f>A689/data!$L$2</f>
        <v>0.54733492442322995</v>
      </c>
      <c r="N689">
        <f t="shared" si="64"/>
        <v>1.3685654559707343</v>
      </c>
    </row>
    <row r="690" spans="1:14" x14ac:dyDescent="0.2">
      <c r="A690">
        <v>689</v>
      </c>
      <c r="B690">
        <f>LARGE(data!F:F,A690)</f>
        <v>0.38173151389999999</v>
      </c>
      <c r="C690">
        <f>COUNTIFS(data!D:D,data!$I$2,data!F:F,"&gt;="&amp;B690)</f>
        <v>401</v>
      </c>
      <c r="D690">
        <f>COUNTIFS(data!D:D,data!$J$2,data!F:F,"&gt;="&amp;B690)</f>
        <v>288</v>
      </c>
      <c r="E690">
        <f>COUNTIFS(data!D:D,data!$J$2,data!F:F,"&lt;"&amp;B690)</f>
        <v>435</v>
      </c>
      <c r="F690">
        <f>COUNTIFS(data!D:D,data!$I$2,data!F:F,"&lt;"&amp;B690)</f>
        <v>133</v>
      </c>
      <c r="G690">
        <f t="shared" si="60"/>
        <v>0.39834024896265557</v>
      </c>
      <c r="H690">
        <f t="shared" si="61"/>
        <v>0.75093632958801493</v>
      </c>
      <c r="I690">
        <f t="shared" si="65"/>
        <v>0</v>
      </c>
      <c r="J690">
        <f t="shared" si="62"/>
        <v>0.58200290275761979</v>
      </c>
      <c r="K690">
        <f t="shared" si="63"/>
        <v>0.65576451349141451</v>
      </c>
      <c r="L690">
        <f>A690*COUNTIF(data!D:D,data!$I$2)/data!$L$2</f>
        <v>292.70167064439141</v>
      </c>
      <c r="M690" s="1">
        <f>A690/data!$L$2</f>
        <v>0.54813046937151944</v>
      </c>
      <c r="N690">
        <f t="shared" si="64"/>
        <v>1.3699955969406892</v>
      </c>
    </row>
    <row r="691" spans="1:14" x14ac:dyDescent="0.2">
      <c r="A691">
        <v>690</v>
      </c>
      <c r="B691">
        <f>LARGE(data!F:F,A691)</f>
        <v>0.38172882190000001</v>
      </c>
      <c r="C691">
        <f>COUNTIFS(data!D:D,data!$I$2,data!F:F,"&gt;="&amp;B691)</f>
        <v>401</v>
      </c>
      <c r="D691">
        <f>COUNTIFS(data!D:D,data!$J$2,data!F:F,"&gt;="&amp;B691)</f>
        <v>289</v>
      </c>
      <c r="E691">
        <f>COUNTIFS(data!D:D,data!$J$2,data!F:F,"&lt;"&amp;B691)</f>
        <v>434</v>
      </c>
      <c r="F691">
        <f>COUNTIFS(data!D:D,data!$I$2,data!F:F,"&lt;"&amp;B691)</f>
        <v>133</v>
      </c>
      <c r="G691">
        <f t="shared" si="60"/>
        <v>0.39972337482710929</v>
      </c>
      <c r="H691">
        <f t="shared" si="61"/>
        <v>0.75093632958801493</v>
      </c>
      <c r="I691">
        <f t="shared" si="65"/>
        <v>1.0386394600111236E-3</v>
      </c>
      <c r="J691">
        <f t="shared" si="62"/>
        <v>0.58115942028985512</v>
      </c>
      <c r="K691">
        <f t="shared" si="63"/>
        <v>0.65522875816993464</v>
      </c>
      <c r="L691">
        <f>A691*COUNTIF(data!D:D,data!$I$2)/data!$L$2</f>
        <v>293.12649164677805</v>
      </c>
      <c r="M691" s="1">
        <f>A691/data!$L$2</f>
        <v>0.54892601431980903</v>
      </c>
      <c r="N691">
        <f t="shared" si="64"/>
        <v>1.3680100960755577</v>
      </c>
    </row>
    <row r="692" spans="1:14" x14ac:dyDescent="0.2">
      <c r="A692">
        <v>691</v>
      </c>
      <c r="B692">
        <f>LARGE(data!F:F,A692)</f>
        <v>0.38158511249999999</v>
      </c>
      <c r="C692">
        <f>COUNTIFS(data!D:D,data!$I$2,data!F:F,"&gt;="&amp;B692)</f>
        <v>402</v>
      </c>
      <c r="D692">
        <f>COUNTIFS(data!D:D,data!$J$2,data!F:F,"&gt;="&amp;B692)</f>
        <v>289</v>
      </c>
      <c r="E692">
        <f>COUNTIFS(data!D:D,data!$J$2,data!F:F,"&lt;"&amp;B692)</f>
        <v>434</v>
      </c>
      <c r="F692">
        <f>COUNTIFS(data!D:D,data!$I$2,data!F:F,"&lt;"&amp;B692)</f>
        <v>132</v>
      </c>
      <c r="G692">
        <f t="shared" si="60"/>
        <v>0.39972337482710929</v>
      </c>
      <c r="H692">
        <f t="shared" si="61"/>
        <v>0.7528089887640449</v>
      </c>
      <c r="I692">
        <f t="shared" si="65"/>
        <v>0</v>
      </c>
      <c r="J692">
        <f t="shared" si="62"/>
        <v>0.58176555716353107</v>
      </c>
      <c r="K692">
        <f t="shared" si="63"/>
        <v>0.65632653061224488</v>
      </c>
      <c r="L692">
        <f>A692*COUNTIF(data!D:D,data!$I$2)/data!$L$2</f>
        <v>293.55131264916469</v>
      </c>
      <c r="M692" s="1">
        <f>A692/data!$L$2</f>
        <v>0.54972155926809863</v>
      </c>
      <c r="N692">
        <f t="shared" si="64"/>
        <v>1.369436901413031</v>
      </c>
    </row>
    <row r="693" spans="1:14" x14ac:dyDescent="0.2">
      <c r="A693">
        <v>692</v>
      </c>
      <c r="B693">
        <f>LARGE(data!F:F,A693)</f>
        <v>0.3813503808</v>
      </c>
      <c r="C693">
        <f>COUNTIFS(data!D:D,data!$I$2,data!F:F,"&gt;="&amp;B693)</f>
        <v>402</v>
      </c>
      <c r="D693">
        <f>COUNTIFS(data!D:D,data!$J$2,data!F:F,"&gt;="&amp;B693)</f>
        <v>290</v>
      </c>
      <c r="E693">
        <f>COUNTIFS(data!D:D,data!$J$2,data!F:F,"&lt;"&amp;B693)</f>
        <v>433</v>
      </c>
      <c r="F693">
        <f>COUNTIFS(data!D:D,data!$I$2,data!F:F,"&lt;"&amp;B693)</f>
        <v>132</v>
      </c>
      <c r="G693">
        <f t="shared" si="60"/>
        <v>0.40110650069156295</v>
      </c>
      <c r="H693">
        <f t="shared" si="61"/>
        <v>0.7528089887640449</v>
      </c>
      <c r="I693">
        <f t="shared" si="65"/>
        <v>1.0412295833527555E-3</v>
      </c>
      <c r="J693">
        <f t="shared" si="62"/>
        <v>0.58092485549132944</v>
      </c>
      <c r="K693">
        <f t="shared" si="63"/>
        <v>0.65579119086460025</v>
      </c>
      <c r="L693">
        <f>A693*COUNTIF(data!D:D,data!$I$2)/data!$L$2</f>
        <v>293.97613365155132</v>
      </c>
      <c r="M693" s="1">
        <f>A693/data!$L$2</f>
        <v>0.55051710421638822</v>
      </c>
      <c r="N693">
        <f t="shared" si="64"/>
        <v>1.3674579463531857</v>
      </c>
    </row>
    <row r="694" spans="1:14" x14ac:dyDescent="0.2">
      <c r="A694">
        <v>693</v>
      </c>
      <c r="B694">
        <f>LARGE(data!F:F,A694)</f>
        <v>0.38131997169999998</v>
      </c>
      <c r="C694">
        <f>COUNTIFS(data!D:D,data!$I$2,data!F:F,"&gt;="&amp;B694)</f>
        <v>402</v>
      </c>
      <c r="D694">
        <f>COUNTIFS(data!D:D,data!$J$2,data!F:F,"&gt;="&amp;B694)</f>
        <v>291</v>
      </c>
      <c r="E694">
        <f>COUNTIFS(data!D:D,data!$J$2,data!F:F,"&lt;"&amp;B694)</f>
        <v>432</v>
      </c>
      <c r="F694">
        <f>COUNTIFS(data!D:D,data!$I$2,data!F:F,"&lt;"&amp;B694)</f>
        <v>132</v>
      </c>
      <c r="G694">
        <f t="shared" si="60"/>
        <v>0.40248962655601661</v>
      </c>
      <c r="H694">
        <f t="shared" si="61"/>
        <v>0.7528089887640449</v>
      </c>
      <c r="I694">
        <f t="shared" si="65"/>
        <v>1.0412295833527555E-3</v>
      </c>
      <c r="J694">
        <f t="shared" si="62"/>
        <v>0.58008658008658009</v>
      </c>
      <c r="K694">
        <f t="shared" si="63"/>
        <v>0.65525672371638144</v>
      </c>
      <c r="L694">
        <f>A694*COUNTIF(data!D:D,data!$I$2)/data!$L$2</f>
        <v>294.40095465393796</v>
      </c>
      <c r="M694" s="1">
        <f>A694/data!$L$2</f>
        <v>0.55131264916467781</v>
      </c>
      <c r="N694">
        <f t="shared" si="64"/>
        <v>1.3654847025633543</v>
      </c>
    </row>
    <row r="695" spans="1:14" x14ac:dyDescent="0.2">
      <c r="A695">
        <v>694</v>
      </c>
      <c r="B695">
        <f>LARGE(data!F:F,A695)</f>
        <v>0.38013202410000002</v>
      </c>
      <c r="C695">
        <f>COUNTIFS(data!D:D,data!$I$2,data!F:F,"&gt;="&amp;B695)</f>
        <v>403</v>
      </c>
      <c r="D695">
        <f>COUNTIFS(data!D:D,data!$J$2,data!F:F,"&gt;="&amp;B695)</f>
        <v>291</v>
      </c>
      <c r="E695">
        <f>COUNTIFS(data!D:D,data!$J$2,data!F:F,"&lt;"&amp;B695)</f>
        <v>432</v>
      </c>
      <c r="F695">
        <f>COUNTIFS(data!D:D,data!$I$2,data!F:F,"&lt;"&amp;B695)</f>
        <v>131</v>
      </c>
      <c r="G695">
        <f t="shared" ref="G695:G751" si="66">D695/(E695+D695)</f>
        <v>0.40248962655601661</v>
      </c>
      <c r="H695">
        <f t="shared" ref="H695:H751" si="67">C695/(C695+F695)</f>
        <v>0.75468164794007486</v>
      </c>
      <c r="I695">
        <f t="shared" si="65"/>
        <v>0</v>
      </c>
      <c r="J695">
        <f t="shared" ref="J695:J751" si="68">C695/(C695+D695)</f>
        <v>0.5806916426512968</v>
      </c>
      <c r="K695">
        <f t="shared" ref="K695:K751" si="69">2*J695*H695/(J695+H695)</f>
        <v>0.65635179153094469</v>
      </c>
      <c r="L695">
        <f>A695*COUNTIF(data!D:D,data!$I$2)/data!$L$2</f>
        <v>294.82577565632459</v>
      </c>
      <c r="M695" s="1">
        <f>A695/data!$L$2</f>
        <v>0.55210819411296741</v>
      </c>
      <c r="N695">
        <f t="shared" si="64"/>
        <v>1.3669089790499627</v>
      </c>
    </row>
    <row r="696" spans="1:14" x14ac:dyDescent="0.2">
      <c r="A696">
        <v>695</v>
      </c>
      <c r="B696">
        <f>LARGE(data!F:F,A696)</f>
        <v>0.38011161739999999</v>
      </c>
      <c r="C696">
        <f>COUNTIFS(data!D:D,data!$I$2,data!F:F,"&gt;="&amp;B696)</f>
        <v>403</v>
      </c>
      <c r="D696">
        <f>COUNTIFS(data!D:D,data!$J$2,data!F:F,"&gt;="&amp;B696)</f>
        <v>292</v>
      </c>
      <c r="E696">
        <f>COUNTIFS(data!D:D,data!$J$2,data!F:F,"&lt;"&amp;B696)</f>
        <v>431</v>
      </c>
      <c r="F696">
        <f>COUNTIFS(data!D:D,data!$I$2,data!F:F,"&lt;"&amp;B696)</f>
        <v>131</v>
      </c>
      <c r="G696">
        <f t="shared" si="66"/>
        <v>0.40387275242047027</v>
      </c>
      <c r="H696">
        <f t="shared" si="67"/>
        <v>0.75468164794007486</v>
      </c>
      <c r="I696">
        <f t="shared" si="65"/>
        <v>1.043819706694429E-3</v>
      </c>
      <c r="J696">
        <f t="shared" si="68"/>
        <v>0.57985611510791368</v>
      </c>
      <c r="K696">
        <f t="shared" si="69"/>
        <v>0.65581773799837273</v>
      </c>
      <c r="L696">
        <f>A696*COUNTIF(data!D:D,data!$I$2)/data!$L$2</f>
        <v>295.25059665871123</v>
      </c>
      <c r="M696" s="1">
        <f>A696/data!$L$2</f>
        <v>0.552903739061257</v>
      </c>
      <c r="N696">
        <f t="shared" si="64"/>
        <v>1.3649422035405383</v>
      </c>
    </row>
    <row r="697" spans="1:14" x14ac:dyDescent="0.2">
      <c r="A697">
        <v>696</v>
      </c>
      <c r="B697">
        <f>LARGE(data!F:F,A697)</f>
        <v>0.3799875305</v>
      </c>
      <c r="C697">
        <f>COUNTIFS(data!D:D,data!$I$2,data!F:F,"&gt;="&amp;B697)</f>
        <v>403</v>
      </c>
      <c r="D697">
        <f>COUNTIFS(data!D:D,data!$J$2,data!F:F,"&gt;="&amp;B697)</f>
        <v>293</v>
      </c>
      <c r="E697">
        <f>COUNTIFS(data!D:D,data!$J$2,data!F:F,"&lt;"&amp;B697)</f>
        <v>430</v>
      </c>
      <c r="F697">
        <f>COUNTIFS(data!D:D,data!$I$2,data!F:F,"&lt;"&amp;B697)</f>
        <v>131</v>
      </c>
      <c r="G697">
        <f t="shared" si="66"/>
        <v>0.40525587828492393</v>
      </c>
      <c r="H697">
        <f t="shared" si="67"/>
        <v>0.75468164794007486</v>
      </c>
      <c r="I697">
        <f t="shared" si="65"/>
        <v>1.043819706694429E-3</v>
      </c>
      <c r="J697">
        <f t="shared" si="68"/>
        <v>0.57902298850574707</v>
      </c>
      <c r="K697">
        <f t="shared" si="69"/>
        <v>0.65528455284552845</v>
      </c>
      <c r="L697">
        <f>A697*COUNTIF(data!D:D,data!$I$2)/data!$L$2</f>
        <v>295.67541766109787</v>
      </c>
      <c r="M697" s="1">
        <f>A697/data!$L$2</f>
        <v>0.55369928400954649</v>
      </c>
      <c r="N697">
        <f t="shared" si="64"/>
        <v>1.3629810796848767</v>
      </c>
    </row>
    <row r="698" spans="1:14" x14ac:dyDescent="0.2">
      <c r="A698">
        <v>697</v>
      </c>
      <c r="B698">
        <f>LARGE(data!F:F,A698)</f>
        <v>0.37996771759999998</v>
      </c>
      <c r="C698">
        <f>COUNTIFS(data!D:D,data!$I$2,data!F:F,"&gt;="&amp;B698)</f>
        <v>403</v>
      </c>
      <c r="D698">
        <f>COUNTIFS(data!D:D,data!$J$2,data!F:F,"&gt;="&amp;B698)</f>
        <v>294</v>
      </c>
      <c r="E698">
        <f>COUNTIFS(data!D:D,data!$J$2,data!F:F,"&lt;"&amp;B698)</f>
        <v>429</v>
      </c>
      <c r="F698">
        <f>COUNTIFS(data!D:D,data!$I$2,data!F:F,"&lt;"&amp;B698)</f>
        <v>131</v>
      </c>
      <c r="G698">
        <f t="shared" si="66"/>
        <v>0.40663900414937759</v>
      </c>
      <c r="H698">
        <f t="shared" si="67"/>
        <v>0.75468164794007486</v>
      </c>
      <c r="I698">
        <f t="shared" si="65"/>
        <v>1.043819706694429E-3</v>
      </c>
      <c r="J698">
        <f t="shared" si="68"/>
        <v>0.57819225251076045</v>
      </c>
      <c r="K698">
        <f t="shared" si="69"/>
        <v>0.65475223395613313</v>
      </c>
      <c r="L698">
        <f>A698*COUNTIF(data!D:D,data!$I$2)/data!$L$2</f>
        <v>296.1002386634845</v>
      </c>
      <c r="M698" s="1">
        <f>A698/data!$L$2</f>
        <v>0.55449482895783608</v>
      </c>
      <c r="N698">
        <f t="shared" si="64"/>
        <v>1.3610255831573517</v>
      </c>
    </row>
    <row r="699" spans="1:14" x14ac:dyDescent="0.2">
      <c r="A699">
        <v>698</v>
      </c>
      <c r="B699">
        <f>LARGE(data!F:F,A699)</f>
        <v>0.37670067899999998</v>
      </c>
      <c r="C699">
        <f>COUNTIFS(data!D:D,data!$I$2,data!F:F,"&gt;="&amp;B699)</f>
        <v>403</v>
      </c>
      <c r="D699">
        <f>COUNTIFS(data!D:D,data!$J$2,data!F:F,"&gt;="&amp;B699)</f>
        <v>295</v>
      </c>
      <c r="E699">
        <f>COUNTIFS(data!D:D,data!$J$2,data!F:F,"&lt;"&amp;B699)</f>
        <v>428</v>
      </c>
      <c r="F699">
        <f>COUNTIFS(data!D:D,data!$I$2,data!F:F,"&lt;"&amp;B699)</f>
        <v>131</v>
      </c>
      <c r="G699">
        <f t="shared" si="66"/>
        <v>0.40802213001383125</v>
      </c>
      <c r="H699">
        <f t="shared" si="67"/>
        <v>0.75468164794007486</v>
      </c>
      <c r="I699">
        <f t="shared" si="65"/>
        <v>1.043819706694429E-3</v>
      </c>
      <c r="J699">
        <f t="shared" si="68"/>
        <v>0.57736389684813749</v>
      </c>
      <c r="K699">
        <f t="shared" si="69"/>
        <v>0.65422077922077926</v>
      </c>
      <c r="L699">
        <f>A699*COUNTIF(data!D:D,data!$I$2)/data!$L$2</f>
        <v>296.52505966587114</v>
      </c>
      <c r="M699" s="1">
        <f>A699/data!$L$2</f>
        <v>0.55529037390612568</v>
      </c>
      <c r="N699">
        <f t="shared" si="64"/>
        <v>1.3590756897717393</v>
      </c>
    </row>
    <row r="700" spans="1:14" x14ac:dyDescent="0.2">
      <c r="A700">
        <v>699</v>
      </c>
      <c r="B700">
        <f>LARGE(data!F:F,A700)</f>
        <v>0.37669247839999997</v>
      </c>
      <c r="C700">
        <f>COUNTIFS(data!D:D,data!$I$2,data!F:F,"&gt;="&amp;B700)</f>
        <v>404</v>
      </c>
      <c r="D700">
        <f>COUNTIFS(data!D:D,data!$J$2,data!F:F,"&gt;="&amp;B700)</f>
        <v>295</v>
      </c>
      <c r="E700">
        <f>COUNTIFS(data!D:D,data!$J$2,data!F:F,"&lt;"&amp;B700)</f>
        <v>428</v>
      </c>
      <c r="F700">
        <f>COUNTIFS(data!D:D,data!$I$2,data!F:F,"&lt;"&amp;B700)</f>
        <v>130</v>
      </c>
      <c r="G700">
        <f t="shared" si="66"/>
        <v>0.40802213001383125</v>
      </c>
      <c r="H700">
        <f t="shared" si="67"/>
        <v>0.75655430711610483</v>
      </c>
      <c r="I700">
        <f t="shared" si="65"/>
        <v>0</v>
      </c>
      <c r="J700">
        <f t="shared" si="68"/>
        <v>0.57796852646638053</v>
      </c>
      <c r="K700">
        <f t="shared" si="69"/>
        <v>0.65531224655312237</v>
      </c>
      <c r="L700">
        <f>A700*COUNTIF(data!D:D,data!$I$2)/data!$L$2</f>
        <v>296.94988066825778</v>
      </c>
      <c r="M700" s="1">
        <f>A700/data!$L$2</f>
        <v>0.55608591885441527</v>
      </c>
      <c r="N700">
        <f t="shared" si="64"/>
        <v>1.3604989471315361</v>
      </c>
    </row>
    <row r="701" spans="1:14" x14ac:dyDescent="0.2">
      <c r="A701">
        <v>700</v>
      </c>
      <c r="B701">
        <f>LARGE(data!F:F,A701)</f>
        <v>0.37669025950000001</v>
      </c>
      <c r="C701">
        <f>COUNTIFS(data!D:D,data!$I$2,data!F:F,"&gt;="&amp;B701)</f>
        <v>404</v>
      </c>
      <c r="D701">
        <f>COUNTIFS(data!D:D,data!$J$2,data!F:F,"&gt;="&amp;B701)</f>
        <v>296</v>
      </c>
      <c r="E701">
        <f>COUNTIFS(data!D:D,data!$J$2,data!F:F,"&lt;"&amp;B701)</f>
        <v>427</v>
      </c>
      <c r="F701">
        <f>COUNTIFS(data!D:D,data!$I$2,data!F:F,"&lt;"&amp;B701)</f>
        <v>130</v>
      </c>
      <c r="G701">
        <f t="shared" si="66"/>
        <v>0.40940525587828491</v>
      </c>
      <c r="H701">
        <f t="shared" si="67"/>
        <v>0.75655430711610483</v>
      </c>
      <c r="I701">
        <f t="shared" si="65"/>
        <v>1.0464098300361024E-3</v>
      </c>
      <c r="J701">
        <f t="shared" si="68"/>
        <v>0.57714285714285718</v>
      </c>
      <c r="K701">
        <f t="shared" si="69"/>
        <v>0.65478119935170187</v>
      </c>
      <c r="L701">
        <f>A701*COUNTIF(data!D:D,data!$I$2)/data!$L$2</f>
        <v>297.37470167064441</v>
      </c>
      <c r="M701" s="1">
        <f>A701/data!$L$2</f>
        <v>0.55688146380270487</v>
      </c>
      <c r="N701">
        <f t="shared" si="64"/>
        <v>1.3585553772070624</v>
      </c>
    </row>
    <row r="702" spans="1:14" x14ac:dyDescent="0.2">
      <c r="A702">
        <v>701</v>
      </c>
      <c r="B702">
        <f>LARGE(data!F:F,A702)</f>
        <v>0.37636862399999998</v>
      </c>
      <c r="C702">
        <f>COUNTIFS(data!D:D,data!$I$2,data!F:F,"&gt;="&amp;B702)</f>
        <v>406</v>
      </c>
      <c r="D702">
        <f>COUNTIFS(data!D:D,data!$J$2,data!F:F,"&gt;="&amp;B702)</f>
        <v>296</v>
      </c>
      <c r="E702">
        <f>COUNTIFS(data!D:D,data!$J$2,data!F:F,"&lt;"&amp;B702)</f>
        <v>427</v>
      </c>
      <c r="F702">
        <f>COUNTIFS(data!D:D,data!$I$2,data!F:F,"&lt;"&amp;B702)</f>
        <v>128</v>
      </c>
      <c r="G702">
        <f t="shared" si="66"/>
        <v>0.40940525587828491</v>
      </c>
      <c r="H702">
        <f t="shared" si="67"/>
        <v>0.76029962546816476</v>
      </c>
      <c r="I702">
        <f t="shared" si="65"/>
        <v>0</v>
      </c>
      <c r="J702">
        <f t="shared" si="68"/>
        <v>0.57834757834757833</v>
      </c>
      <c r="K702">
        <f t="shared" si="69"/>
        <v>0.65695792880258896</v>
      </c>
      <c r="L702">
        <f>A702*COUNTIF(data!D:D,data!$I$2)/data!$L$2</f>
        <v>297.79952267303105</v>
      </c>
      <c r="M702" s="1">
        <f>A702/data!$L$2</f>
        <v>0.55767700875099446</v>
      </c>
      <c r="N702">
        <f t="shared" si="64"/>
        <v>1.3633332799051114</v>
      </c>
    </row>
    <row r="703" spans="1:14" x14ac:dyDescent="0.2">
      <c r="A703">
        <v>702</v>
      </c>
      <c r="B703">
        <f>LARGE(data!F:F,A703)</f>
        <v>0.37636862399999998</v>
      </c>
      <c r="C703">
        <f>COUNTIFS(data!D:D,data!$I$2,data!F:F,"&gt;="&amp;B703)</f>
        <v>406</v>
      </c>
      <c r="D703">
        <f>COUNTIFS(data!D:D,data!$J$2,data!F:F,"&gt;="&amp;B703)</f>
        <v>296</v>
      </c>
      <c r="E703">
        <f>COUNTIFS(data!D:D,data!$J$2,data!F:F,"&lt;"&amp;B703)</f>
        <v>427</v>
      </c>
      <c r="F703">
        <f>COUNTIFS(data!D:D,data!$I$2,data!F:F,"&lt;"&amp;B703)</f>
        <v>128</v>
      </c>
      <c r="G703">
        <f t="shared" si="66"/>
        <v>0.40940525587828491</v>
      </c>
      <c r="H703">
        <f t="shared" si="67"/>
        <v>0.76029962546816476</v>
      </c>
      <c r="I703">
        <f t="shared" si="65"/>
        <v>0</v>
      </c>
      <c r="J703">
        <f t="shared" si="68"/>
        <v>0.57834757834757833</v>
      </c>
      <c r="K703">
        <f t="shared" si="69"/>
        <v>0.65695792880258896</v>
      </c>
      <c r="L703">
        <f>A703*COUNTIF(data!D:D,data!$I$2)/data!$L$2</f>
        <v>298.22434367541769</v>
      </c>
      <c r="M703" s="1">
        <f>A703/data!$L$2</f>
        <v>0.55847255369928406</v>
      </c>
      <c r="N703">
        <f t="shared" si="64"/>
        <v>1.3613912097058163</v>
      </c>
    </row>
    <row r="704" spans="1:14" x14ac:dyDescent="0.2">
      <c r="A704">
        <v>703</v>
      </c>
      <c r="B704">
        <f>LARGE(data!F:F,A704)</f>
        <v>0.3756955797</v>
      </c>
      <c r="C704">
        <f>COUNTIFS(data!D:D,data!$I$2,data!F:F,"&gt;="&amp;B704)</f>
        <v>407</v>
      </c>
      <c r="D704">
        <f>COUNTIFS(data!D:D,data!$J$2,data!F:F,"&gt;="&amp;B704)</f>
        <v>296</v>
      </c>
      <c r="E704">
        <f>COUNTIFS(data!D:D,data!$J$2,data!F:F,"&lt;"&amp;B704)</f>
        <v>427</v>
      </c>
      <c r="F704">
        <f>COUNTIFS(data!D:D,data!$I$2,data!F:F,"&lt;"&amp;B704)</f>
        <v>127</v>
      </c>
      <c r="G704">
        <f t="shared" si="66"/>
        <v>0.40940525587828491</v>
      </c>
      <c r="H704">
        <f t="shared" si="67"/>
        <v>0.76217228464419473</v>
      </c>
      <c r="I704">
        <f t="shared" si="65"/>
        <v>0</v>
      </c>
      <c r="J704">
        <f t="shared" si="68"/>
        <v>0.57894736842105265</v>
      </c>
      <c r="K704">
        <f t="shared" si="69"/>
        <v>0.6580436540016168</v>
      </c>
      <c r="L704">
        <f>A704*COUNTIF(data!D:D,data!$I$2)/data!$L$2</f>
        <v>298.64916467780432</v>
      </c>
      <c r="M704" s="1">
        <f>A704/data!$L$2</f>
        <v>0.55926809864757354</v>
      </c>
      <c r="N704">
        <f t="shared" si="64"/>
        <v>1.362803075103489</v>
      </c>
    </row>
    <row r="705" spans="1:14" x14ac:dyDescent="0.2">
      <c r="A705">
        <v>704</v>
      </c>
      <c r="B705">
        <f>LARGE(data!F:F,A705)</f>
        <v>0.37500929500000002</v>
      </c>
      <c r="C705">
        <f>COUNTIFS(data!D:D,data!$I$2,data!F:F,"&gt;="&amp;B705)</f>
        <v>407</v>
      </c>
      <c r="D705">
        <f>COUNTIFS(data!D:D,data!$J$2,data!F:F,"&gt;="&amp;B705)</f>
        <v>297</v>
      </c>
      <c r="E705">
        <f>COUNTIFS(data!D:D,data!$J$2,data!F:F,"&lt;"&amp;B705)</f>
        <v>426</v>
      </c>
      <c r="F705">
        <f>COUNTIFS(data!D:D,data!$I$2,data!F:F,"&lt;"&amp;B705)</f>
        <v>127</v>
      </c>
      <c r="G705">
        <f t="shared" si="66"/>
        <v>0.41078838174273857</v>
      </c>
      <c r="H705">
        <f t="shared" si="67"/>
        <v>0.76217228464419473</v>
      </c>
      <c r="I705">
        <f t="shared" si="65"/>
        <v>1.0541802000611231E-3</v>
      </c>
      <c r="J705">
        <f t="shared" si="68"/>
        <v>0.578125</v>
      </c>
      <c r="K705">
        <f t="shared" si="69"/>
        <v>0.65751211631663975</v>
      </c>
      <c r="L705">
        <f>A705*COUNTIF(data!D:D,data!$I$2)/data!$L$2</f>
        <v>299.07398568019096</v>
      </c>
      <c r="M705" s="1">
        <f>A705/data!$L$2</f>
        <v>0.56006364359586314</v>
      </c>
      <c r="N705">
        <f t="shared" si="64"/>
        <v>1.3608672752808988</v>
      </c>
    </row>
    <row r="706" spans="1:14" x14ac:dyDescent="0.2">
      <c r="A706">
        <v>705</v>
      </c>
      <c r="B706">
        <f>LARGE(data!F:F,A706)</f>
        <v>0.37477889660000002</v>
      </c>
      <c r="C706">
        <f>COUNTIFS(data!D:D,data!$I$2,data!F:F,"&gt;="&amp;B706)</f>
        <v>409</v>
      </c>
      <c r="D706">
        <f>COUNTIFS(data!D:D,data!$J$2,data!F:F,"&gt;="&amp;B706)</f>
        <v>297</v>
      </c>
      <c r="E706">
        <f>COUNTIFS(data!D:D,data!$J$2,data!F:F,"&lt;"&amp;B706)</f>
        <v>426</v>
      </c>
      <c r="F706">
        <f>COUNTIFS(data!D:D,data!$I$2,data!F:F,"&lt;"&amp;B706)</f>
        <v>125</v>
      </c>
      <c r="G706">
        <f t="shared" si="66"/>
        <v>0.41078838174273857</v>
      </c>
      <c r="H706">
        <f t="shared" si="67"/>
        <v>0.76591760299625467</v>
      </c>
      <c r="I706">
        <f t="shared" si="65"/>
        <v>0</v>
      </c>
      <c r="J706">
        <f t="shared" si="68"/>
        <v>0.57932011331444755</v>
      </c>
      <c r="K706">
        <f t="shared" si="69"/>
        <v>0.65967741935483859</v>
      </c>
      <c r="L706">
        <f>A706*COUNTIF(data!D:D,data!$I$2)/data!$L$2</f>
        <v>299.49880668257754</v>
      </c>
      <c r="M706" s="1">
        <f>A706/data!$L$2</f>
        <v>0.56085918854415273</v>
      </c>
      <c r="N706">
        <f t="shared" ref="N706:N750" si="70">C706/L706</f>
        <v>1.3656147900231095</v>
      </c>
    </row>
    <row r="707" spans="1:14" x14ac:dyDescent="0.2">
      <c r="A707">
        <v>706</v>
      </c>
      <c r="B707">
        <f>LARGE(data!F:F,A707)</f>
        <v>0.37477889660000002</v>
      </c>
      <c r="C707">
        <f>COUNTIFS(data!D:D,data!$I$2,data!F:F,"&gt;="&amp;B707)</f>
        <v>409</v>
      </c>
      <c r="D707">
        <f>COUNTIFS(data!D:D,data!$J$2,data!F:F,"&gt;="&amp;B707)</f>
        <v>297</v>
      </c>
      <c r="E707">
        <f>COUNTIFS(data!D:D,data!$J$2,data!F:F,"&lt;"&amp;B707)</f>
        <v>426</v>
      </c>
      <c r="F707">
        <f>COUNTIFS(data!D:D,data!$I$2,data!F:F,"&lt;"&amp;B707)</f>
        <v>125</v>
      </c>
      <c r="G707">
        <f t="shared" si="66"/>
        <v>0.41078838174273857</v>
      </c>
      <c r="H707">
        <f t="shared" si="67"/>
        <v>0.76591760299625467</v>
      </c>
      <c r="I707">
        <f t="shared" ref="I707:I751" si="71">(G707-G706)*(H707+H706)*0.5</f>
        <v>0</v>
      </c>
      <c r="J707">
        <f t="shared" si="68"/>
        <v>0.57932011331444755</v>
      </c>
      <c r="K707">
        <f t="shared" si="69"/>
        <v>0.65967741935483859</v>
      </c>
      <c r="L707">
        <f>A707*COUNTIF(data!D:D,data!$I$2)/data!$L$2</f>
        <v>299.92362768496417</v>
      </c>
      <c r="M707" s="1">
        <f>A707/data!$L$2</f>
        <v>0.56165473349244233</v>
      </c>
      <c r="N707">
        <f t="shared" si="70"/>
        <v>1.3636804914536718</v>
      </c>
    </row>
    <row r="708" spans="1:14" x14ac:dyDescent="0.2">
      <c r="A708">
        <v>707</v>
      </c>
      <c r="B708">
        <f>LARGE(data!F:F,A708)</f>
        <v>0.37477886100000002</v>
      </c>
      <c r="C708">
        <f>COUNTIFS(data!D:D,data!$I$2,data!F:F,"&gt;="&amp;B708)</f>
        <v>409</v>
      </c>
      <c r="D708">
        <f>COUNTIFS(data!D:D,data!$J$2,data!F:F,"&gt;="&amp;B708)</f>
        <v>298</v>
      </c>
      <c r="E708">
        <f>COUNTIFS(data!D:D,data!$J$2,data!F:F,"&lt;"&amp;B708)</f>
        <v>425</v>
      </c>
      <c r="F708">
        <f>COUNTIFS(data!D:D,data!$I$2,data!F:F,"&lt;"&amp;B708)</f>
        <v>125</v>
      </c>
      <c r="G708">
        <f t="shared" si="66"/>
        <v>0.41217150760719223</v>
      </c>
      <c r="H708">
        <f t="shared" si="67"/>
        <v>0.76591760299625467</v>
      </c>
      <c r="I708">
        <f t="shared" si="71"/>
        <v>1.0593604467444703E-3</v>
      </c>
      <c r="J708">
        <f t="shared" si="68"/>
        <v>0.57850070721357849</v>
      </c>
      <c r="K708">
        <f t="shared" si="69"/>
        <v>0.65914585012087024</v>
      </c>
      <c r="L708">
        <f>A708*COUNTIF(data!D:D,data!$I$2)/data!$L$2</f>
        <v>300.34844868735081</v>
      </c>
      <c r="M708" s="1">
        <f>A708/data!$L$2</f>
        <v>0.56245027844073192</v>
      </c>
      <c r="N708">
        <f t="shared" si="70"/>
        <v>1.3617516647330865</v>
      </c>
    </row>
    <row r="709" spans="1:14" x14ac:dyDescent="0.2">
      <c r="A709">
        <v>708</v>
      </c>
      <c r="B709">
        <f>LARGE(data!F:F,A709)</f>
        <v>0.37316463170000003</v>
      </c>
      <c r="C709">
        <f>COUNTIFS(data!D:D,data!$I$2,data!F:F,"&gt;="&amp;B709)</f>
        <v>410</v>
      </c>
      <c r="D709">
        <f>COUNTIFS(data!D:D,data!$J$2,data!F:F,"&gt;="&amp;B709)</f>
        <v>298</v>
      </c>
      <c r="E709">
        <f>COUNTIFS(data!D:D,data!$J$2,data!F:F,"&lt;"&amp;B709)</f>
        <v>425</v>
      </c>
      <c r="F709">
        <f>COUNTIFS(data!D:D,data!$I$2,data!F:F,"&lt;"&amp;B709)</f>
        <v>124</v>
      </c>
      <c r="G709">
        <f t="shared" si="66"/>
        <v>0.41217150760719223</v>
      </c>
      <c r="H709">
        <f t="shared" si="67"/>
        <v>0.76779026217228463</v>
      </c>
      <c r="I709">
        <f t="shared" si="71"/>
        <v>0</v>
      </c>
      <c r="J709">
        <f t="shared" si="68"/>
        <v>0.57909604519774016</v>
      </c>
      <c r="K709">
        <f t="shared" si="69"/>
        <v>0.66022544283413853</v>
      </c>
      <c r="L709">
        <f>A709*COUNTIF(data!D:D,data!$I$2)/data!$L$2</f>
        <v>300.77326968973745</v>
      </c>
      <c r="M709" s="1">
        <f>A709/data!$L$2</f>
        <v>0.56324582338902152</v>
      </c>
      <c r="N709">
        <f t="shared" si="70"/>
        <v>1.3631530502126581</v>
      </c>
    </row>
    <row r="710" spans="1:14" x14ac:dyDescent="0.2">
      <c r="A710">
        <v>709</v>
      </c>
      <c r="B710">
        <f>LARGE(data!F:F,A710)</f>
        <v>0.3725709089</v>
      </c>
      <c r="C710">
        <f>COUNTIFS(data!D:D,data!$I$2,data!F:F,"&gt;="&amp;B710)</f>
        <v>410</v>
      </c>
      <c r="D710">
        <f>COUNTIFS(data!D:D,data!$J$2,data!F:F,"&gt;="&amp;B710)</f>
        <v>299</v>
      </c>
      <c r="E710">
        <f>COUNTIFS(data!D:D,data!$J$2,data!F:F,"&lt;"&amp;B710)</f>
        <v>424</v>
      </c>
      <c r="F710">
        <f>COUNTIFS(data!D:D,data!$I$2,data!F:F,"&lt;"&amp;B710)</f>
        <v>124</v>
      </c>
      <c r="G710">
        <f t="shared" si="66"/>
        <v>0.41355463347164589</v>
      </c>
      <c r="H710">
        <f t="shared" si="67"/>
        <v>0.76779026217228463</v>
      </c>
      <c r="I710">
        <f t="shared" si="71"/>
        <v>1.0619505700861437E-3</v>
      </c>
      <c r="J710">
        <f t="shared" si="68"/>
        <v>0.57827926657263751</v>
      </c>
      <c r="K710">
        <f t="shared" si="69"/>
        <v>0.65969428801287211</v>
      </c>
      <c r="L710">
        <f>A710*COUNTIF(data!D:D,data!$I$2)/data!$L$2</f>
        <v>301.19809069212408</v>
      </c>
      <c r="M710" s="1">
        <f>A710/data!$L$2</f>
        <v>0.56404136833731111</v>
      </c>
      <c r="N710">
        <f t="shared" si="70"/>
        <v>1.3612304083928941</v>
      </c>
    </row>
    <row r="711" spans="1:14" x14ac:dyDescent="0.2">
      <c r="A711">
        <v>710</v>
      </c>
      <c r="B711">
        <f>LARGE(data!F:F,A711)</f>
        <v>0.37231978189999998</v>
      </c>
      <c r="C711">
        <f>COUNTIFS(data!D:D,data!$I$2,data!F:F,"&gt;="&amp;B711)</f>
        <v>411</v>
      </c>
      <c r="D711">
        <f>COUNTIFS(data!D:D,data!$J$2,data!F:F,"&gt;="&amp;B711)</f>
        <v>299</v>
      </c>
      <c r="E711">
        <f>COUNTIFS(data!D:D,data!$J$2,data!F:F,"&lt;"&amp;B711)</f>
        <v>424</v>
      </c>
      <c r="F711">
        <f>COUNTIFS(data!D:D,data!$I$2,data!F:F,"&lt;"&amp;B711)</f>
        <v>123</v>
      </c>
      <c r="G711">
        <f t="shared" si="66"/>
        <v>0.41355463347164589</v>
      </c>
      <c r="H711">
        <f t="shared" si="67"/>
        <v>0.7696629213483146</v>
      </c>
      <c r="I711">
        <f t="shared" si="71"/>
        <v>0</v>
      </c>
      <c r="J711">
        <f t="shared" si="68"/>
        <v>0.57887323943661972</v>
      </c>
      <c r="K711">
        <f t="shared" si="69"/>
        <v>0.66077170418006426</v>
      </c>
      <c r="L711">
        <f>A711*COUNTIF(data!D:D,data!$I$2)/data!$L$2</f>
        <v>301.62291169451072</v>
      </c>
      <c r="M711" s="1">
        <f>A711/data!$L$2</f>
        <v>0.56483691328560059</v>
      </c>
      <c r="N711">
        <f t="shared" si="70"/>
        <v>1.3626285804715936</v>
      </c>
    </row>
    <row r="712" spans="1:14" x14ac:dyDescent="0.2">
      <c r="A712">
        <v>711</v>
      </c>
      <c r="B712">
        <f>LARGE(data!F:F,A712)</f>
        <v>0.37219148629999999</v>
      </c>
      <c r="C712">
        <f>COUNTIFS(data!D:D,data!$I$2,data!F:F,"&gt;="&amp;B712)</f>
        <v>413</v>
      </c>
      <c r="D712">
        <f>COUNTIFS(data!D:D,data!$J$2,data!F:F,"&gt;="&amp;B712)</f>
        <v>299</v>
      </c>
      <c r="E712">
        <f>COUNTIFS(data!D:D,data!$J$2,data!F:F,"&lt;"&amp;B712)</f>
        <v>424</v>
      </c>
      <c r="F712">
        <f>COUNTIFS(data!D:D,data!$I$2,data!F:F,"&lt;"&amp;B712)</f>
        <v>121</v>
      </c>
      <c r="G712">
        <f t="shared" si="66"/>
        <v>0.41355463347164589</v>
      </c>
      <c r="H712">
        <f t="shared" si="67"/>
        <v>0.77340823970037453</v>
      </c>
      <c r="I712">
        <f t="shared" si="71"/>
        <v>0</v>
      </c>
      <c r="J712">
        <f t="shared" si="68"/>
        <v>0.5800561797752809</v>
      </c>
      <c r="K712">
        <f t="shared" si="69"/>
        <v>0.66292134831460681</v>
      </c>
      <c r="L712">
        <f>A712*COUNTIF(data!D:D,data!$I$2)/data!$L$2</f>
        <v>302.04773269689736</v>
      </c>
      <c r="M712" s="1">
        <f>A712/data!$L$2</f>
        <v>0.56563245823389019</v>
      </c>
      <c r="N712">
        <f t="shared" si="70"/>
        <v>1.3673335545757677</v>
      </c>
    </row>
    <row r="713" spans="1:14" x14ac:dyDescent="0.2">
      <c r="A713">
        <v>712</v>
      </c>
      <c r="B713">
        <f>LARGE(data!F:F,A713)</f>
        <v>0.37219148629999999</v>
      </c>
      <c r="C713">
        <f>COUNTIFS(data!D:D,data!$I$2,data!F:F,"&gt;="&amp;B713)</f>
        <v>413</v>
      </c>
      <c r="D713">
        <f>COUNTIFS(data!D:D,data!$J$2,data!F:F,"&gt;="&amp;B713)</f>
        <v>299</v>
      </c>
      <c r="E713">
        <f>COUNTIFS(data!D:D,data!$J$2,data!F:F,"&lt;"&amp;B713)</f>
        <v>424</v>
      </c>
      <c r="F713">
        <f>COUNTIFS(data!D:D,data!$I$2,data!F:F,"&lt;"&amp;B713)</f>
        <v>121</v>
      </c>
      <c r="G713">
        <f t="shared" si="66"/>
        <v>0.41355463347164589</v>
      </c>
      <c r="H713">
        <f t="shared" si="67"/>
        <v>0.77340823970037453</v>
      </c>
      <c r="I713">
        <f t="shared" si="71"/>
        <v>0</v>
      </c>
      <c r="J713">
        <f t="shared" si="68"/>
        <v>0.5800561797752809</v>
      </c>
      <c r="K713">
        <f t="shared" si="69"/>
        <v>0.66292134831460681</v>
      </c>
      <c r="L713">
        <f>A713*COUNTIF(data!D:D,data!$I$2)/data!$L$2</f>
        <v>302.47255369928399</v>
      </c>
      <c r="M713" s="1">
        <f>A713/data!$L$2</f>
        <v>0.56642800318217978</v>
      </c>
      <c r="N713">
        <f t="shared" si="70"/>
        <v>1.3654131422800153</v>
      </c>
    </row>
    <row r="714" spans="1:14" x14ac:dyDescent="0.2">
      <c r="A714">
        <v>713</v>
      </c>
      <c r="B714">
        <f>LARGE(data!F:F,A714)</f>
        <v>0.37176519769999999</v>
      </c>
      <c r="C714">
        <f>COUNTIFS(data!D:D,data!$I$2,data!F:F,"&gt;="&amp;B714)</f>
        <v>413</v>
      </c>
      <c r="D714">
        <f>COUNTIFS(data!D:D,data!$J$2,data!F:F,"&gt;="&amp;B714)</f>
        <v>300</v>
      </c>
      <c r="E714">
        <f>COUNTIFS(data!D:D,data!$J$2,data!F:F,"&lt;"&amp;B714)</f>
        <v>423</v>
      </c>
      <c r="F714">
        <f>COUNTIFS(data!D:D,data!$I$2,data!F:F,"&lt;"&amp;B714)</f>
        <v>121</v>
      </c>
      <c r="G714">
        <f t="shared" si="66"/>
        <v>0.41493775933609961</v>
      </c>
      <c r="H714">
        <f t="shared" si="67"/>
        <v>0.77340823970037453</v>
      </c>
      <c r="I714">
        <f t="shared" si="71"/>
        <v>1.0697209401112073E-3</v>
      </c>
      <c r="J714">
        <f t="shared" si="68"/>
        <v>0.57924263674614307</v>
      </c>
      <c r="K714">
        <f t="shared" si="69"/>
        <v>0.66238973536487566</v>
      </c>
      <c r="L714">
        <f>A714*COUNTIF(data!D:D,data!$I$2)/data!$L$2</f>
        <v>302.89737470167063</v>
      </c>
      <c r="M714" s="1">
        <f>A714/data!$L$2</f>
        <v>0.56722354813046938</v>
      </c>
      <c r="N714">
        <f t="shared" si="70"/>
        <v>1.3634981168350222</v>
      </c>
    </row>
    <row r="715" spans="1:14" x14ac:dyDescent="0.2">
      <c r="A715">
        <v>714</v>
      </c>
      <c r="B715">
        <f>LARGE(data!F:F,A715)</f>
        <v>0.3715712726</v>
      </c>
      <c r="C715">
        <f>COUNTIFS(data!D:D,data!$I$2,data!F:F,"&gt;="&amp;B715)</f>
        <v>414</v>
      </c>
      <c r="D715">
        <f>COUNTIFS(data!D:D,data!$J$2,data!F:F,"&gt;="&amp;B715)</f>
        <v>300</v>
      </c>
      <c r="E715">
        <f>COUNTIFS(data!D:D,data!$J$2,data!F:F,"&lt;"&amp;B715)</f>
        <v>423</v>
      </c>
      <c r="F715">
        <f>COUNTIFS(data!D:D,data!$I$2,data!F:F,"&lt;"&amp;B715)</f>
        <v>120</v>
      </c>
      <c r="G715">
        <f t="shared" si="66"/>
        <v>0.41493775933609961</v>
      </c>
      <c r="H715">
        <f t="shared" si="67"/>
        <v>0.7752808988764045</v>
      </c>
      <c r="I715">
        <f t="shared" si="71"/>
        <v>0</v>
      </c>
      <c r="J715">
        <f t="shared" si="68"/>
        <v>0.57983193277310929</v>
      </c>
      <c r="K715">
        <f t="shared" si="69"/>
        <v>0.66346153846153844</v>
      </c>
      <c r="L715">
        <f>A715*COUNTIF(data!D:D,data!$I$2)/data!$L$2</f>
        <v>303.32219570405726</v>
      </c>
      <c r="M715" s="1">
        <f>A715/data!$L$2</f>
        <v>0.56801909307875897</v>
      </c>
      <c r="N715">
        <f t="shared" si="70"/>
        <v>1.3648852799546787</v>
      </c>
    </row>
    <row r="716" spans="1:14" x14ac:dyDescent="0.2">
      <c r="A716">
        <v>715</v>
      </c>
      <c r="B716">
        <f>LARGE(data!F:F,A716)</f>
        <v>0.37123630460000001</v>
      </c>
      <c r="C716">
        <f>COUNTIFS(data!D:D,data!$I$2,data!F:F,"&gt;="&amp;B716)</f>
        <v>414</v>
      </c>
      <c r="D716">
        <f>COUNTIFS(data!D:D,data!$J$2,data!F:F,"&gt;="&amp;B716)</f>
        <v>301</v>
      </c>
      <c r="E716">
        <f>COUNTIFS(data!D:D,data!$J$2,data!F:F,"&lt;"&amp;B716)</f>
        <v>422</v>
      </c>
      <c r="F716">
        <f>COUNTIFS(data!D:D,data!$I$2,data!F:F,"&lt;"&amp;B716)</f>
        <v>120</v>
      </c>
      <c r="G716">
        <f t="shared" si="66"/>
        <v>0.41632088520055327</v>
      </c>
      <c r="H716">
        <f t="shared" si="67"/>
        <v>0.7752808988764045</v>
      </c>
      <c r="I716">
        <f t="shared" si="71"/>
        <v>1.0723110634528379E-3</v>
      </c>
      <c r="J716">
        <f t="shared" si="68"/>
        <v>0.57902097902097904</v>
      </c>
      <c r="K716">
        <f t="shared" si="69"/>
        <v>0.6629303442754203</v>
      </c>
      <c r="L716">
        <f>A716*COUNTIF(data!D:D,data!$I$2)/data!$L$2</f>
        <v>303.7470167064439</v>
      </c>
      <c r="M716" s="1">
        <f>A716/data!$L$2</f>
        <v>0.56881463802704857</v>
      </c>
      <c r="N716">
        <f t="shared" si="70"/>
        <v>1.3629763494932035</v>
      </c>
    </row>
    <row r="717" spans="1:14" x14ac:dyDescent="0.2">
      <c r="A717">
        <v>716</v>
      </c>
      <c r="B717">
        <f>LARGE(data!F:F,A717)</f>
        <v>0.37072451049999999</v>
      </c>
      <c r="C717">
        <f>COUNTIFS(data!D:D,data!$I$2,data!F:F,"&gt;="&amp;B717)</f>
        <v>414</v>
      </c>
      <c r="D717">
        <f>COUNTIFS(data!D:D,data!$J$2,data!F:F,"&gt;="&amp;B717)</f>
        <v>302</v>
      </c>
      <c r="E717">
        <f>COUNTIFS(data!D:D,data!$J$2,data!F:F,"&lt;"&amp;B717)</f>
        <v>421</v>
      </c>
      <c r="F717">
        <f>COUNTIFS(data!D:D,data!$I$2,data!F:F,"&lt;"&amp;B717)</f>
        <v>120</v>
      </c>
      <c r="G717">
        <f t="shared" si="66"/>
        <v>0.41770401106500693</v>
      </c>
      <c r="H717">
        <f t="shared" si="67"/>
        <v>0.7752808988764045</v>
      </c>
      <c r="I717">
        <f t="shared" si="71"/>
        <v>1.0723110634528379E-3</v>
      </c>
      <c r="J717">
        <f t="shared" si="68"/>
        <v>0.57821229050279332</v>
      </c>
      <c r="K717">
        <f t="shared" si="69"/>
        <v>0.66239999999999999</v>
      </c>
      <c r="L717">
        <f>A717*COUNTIF(data!D:D,data!$I$2)/data!$L$2</f>
        <v>304.17183770883054</v>
      </c>
      <c r="M717" s="1">
        <f>A717/data!$L$2</f>
        <v>0.56961018297533805</v>
      </c>
      <c r="N717">
        <f t="shared" si="70"/>
        <v>1.3610727512397214</v>
      </c>
    </row>
    <row r="718" spans="1:14" x14ac:dyDescent="0.2">
      <c r="A718">
        <v>717</v>
      </c>
      <c r="B718">
        <f>LARGE(data!F:F,A718)</f>
        <v>0.36850093309999998</v>
      </c>
      <c r="C718">
        <f>COUNTIFS(data!D:D,data!$I$2,data!F:F,"&gt;="&amp;B718)</f>
        <v>414</v>
      </c>
      <c r="D718">
        <f>COUNTIFS(data!D:D,data!$J$2,data!F:F,"&gt;="&amp;B718)</f>
        <v>303</v>
      </c>
      <c r="E718">
        <f>COUNTIFS(data!D:D,data!$J$2,data!F:F,"&lt;"&amp;B718)</f>
        <v>420</v>
      </c>
      <c r="F718">
        <f>COUNTIFS(data!D:D,data!$I$2,data!F:F,"&lt;"&amp;B718)</f>
        <v>120</v>
      </c>
      <c r="G718">
        <f t="shared" si="66"/>
        <v>0.41908713692946059</v>
      </c>
      <c r="H718">
        <f t="shared" si="67"/>
        <v>0.7752808988764045</v>
      </c>
      <c r="I718">
        <f t="shared" si="71"/>
        <v>1.0723110634528379E-3</v>
      </c>
      <c r="J718">
        <f t="shared" si="68"/>
        <v>0.57740585774058573</v>
      </c>
      <c r="K718">
        <f t="shared" si="69"/>
        <v>0.66187050359712229</v>
      </c>
      <c r="L718">
        <f>A718*COUNTIF(data!D:D,data!$I$2)/data!$L$2</f>
        <v>304.59665871121717</v>
      </c>
      <c r="M718" s="1">
        <f>A718/data!$L$2</f>
        <v>0.57040572792362765</v>
      </c>
      <c r="N718">
        <f t="shared" si="70"/>
        <v>1.3591744628837386</v>
      </c>
    </row>
    <row r="719" spans="1:14" x14ac:dyDescent="0.2">
      <c r="A719">
        <v>718</v>
      </c>
      <c r="B719">
        <f>LARGE(data!F:F,A719)</f>
        <v>0.3679886986</v>
      </c>
      <c r="C719">
        <f>COUNTIFS(data!D:D,data!$I$2,data!F:F,"&gt;="&amp;B719)</f>
        <v>414</v>
      </c>
      <c r="D719">
        <f>COUNTIFS(data!D:D,data!$J$2,data!F:F,"&gt;="&amp;B719)</f>
        <v>304</v>
      </c>
      <c r="E719">
        <f>COUNTIFS(data!D:D,data!$J$2,data!F:F,"&lt;"&amp;B719)</f>
        <v>419</v>
      </c>
      <c r="F719">
        <f>COUNTIFS(data!D:D,data!$I$2,data!F:F,"&lt;"&amp;B719)</f>
        <v>120</v>
      </c>
      <c r="G719">
        <f t="shared" si="66"/>
        <v>0.42047026279391425</v>
      </c>
      <c r="H719">
        <f t="shared" si="67"/>
        <v>0.7752808988764045</v>
      </c>
      <c r="I719">
        <f t="shared" si="71"/>
        <v>1.0723110634528379E-3</v>
      </c>
      <c r="J719">
        <f t="shared" si="68"/>
        <v>0.57660167130919215</v>
      </c>
      <c r="K719">
        <f t="shared" si="69"/>
        <v>0.6613418530351437</v>
      </c>
      <c r="L719">
        <f>A719*COUNTIF(data!D:D,data!$I$2)/data!$L$2</f>
        <v>305.02147971360381</v>
      </c>
      <c r="M719" s="1">
        <f>A719/data!$L$2</f>
        <v>0.57120127287191724</v>
      </c>
      <c r="N719">
        <f t="shared" si="70"/>
        <v>1.3572814622390537</v>
      </c>
    </row>
    <row r="720" spans="1:14" x14ac:dyDescent="0.2">
      <c r="A720">
        <v>719</v>
      </c>
      <c r="B720">
        <f>LARGE(data!F:F,A720)</f>
        <v>0.36765517180000001</v>
      </c>
      <c r="C720">
        <f>COUNTIFS(data!D:D,data!$I$2,data!F:F,"&gt;="&amp;B720)</f>
        <v>415</v>
      </c>
      <c r="D720">
        <f>COUNTIFS(data!D:D,data!$J$2,data!F:F,"&gt;="&amp;B720)</f>
        <v>304</v>
      </c>
      <c r="E720">
        <f>COUNTIFS(data!D:D,data!$J$2,data!F:F,"&lt;"&amp;B720)</f>
        <v>419</v>
      </c>
      <c r="F720">
        <f>COUNTIFS(data!D:D,data!$I$2,data!F:F,"&lt;"&amp;B720)</f>
        <v>119</v>
      </c>
      <c r="G720">
        <f t="shared" si="66"/>
        <v>0.42047026279391425</v>
      </c>
      <c r="H720">
        <f t="shared" si="67"/>
        <v>0.77715355805243447</v>
      </c>
      <c r="I720">
        <f t="shared" si="71"/>
        <v>0</v>
      </c>
      <c r="J720">
        <f t="shared" si="68"/>
        <v>0.57719054242002776</v>
      </c>
      <c r="K720">
        <f t="shared" si="69"/>
        <v>0.66241021548284118</v>
      </c>
      <c r="L720">
        <f>A720*COUNTIF(data!D:D,data!$I$2)/data!$L$2</f>
        <v>305.44630071599045</v>
      </c>
      <c r="M720" s="1">
        <f>A720/data!$L$2</f>
        <v>0.57199681782020684</v>
      </c>
      <c r="N720">
        <f t="shared" si="70"/>
        <v>1.3586676251347847</v>
      </c>
    </row>
    <row r="721" spans="1:14" x14ac:dyDescent="0.2">
      <c r="A721">
        <v>720</v>
      </c>
      <c r="B721">
        <f>LARGE(data!F:F,A721)</f>
        <v>0.3674109807</v>
      </c>
      <c r="C721">
        <f>COUNTIFS(data!D:D,data!$I$2,data!F:F,"&gt;="&amp;B721)</f>
        <v>417</v>
      </c>
      <c r="D721">
        <f>COUNTIFS(data!D:D,data!$J$2,data!F:F,"&gt;="&amp;B721)</f>
        <v>304</v>
      </c>
      <c r="E721">
        <f>COUNTIFS(data!D:D,data!$J$2,data!F:F,"&lt;"&amp;B721)</f>
        <v>419</v>
      </c>
      <c r="F721">
        <f>COUNTIFS(data!D:D,data!$I$2,data!F:F,"&lt;"&amp;B721)</f>
        <v>117</v>
      </c>
      <c r="G721">
        <f t="shared" si="66"/>
        <v>0.42047026279391425</v>
      </c>
      <c r="H721">
        <f t="shared" si="67"/>
        <v>0.7808988764044944</v>
      </c>
      <c r="I721">
        <f t="shared" si="71"/>
        <v>0</v>
      </c>
      <c r="J721">
        <f t="shared" si="68"/>
        <v>0.57836338418862687</v>
      </c>
      <c r="K721">
        <f t="shared" si="69"/>
        <v>0.66454183266932265</v>
      </c>
      <c r="L721">
        <f>A721*COUNTIF(data!D:D,data!$I$2)/data!$L$2</f>
        <v>305.87112171837708</v>
      </c>
      <c r="M721" s="1">
        <f>A721/data!$L$2</f>
        <v>0.57279236276849643</v>
      </c>
      <c r="N721">
        <f t="shared" si="70"/>
        <v>1.3633192883895131</v>
      </c>
    </row>
    <row r="722" spans="1:14" x14ac:dyDescent="0.2">
      <c r="A722">
        <v>721</v>
      </c>
      <c r="B722">
        <f>LARGE(data!F:F,A722)</f>
        <v>0.3674109807</v>
      </c>
      <c r="C722">
        <f>COUNTIFS(data!D:D,data!$I$2,data!F:F,"&gt;="&amp;B722)</f>
        <v>417</v>
      </c>
      <c r="D722">
        <f>COUNTIFS(data!D:D,data!$J$2,data!F:F,"&gt;="&amp;B722)</f>
        <v>304</v>
      </c>
      <c r="E722">
        <f>COUNTIFS(data!D:D,data!$J$2,data!F:F,"&lt;"&amp;B722)</f>
        <v>419</v>
      </c>
      <c r="F722">
        <f>COUNTIFS(data!D:D,data!$I$2,data!F:F,"&lt;"&amp;B722)</f>
        <v>117</v>
      </c>
      <c r="G722">
        <f t="shared" si="66"/>
        <v>0.42047026279391425</v>
      </c>
      <c r="H722">
        <f t="shared" si="67"/>
        <v>0.7808988764044944</v>
      </c>
      <c r="I722">
        <f t="shared" si="71"/>
        <v>0</v>
      </c>
      <c r="J722">
        <f t="shared" si="68"/>
        <v>0.57836338418862687</v>
      </c>
      <c r="K722">
        <f t="shared" si="69"/>
        <v>0.66454183266932265</v>
      </c>
      <c r="L722">
        <f>A722*COUNTIF(data!D:D,data!$I$2)/data!$L$2</f>
        <v>306.29594272076372</v>
      </c>
      <c r="M722" s="1">
        <f>A722/data!$L$2</f>
        <v>0.57358790771678603</v>
      </c>
      <c r="N722">
        <f t="shared" si="70"/>
        <v>1.3614284155900824</v>
      </c>
    </row>
    <row r="723" spans="1:14" x14ac:dyDescent="0.2">
      <c r="A723">
        <v>722</v>
      </c>
      <c r="B723">
        <f>LARGE(data!F:F,A723)</f>
        <v>0.3665697986</v>
      </c>
      <c r="C723">
        <f>COUNTIFS(data!D:D,data!$I$2,data!F:F,"&gt;="&amp;B723)</f>
        <v>417</v>
      </c>
      <c r="D723">
        <f>COUNTIFS(data!D:D,data!$J$2,data!F:F,"&gt;="&amp;B723)</f>
        <v>305</v>
      </c>
      <c r="E723">
        <f>COUNTIFS(data!D:D,data!$J$2,data!F:F,"&lt;"&amp;B723)</f>
        <v>418</v>
      </c>
      <c r="F723">
        <f>COUNTIFS(data!D:D,data!$I$2,data!F:F,"&lt;"&amp;B723)</f>
        <v>117</v>
      </c>
      <c r="G723">
        <f t="shared" si="66"/>
        <v>0.42185338865836791</v>
      </c>
      <c r="H723">
        <f t="shared" si="67"/>
        <v>0.7808988764044944</v>
      </c>
      <c r="I723">
        <f t="shared" si="71"/>
        <v>1.0800814334778583E-3</v>
      </c>
      <c r="J723">
        <f t="shared" si="68"/>
        <v>0.57756232686980613</v>
      </c>
      <c r="K723">
        <f t="shared" si="69"/>
        <v>0.66401273885350309</v>
      </c>
      <c r="L723">
        <f>A723*COUNTIF(data!D:D,data!$I$2)/data!$L$2</f>
        <v>306.72076372315036</v>
      </c>
      <c r="M723" s="1">
        <f>A723/data!$L$2</f>
        <v>0.57438345266507562</v>
      </c>
      <c r="N723">
        <f t="shared" si="70"/>
        <v>1.3595427806654425</v>
      </c>
    </row>
    <row r="724" spans="1:14" x14ac:dyDescent="0.2">
      <c r="A724">
        <v>723</v>
      </c>
      <c r="B724">
        <f>LARGE(data!F:F,A724)</f>
        <v>0.36272105900000001</v>
      </c>
      <c r="C724">
        <f>COUNTIFS(data!D:D,data!$I$2,data!F:F,"&gt;="&amp;B724)</f>
        <v>417</v>
      </c>
      <c r="D724">
        <f>COUNTIFS(data!D:D,data!$J$2,data!F:F,"&gt;="&amp;B724)</f>
        <v>306</v>
      </c>
      <c r="E724">
        <f>COUNTIFS(data!D:D,data!$J$2,data!F:F,"&lt;"&amp;B724)</f>
        <v>417</v>
      </c>
      <c r="F724">
        <f>COUNTIFS(data!D:D,data!$I$2,data!F:F,"&lt;"&amp;B724)</f>
        <v>117</v>
      </c>
      <c r="G724">
        <f t="shared" si="66"/>
        <v>0.42323651452282157</v>
      </c>
      <c r="H724">
        <f t="shared" si="67"/>
        <v>0.7808988764044944</v>
      </c>
      <c r="I724">
        <f t="shared" si="71"/>
        <v>1.0800814334778583E-3</v>
      </c>
      <c r="J724">
        <f t="shared" si="68"/>
        <v>0.57676348547717837</v>
      </c>
      <c r="K724">
        <f t="shared" si="69"/>
        <v>0.66348448687350836</v>
      </c>
      <c r="L724">
        <f>A724*COUNTIF(data!D:D,data!$I$2)/data!$L$2</f>
        <v>307.14558472553699</v>
      </c>
      <c r="M724" s="1">
        <f>A724/data!$L$2</f>
        <v>0.57517899761336511</v>
      </c>
      <c r="N724">
        <f t="shared" si="70"/>
        <v>1.3576623618816728</v>
      </c>
    </row>
    <row r="725" spans="1:14" x14ac:dyDescent="0.2">
      <c r="A725">
        <v>724</v>
      </c>
      <c r="B725">
        <f>LARGE(data!F:F,A725)</f>
        <v>0.3626382708</v>
      </c>
      <c r="C725">
        <f>COUNTIFS(data!D:D,data!$I$2,data!F:F,"&gt;="&amp;B725)</f>
        <v>417</v>
      </c>
      <c r="D725">
        <f>COUNTIFS(data!D:D,data!$J$2,data!F:F,"&gt;="&amp;B725)</f>
        <v>307</v>
      </c>
      <c r="E725">
        <f>COUNTIFS(data!D:D,data!$J$2,data!F:F,"&lt;"&amp;B725)</f>
        <v>416</v>
      </c>
      <c r="F725">
        <f>COUNTIFS(data!D:D,data!$I$2,data!F:F,"&lt;"&amp;B725)</f>
        <v>117</v>
      </c>
      <c r="G725">
        <f t="shared" si="66"/>
        <v>0.42461964038727523</v>
      </c>
      <c r="H725">
        <f t="shared" si="67"/>
        <v>0.7808988764044944</v>
      </c>
      <c r="I725">
        <f t="shared" si="71"/>
        <v>1.0800814334778583E-3</v>
      </c>
      <c r="J725">
        <f t="shared" si="68"/>
        <v>0.57596685082872923</v>
      </c>
      <c r="K725">
        <f t="shared" si="69"/>
        <v>0.66295707472178056</v>
      </c>
      <c r="L725">
        <f>A725*COUNTIF(data!D:D,data!$I$2)/data!$L$2</f>
        <v>307.57040572792363</v>
      </c>
      <c r="M725" s="1">
        <f>A725/data!$L$2</f>
        <v>0.5759745425616547</v>
      </c>
      <c r="N725">
        <f t="shared" si="70"/>
        <v>1.3557871376249302</v>
      </c>
    </row>
    <row r="726" spans="1:14" x14ac:dyDescent="0.2">
      <c r="A726">
        <v>725</v>
      </c>
      <c r="B726">
        <f>LARGE(data!F:F,A726)</f>
        <v>0.362533035</v>
      </c>
      <c r="C726">
        <f>COUNTIFS(data!D:D,data!$I$2,data!F:F,"&gt;="&amp;B726)</f>
        <v>418</v>
      </c>
      <c r="D726">
        <f>COUNTIFS(data!D:D,data!$J$2,data!F:F,"&gt;="&amp;B726)</f>
        <v>307</v>
      </c>
      <c r="E726">
        <f>COUNTIFS(data!D:D,data!$J$2,data!F:F,"&lt;"&amp;B726)</f>
        <v>416</v>
      </c>
      <c r="F726">
        <f>COUNTIFS(data!D:D,data!$I$2,data!F:F,"&lt;"&amp;B726)</f>
        <v>116</v>
      </c>
      <c r="G726">
        <f t="shared" si="66"/>
        <v>0.42461964038727523</v>
      </c>
      <c r="H726">
        <f t="shared" si="67"/>
        <v>0.78277153558052437</v>
      </c>
      <c r="I726">
        <f t="shared" si="71"/>
        <v>0</v>
      </c>
      <c r="J726">
        <f t="shared" si="68"/>
        <v>0.57655172413793099</v>
      </c>
      <c r="K726">
        <f t="shared" si="69"/>
        <v>0.66401906274821276</v>
      </c>
      <c r="L726">
        <f>A726*COUNTIF(data!D:D,data!$I$2)/data!$L$2</f>
        <v>307.99522673031026</v>
      </c>
      <c r="M726" s="1">
        <f>A726/data!$L$2</f>
        <v>0.5767700875099443</v>
      </c>
      <c r="N726">
        <f t="shared" si="70"/>
        <v>1.3571638899651297</v>
      </c>
    </row>
    <row r="727" spans="1:14" x14ac:dyDescent="0.2">
      <c r="A727">
        <v>726</v>
      </c>
      <c r="B727">
        <f>LARGE(data!F:F,A727)</f>
        <v>0.3622689825</v>
      </c>
      <c r="C727">
        <f>COUNTIFS(data!D:D,data!$I$2,data!F:F,"&gt;="&amp;B727)</f>
        <v>418</v>
      </c>
      <c r="D727">
        <f>COUNTIFS(data!D:D,data!$J$2,data!F:F,"&gt;="&amp;B727)</f>
        <v>308</v>
      </c>
      <c r="E727">
        <f>COUNTIFS(data!D:D,data!$J$2,data!F:F,"&lt;"&amp;B727)</f>
        <v>415</v>
      </c>
      <c r="F727">
        <f>COUNTIFS(data!D:D,data!$I$2,data!F:F,"&lt;"&amp;B727)</f>
        <v>116</v>
      </c>
      <c r="G727">
        <f t="shared" si="66"/>
        <v>0.42600276625172889</v>
      </c>
      <c r="H727">
        <f t="shared" si="67"/>
        <v>0.78277153558052437</v>
      </c>
      <c r="I727">
        <f t="shared" si="71"/>
        <v>1.082671556819532E-3</v>
      </c>
      <c r="J727">
        <f t="shared" si="68"/>
        <v>0.5757575757575758</v>
      </c>
      <c r="K727">
        <f t="shared" si="69"/>
        <v>0.66349206349206358</v>
      </c>
      <c r="L727">
        <f>A727*COUNTIF(data!D:D,data!$I$2)/data!$L$2</f>
        <v>308.4200477326969</v>
      </c>
      <c r="M727" s="1">
        <f>A727/data!$L$2</f>
        <v>0.57756563245823389</v>
      </c>
      <c r="N727">
        <f t="shared" si="70"/>
        <v>1.3552945182158664</v>
      </c>
    </row>
    <row r="728" spans="1:14" x14ac:dyDescent="0.2">
      <c r="A728">
        <v>727</v>
      </c>
      <c r="B728">
        <f>LARGE(data!F:F,A728)</f>
        <v>0.36062733190000001</v>
      </c>
      <c r="C728">
        <f>COUNTIFS(data!D:D,data!$I$2,data!F:F,"&gt;="&amp;B728)</f>
        <v>419</v>
      </c>
      <c r="D728">
        <f>COUNTIFS(data!D:D,data!$J$2,data!F:F,"&gt;="&amp;B728)</f>
        <v>308</v>
      </c>
      <c r="E728">
        <f>COUNTIFS(data!D:D,data!$J$2,data!F:F,"&lt;"&amp;B728)</f>
        <v>415</v>
      </c>
      <c r="F728">
        <f>COUNTIFS(data!D:D,data!$I$2,data!F:F,"&lt;"&amp;B728)</f>
        <v>115</v>
      </c>
      <c r="G728">
        <f t="shared" si="66"/>
        <v>0.42600276625172889</v>
      </c>
      <c r="H728">
        <f t="shared" si="67"/>
        <v>0.78464419475655434</v>
      </c>
      <c r="I728">
        <f t="shared" si="71"/>
        <v>0</v>
      </c>
      <c r="J728">
        <f t="shared" si="68"/>
        <v>0.5763411279229711</v>
      </c>
      <c r="K728">
        <f t="shared" si="69"/>
        <v>0.66455194290245845</v>
      </c>
      <c r="L728">
        <f>A728*COUNTIF(data!D:D,data!$I$2)/data!$L$2</f>
        <v>308.84486873508354</v>
      </c>
      <c r="M728" s="1">
        <f>A728/data!$L$2</f>
        <v>0.57836117740652349</v>
      </c>
      <c r="N728">
        <f t="shared" si="70"/>
        <v>1.3566681606726119</v>
      </c>
    </row>
    <row r="729" spans="1:14" x14ac:dyDescent="0.2">
      <c r="A729">
        <v>728</v>
      </c>
      <c r="B729">
        <f>LARGE(data!F:F,A729)</f>
        <v>0.35986627869999999</v>
      </c>
      <c r="C729">
        <f>COUNTIFS(data!D:D,data!$I$2,data!F:F,"&gt;="&amp;B729)</f>
        <v>421</v>
      </c>
      <c r="D729">
        <f>COUNTIFS(data!D:D,data!$J$2,data!F:F,"&gt;="&amp;B729)</f>
        <v>308</v>
      </c>
      <c r="E729">
        <f>COUNTIFS(data!D:D,data!$J$2,data!F:F,"&lt;"&amp;B729)</f>
        <v>415</v>
      </c>
      <c r="F729">
        <f>COUNTIFS(data!D:D,data!$I$2,data!F:F,"&lt;"&amp;B729)</f>
        <v>113</v>
      </c>
      <c r="G729">
        <f t="shared" si="66"/>
        <v>0.42600276625172889</v>
      </c>
      <c r="H729">
        <f t="shared" si="67"/>
        <v>0.78838951310861427</v>
      </c>
      <c r="I729">
        <f t="shared" si="71"/>
        <v>0</v>
      </c>
      <c r="J729">
        <f t="shared" si="68"/>
        <v>0.57750342935528121</v>
      </c>
      <c r="K729">
        <f t="shared" si="69"/>
        <v>0.66666666666666663</v>
      </c>
      <c r="L729">
        <f>A729*COUNTIF(data!D:D,data!$I$2)/data!$L$2</f>
        <v>309.26968973747017</v>
      </c>
      <c r="M729" s="1">
        <f>A729/data!$L$2</f>
        <v>0.57915672235481308</v>
      </c>
      <c r="N729">
        <f t="shared" si="70"/>
        <v>1.3612714532658352</v>
      </c>
    </row>
    <row r="730" spans="1:14" x14ac:dyDescent="0.2">
      <c r="A730">
        <v>729</v>
      </c>
      <c r="B730">
        <f>LARGE(data!F:F,A730)</f>
        <v>0.35986627869999999</v>
      </c>
      <c r="C730">
        <f>COUNTIFS(data!D:D,data!$I$2,data!F:F,"&gt;="&amp;B730)</f>
        <v>421</v>
      </c>
      <c r="D730">
        <f>COUNTIFS(data!D:D,data!$J$2,data!F:F,"&gt;="&amp;B730)</f>
        <v>308</v>
      </c>
      <c r="E730">
        <f>COUNTIFS(data!D:D,data!$J$2,data!F:F,"&lt;"&amp;B730)</f>
        <v>415</v>
      </c>
      <c r="F730">
        <f>COUNTIFS(data!D:D,data!$I$2,data!F:F,"&lt;"&amp;B730)</f>
        <v>113</v>
      </c>
      <c r="G730">
        <f t="shared" si="66"/>
        <v>0.42600276625172889</v>
      </c>
      <c r="H730">
        <f t="shared" si="67"/>
        <v>0.78838951310861427</v>
      </c>
      <c r="I730">
        <f t="shared" si="71"/>
        <v>0</v>
      </c>
      <c r="J730">
        <f t="shared" si="68"/>
        <v>0.57750342935528121</v>
      </c>
      <c r="K730">
        <f t="shared" si="69"/>
        <v>0.66666666666666663</v>
      </c>
      <c r="L730">
        <f>A730*COUNTIF(data!D:D,data!$I$2)/data!$L$2</f>
        <v>309.69451073985681</v>
      </c>
      <c r="M730" s="1">
        <f>A730/data!$L$2</f>
        <v>0.57995226730310268</v>
      </c>
      <c r="N730">
        <f t="shared" si="70"/>
        <v>1.3594041398868697</v>
      </c>
    </row>
    <row r="731" spans="1:14" x14ac:dyDescent="0.2">
      <c r="A731">
        <v>730</v>
      </c>
      <c r="B731">
        <f>LARGE(data!F:F,A731)</f>
        <v>0.35935235129999998</v>
      </c>
      <c r="C731">
        <f>COUNTIFS(data!D:D,data!$I$2,data!F:F,"&gt;="&amp;B731)</f>
        <v>421</v>
      </c>
      <c r="D731">
        <f>COUNTIFS(data!D:D,data!$J$2,data!F:F,"&gt;="&amp;B731)</f>
        <v>309</v>
      </c>
      <c r="E731">
        <f>COUNTIFS(data!D:D,data!$J$2,data!F:F,"&lt;"&amp;B731)</f>
        <v>414</v>
      </c>
      <c r="F731">
        <f>COUNTIFS(data!D:D,data!$I$2,data!F:F,"&lt;"&amp;B731)</f>
        <v>113</v>
      </c>
      <c r="G731">
        <f t="shared" si="66"/>
        <v>0.42738589211618255</v>
      </c>
      <c r="H731">
        <f t="shared" si="67"/>
        <v>0.78838951310861427</v>
      </c>
      <c r="I731">
        <f t="shared" si="71"/>
        <v>1.0904419268445524E-3</v>
      </c>
      <c r="J731">
        <f t="shared" si="68"/>
        <v>0.57671232876712331</v>
      </c>
      <c r="K731">
        <f t="shared" si="69"/>
        <v>0.66613924050632911</v>
      </c>
      <c r="L731">
        <f>A731*COUNTIF(data!D:D,data!$I$2)/data!$L$2</f>
        <v>310.11933174224345</v>
      </c>
      <c r="M731" s="1">
        <f>A731/data!$L$2</f>
        <v>0.58074781225139216</v>
      </c>
      <c r="N731">
        <f t="shared" si="70"/>
        <v>1.35754194243497</v>
      </c>
    </row>
    <row r="732" spans="1:14" x14ac:dyDescent="0.2">
      <c r="A732">
        <v>731</v>
      </c>
      <c r="B732">
        <f>LARGE(data!F:F,A732)</f>
        <v>0.3588066191</v>
      </c>
      <c r="C732">
        <f>COUNTIFS(data!D:D,data!$I$2,data!F:F,"&gt;="&amp;B732)</f>
        <v>422</v>
      </c>
      <c r="D732">
        <f>COUNTIFS(data!D:D,data!$J$2,data!F:F,"&gt;="&amp;B732)</f>
        <v>309</v>
      </c>
      <c r="E732">
        <f>COUNTIFS(data!D:D,data!$J$2,data!F:F,"&lt;"&amp;B732)</f>
        <v>414</v>
      </c>
      <c r="F732">
        <f>COUNTIFS(data!D:D,data!$I$2,data!F:F,"&lt;"&amp;B732)</f>
        <v>112</v>
      </c>
      <c r="G732">
        <f t="shared" si="66"/>
        <v>0.42738589211618255</v>
      </c>
      <c r="H732">
        <f t="shared" si="67"/>
        <v>0.79026217228464424</v>
      </c>
      <c r="I732">
        <f t="shared" si="71"/>
        <v>0</v>
      </c>
      <c r="J732">
        <f t="shared" si="68"/>
        <v>0.57729138166894667</v>
      </c>
      <c r="K732">
        <f t="shared" si="69"/>
        <v>0.6671936758893281</v>
      </c>
      <c r="L732">
        <f>A732*COUNTIF(data!D:D,data!$I$2)/data!$L$2</f>
        <v>310.54415274463008</v>
      </c>
      <c r="M732" s="1">
        <f>A732/data!$L$2</f>
        <v>0.58154335719968175</v>
      </c>
      <c r="N732">
        <f t="shared" si="70"/>
        <v>1.3589049939285878</v>
      </c>
    </row>
    <row r="733" spans="1:14" x14ac:dyDescent="0.2">
      <c r="A733">
        <v>732</v>
      </c>
      <c r="B733">
        <f>LARGE(data!F:F,A733)</f>
        <v>0.3585585329</v>
      </c>
      <c r="C733">
        <f>COUNTIFS(data!D:D,data!$I$2,data!F:F,"&gt;="&amp;B733)</f>
        <v>422</v>
      </c>
      <c r="D733">
        <f>COUNTIFS(data!D:D,data!$J$2,data!F:F,"&gt;="&amp;B733)</f>
        <v>310</v>
      </c>
      <c r="E733">
        <f>COUNTIFS(data!D:D,data!$J$2,data!F:F,"&lt;"&amp;B733)</f>
        <v>413</v>
      </c>
      <c r="F733">
        <f>COUNTIFS(data!D:D,data!$I$2,data!F:F,"&lt;"&amp;B733)</f>
        <v>112</v>
      </c>
      <c r="G733">
        <f t="shared" si="66"/>
        <v>0.42876901798063621</v>
      </c>
      <c r="H733">
        <f t="shared" si="67"/>
        <v>0.79026217228464424</v>
      </c>
      <c r="I733">
        <f t="shared" si="71"/>
        <v>1.0930320501862261E-3</v>
      </c>
      <c r="J733">
        <f t="shared" si="68"/>
        <v>0.57650273224043713</v>
      </c>
      <c r="K733">
        <f t="shared" si="69"/>
        <v>0.66666666666666663</v>
      </c>
      <c r="L733">
        <f>A733*COUNTIF(data!D:D,data!$I$2)/data!$L$2</f>
        <v>310.96897374701672</v>
      </c>
      <c r="M733" s="1">
        <f>A733/data!$L$2</f>
        <v>0.58233890214797135</v>
      </c>
      <c r="N733">
        <f t="shared" si="70"/>
        <v>1.3570485663412537</v>
      </c>
    </row>
    <row r="734" spans="1:14" x14ac:dyDescent="0.2">
      <c r="A734">
        <v>733</v>
      </c>
      <c r="B734">
        <f>LARGE(data!F:F,A734)</f>
        <v>0.35844408010000001</v>
      </c>
      <c r="C734">
        <f>COUNTIFS(data!D:D,data!$I$2,data!F:F,"&gt;="&amp;B734)</f>
        <v>423</v>
      </c>
      <c r="D734">
        <f>COUNTIFS(data!D:D,data!$J$2,data!F:F,"&gt;="&amp;B734)</f>
        <v>310</v>
      </c>
      <c r="E734">
        <f>COUNTIFS(data!D:D,data!$J$2,data!F:F,"&lt;"&amp;B734)</f>
        <v>413</v>
      </c>
      <c r="F734">
        <f>COUNTIFS(data!D:D,data!$I$2,data!F:F,"&lt;"&amp;B734)</f>
        <v>111</v>
      </c>
      <c r="G734">
        <f t="shared" si="66"/>
        <v>0.42876901798063621</v>
      </c>
      <c r="H734">
        <f t="shared" si="67"/>
        <v>0.7921348314606742</v>
      </c>
      <c r="I734">
        <f t="shared" si="71"/>
        <v>0</v>
      </c>
      <c r="J734">
        <f t="shared" si="68"/>
        <v>0.57708049113233284</v>
      </c>
      <c r="K734">
        <f t="shared" si="69"/>
        <v>0.66771902131018157</v>
      </c>
      <c r="L734">
        <f>A734*COUNTIF(data!D:D,data!$I$2)/data!$L$2</f>
        <v>311.39379474940336</v>
      </c>
      <c r="M734" s="1">
        <f>A734/data!$L$2</f>
        <v>0.58313444709626094</v>
      </c>
      <c r="N734">
        <f t="shared" si="70"/>
        <v>1.3584085718227386</v>
      </c>
    </row>
    <row r="735" spans="1:14" x14ac:dyDescent="0.2">
      <c r="A735">
        <v>734</v>
      </c>
      <c r="B735">
        <f>LARGE(data!F:F,A735)</f>
        <v>0.35829407169999999</v>
      </c>
      <c r="C735">
        <f>COUNTIFS(data!D:D,data!$I$2,data!F:F,"&gt;="&amp;B735)</f>
        <v>423</v>
      </c>
      <c r="D735">
        <f>COUNTIFS(data!D:D,data!$J$2,data!F:F,"&gt;="&amp;B735)</f>
        <v>311</v>
      </c>
      <c r="E735">
        <f>COUNTIFS(data!D:D,data!$J$2,data!F:F,"&lt;"&amp;B735)</f>
        <v>412</v>
      </c>
      <c r="F735">
        <f>COUNTIFS(data!D:D,data!$I$2,data!F:F,"&lt;"&amp;B735)</f>
        <v>111</v>
      </c>
      <c r="G735">
        <f t="shared" si="66"/>
        <v>0.43015214384508993</v>
      </c>
      <c r="H735">
        <f t="shared" si="67"/>
        <v>0.7921348314606742</v>
      </c>
      <c r="I735">
        <f t="shared" si="71"/>
        <v>1.0956221735279436E-3</v>
      </c>
      <c r="J735">
        <f t="shared" si="68"/>
        <v>0.57629427792915533</v>
      </c>
      <c r="K735">
        <f t="shared" si="69"/>
        <v>0.66719242902208209</v>
      </c>
      <c r="L735">
        <f>A735*COUNTIF(data!D:D,data!$I$2)/data!$L$2</f>
        <v>311.81861575178999</v>
      </c>
      <c r="M735" s="1">
        <f>A735/data!$L$2</f>
        <v>0.58392999204455054</v>
      </c>
      <c r="N735">
        <f t="shared" si="70"/>
        <v>1.3565578789455959</v>
      </c>
    </row>
    <row r="736" spans="1:14" x14ac:dyDescent="0.2">
      <c r="A736">
        <v>735</v>
      </c>
      <c r="B736">
        <f>LARGE(data!F:F,A736)</f>
        <v>0.35811136049999998</v>
      </c>
      <c r="C736">
        <f>COUNTIFS(data!D:D,data!$I$2,data!F:F,"&gt;="&amp;B736)</f>
        <v>423</v>
      </c>
      <c r="D736">
        <f>COUNTIFS(data!D:D,data!$J$2,data!F:F,"&gt;="&amp;B736)</f>
        <v>312</v>
      </c>
      <c r="E736">
        <f>COUNTIFS(data!D:D,data!$J$2,data!F:F,"&lt;"&amp;B736)</f>
        <v>411</v>
      </c>
      <c r="F736">
        <f>COUNTIFS(data!D:D,data!$I$2,data!F:F,"&lt;"&amp;B736)</f>
        <v>111</v>
      </c>
      <c r="G736">
        <f t="shared" si="66"/>
        <v>0.43153526970954359</v>
      </c>
      <c r="H736">
        <f t="shared" si="67"/>
        <v>0.7921348314606742</v>
      </c>
      <c r="I736">
        <f t="shared" si="71"/>
        <v>1.0956221735278996E-3</v>
      </c>
      <c r="J736">
        <f t="shared" si="68"/>
        <v>0.57551020408163267</v>
      </c>
      <c r="K736">
        <f t="shared" si="69"/>
        <v>0.66666666666666674</v>
      </c>
      <c r="L736">
        <f>A736*COUNTIF(data!D:D,data!$I$2)/data!$L$2</f>
        <v>312.24343675417663</v>
      </c>
      <c r="M736" s="1">
        <f>A736/data!$L$2</f>
        <v>0.58472553699284013</v>
      </c>
      <c r="N736">
        <f t="shared" si="70"/>
        <v>1.3547122219674386</v>
      </c>
    </row>
    <row r="737" spans="1:14" x14ac:dyDescent="0.2">
      <c r="A737">
        <v>736</v>
      </c>
      <c r="B737">
        <f>LARGE(data!F:F,A737)</f>
        <v>0.35749448420000002</v>
      </c>
      <c r="C737">
        <f>COUNTIFS(data!D:D,data!$I$2,data!F:F,"&gt;="&amp;B737)</f>
        <v>423</v>
      </c>
      <c r="D737">
        <f>COUNTIFS(data!D:D,data!$J$2,data!F:F,"&gt;="&amp;B737)</f>
        <v>313</v>
      </c>
      <c r="E737">
        <f>COUNTIFS(data!D:D,data!$J$2,data!F:F,"&lt;"&amp;B737)</f>
        <v>410</v>
      </c>
      <c r="F737">
        <f>COUNTIFS(data!D:D,data!$I$2,data!F:F,"&lt;"&amp;B737)</f>
        <v>111</v>
      </c>
      <c r="G737">
        <f t="shared" si="66"/>
        <v>0.43291839557399725</v>
      </c>
      <c r="H737">
        <f t="shared" si="67"/>
        <v>0.7921348314606742</v>
      </c>
      <c r="I737">
        <f t="shared" si="71"/>
        <v>1.0956221735278996E-3</v>
      </c>
      <c r="J737">
        <f t="shared" si="68"/>
        <v>0.57472826086956519</v>
      </c>
      <c r="K737">
        <f t="shared" si="69"/>
        <v>0.66614173228346452</v>
      </c>
      <c r="L737">
        <f>A737*COUNTIF(data!D:D,data!$I$2)/data!$L$2</f>
        <v>312.66825775656326</v>
      </c>
      <c r="M737" s="1">
        <f>A737/data!$L$2</f>
        <v>0.58552108194112973</v>
      </c>
      <c r="N737">
        <f t="shared" si="70"/>
        <v>1.3528715803615046</v>
      </c>
    </row>
    <row r="738" spans="1:14" x14ac:dyDescent="0.2">
      <c r="A738">
        <v>737</v>
      </c>
      <c r="B738">
        <f>LARGE(data!F:F,A738)</f>
        <v>0.35719707960000002</v>
      </c>
      <c r="C738">
        <f>COUNTIFS(data!D:D,data!$I$2,data!F:F,"&gt;="&amp;B738)</f>
        <v>424</v>
      </c>
      <c r="D738">
        <f>COUNTIFS(data!D:D,data!$J$2,data!F:F,"&gt;="&amp;B738)</f>
        <v>313</v>
      </c>
      <c r="E738">
        <f>COUNTIFS(data!D:D,data!$J$2,data!F:F,"&lt;"&amp;B738)</f>
        <v>410</v>
      </c>
      <c r="F738">
        <f>COUNTIFS(data!D:D,data!$I$2,data!F:F,"&lt;"&amp;B738)</f>
        <v>110</v>
      </c>
      <c r="G738">
        <f t="shared" si="66"/>
        <v>0.43291839557399725</v>
      </c>
      <c r="H738">
        <f t="shared" si="67"/>
        <v>0.79400749063670417</v>
      </c>
      <c r="I738">
        <f t="shared" si="71"/>
        <v>0</v>
      </c>
      <c r="J738">
        <f t="shared" si="68"/>
        <v>0.57530529172320222</v>
      </c>
      <c r="K738">
        <f t="shared" si="69"/>
        <v>0.6671911880409126</v>
      </c>
      <c r="L738">
        <f>A738*COUNTIF(data!D:D,data!$I$2)/data!$L$2</f>
        <v>313.0930787589499</v>
      </c>
      <c r="M738" s="1">
        <f>A738/data!$L$2</f>
        <v>0.58631662688941921</v>
      </c>
      <c r="N738">
        <f t="shared" si="70"/>
        <v>1.3542298720900094</v>
      </c>
    </row>
    <row r="739" spans="1:14" x14ac:dyDescent="0.2">
      <c r="A739">
        <v>738</v>
      </c>
      <c r="B739">
        <f>LARGE(data!F:F,A739)</f>
        <v>0.35709651590000002</v>
      </c>
      <c r="C739">
        <f>COUNTIFS(data!D:D,data!$I$2,data!F:F,"&gt;="&amp;B739)</f>
        <v>424</v>
      </c>
      <c r="D739">
        <f>COUNTIFS(data!D:D,data!$J$2,data!F:F,"&gt;="&amp;B739)</f>
        <v>314</v>
      </c>
      <c r="E739">
        <f>COUNTIFS(data!D:D,data!$J$2,data!F:F,"&lt;"&amp;B739)</f>
        <v>409</v>
      </c>
      <c r="F739">
        <f>COUNTIFS(data!D:D,data!$I$2,data!F:F,"&lt;"&amp;B739)</f>
        <v>110</v>
      </c>
      <c r="G739">
        <f t="shared" si="66"/>
        <v>0.43430152143845091</v>
      </c>
      <c r="H739">
        <f t="shared" si="67"/>
        <v>0.79400749063670417</v>
      </c>
      <c r="I739">
        <f t="shared" si="71"/>
        <v>1.0982122968695731E-3</v>
      </c>
      <c r="J739">
        <f t="shared" si="68"/>
        <v>0.57452574525745259</v>
      </c>
      <c r="K739">
        <f t="shared" si="69"/>
        <v>0.66666666666666663</v>
      </c>
      <c r="L739">
        <f>A739*COUNTIF(data!D:D,data!$I$2)/data!$L$2</f>
        <v>313.51789976133654</v>
      </c>
      <c r="M739" s="1">
        <f>A739/data!$L$2</f>
        <v>0.58711217183770881</v>
      </c>
      <c r="N739">
        <f t="shared" si="70"/>
        <v>1.3523948722633292</v>
      </c>
    </row>
    <row r="740" spans="1:14" x14ac:dyDescent="0.2">
      <c r="A740">
        <v>739</v>
      </c>
      <c r="B740">
        <f>LARGE(data!F:F,A740)</f>
        <v>0.35579891299999999</v>
      </c>
      <c r="C740">
        <f>COUNTIFS(data!D:D,data!$I$2,data!F:F,"&gt;="&amp;B740)</f>
        <v>425</v>
      </c>
      <c r="D740">
        <f>COUNTIFS(data!D:D,data!$J$2,data!F:F,"&gt;="&amp;B740)</f>
        <v>314</v>
      </c>
      <c r="E740">
        <f>COUNTIFS(data!D:D,data!$J$2,data!F:F,"&lt;"&amp;B740)</f>
        <v>409</v>
      </c>
      <c r="F740">
        <f>COUNTIFS(data!D:D,data!$I$2,data!F:F,"&lt;"&amp;B740)</f>
        <v>109</v>
      </c>
      <c r="G740">
        <f t="shared" si="66"/>
        <v>0.43430152143845091</v>
      </c>
      <c r="H740">
        <f t="shared" si="67"/>
        <v>0.79588014981273403</v>
      </c>
      <c r="I740">
        <f t="shared" si="71"/>
        <v>0</v>
      </c>
      <c r="J740">
        <f t="shared" si="68"/>
        <v>0.57510148849797027</v>
      </c>
      <c r="K740">
        <f t="shared" si="69"/>
        <v>0.66771406127258448</v>
      </c>
      <c r="L740">
        <f>A740*COUNTIF(data!D:D,data!$I$2)/data!$L$2</f>
        <v>313.94272076372317</v>
      </c>
      <c r="M740" s="1">
        <f>A740/data!$L$2</f>
        <v>0.5879077167859984</v>
      </c>
      <c r="N740">
        <f t="shared" si="70"/>
        <v>1.3537501330373567</v>
      </c>
    </row>
    <row r="741" spans="1:14" x14ac:dyDescent="0.2">
      <c r="A741">
        <v>740</v>
      </c>
      <c r="B741">
        <f>LARGE(data!F:F,A741)</f>
        <v>0.35517587029999997</v>
      </c>
      <c r="C741">
        <f>COUNTIFS(data!D:D,data!$I$2,data!F:F,"&gt;="&amp;B741)</f>
        <v>425</v>
      </c>
      <c r="D741">
        <f>COUNTIFS(data!D:D,data!$J$2,data!F:F,"&gt;="&amp;B741)</f>
        <v>315</v>
      </c>
      <c r="E741">
        <f>COUNTIFS(data!D:D,data!$J$2,data!F:F,"&lt;"&amp;B741)</f>
        <v>408</v>
      </c>
      <c r="F741">
        <f>COUNTIFS(data!D:D,data!$I$2,data!F:F,"&lt;"&amp;B741)</f>
        <v>109</v>
      </c>
      <c r="G741">
        <f t="shared" si="66"/>
        <v>0.43568464730290457</v>
      </c>
      <c r="H741">
        <f t="shared" si="67"/>
        <v>0.79588014981273403</v>
      </c>
      <c r="I741">
        <f t="shared" si="71"/>
        <v>1.1008024202112466E-3</v>
      </c>
      <c r="J741">
        <f t="shared" si="68"/>
        <v>0.57432432432432434</v>
      </c>
      <c r="K741">
        <f t="shared" si="69"/>
        <v>0.66718995290423866</v>
      </c>
      <c r="L741">
        <f>A741*COUNTIF(data!D:D,data!$I$2)/data!$L$2</f>
        <v>314.36754176610981</v>
      </c>
      <c r="M741" s="1">
        <f>A741/data!$L$2</f>
        <v>0.588703261734288</v>
      </c>
      <c r="N741">
        <f t="shared" si="70"/>
        <v>1.3519207409656846</v>
      </c>
    </row>
    <row r="742" spans="1:14" x14ac:dyDescent="0.2">
      <c r="A742">
        <v>741</v>
      </c>
      <c r="B742">
        <f>LARGE(data!F:F,A742)</f>
        <v>0.35479400379999998</v>
      </c>
      <c r="C742">
        <f>COUNTIFS(data!D:D,data!$I$2,data!F:F,"&gt;="&amp;B742)</f>
        <v>425</v>
      </c>
      <c r="D742">
        <f>COUNTIFS(data!D:D,data!$J$2,data!F:F,"&gt;="&amp;B742)</f>
        <v>316</v>
      </c>
      <c r="E742">
        <f>COUNTIFS(data!D:D,data!$J$2,data!F:F,"&lt;"&amp;B742)</f>
        <v>407</v>
      </c>
      <c r="F742">
        <f>COUNTIFS(data!D:D,data!$I$2,data!F:F,"&lt;"&amp;B742)</f>
        <v>109</v>
      </c>
      <c r="G742">
        <f t="shared" si="66"/>
        <v>0.43706777316735823</v>
      </c>
      <c r="H742">
        <f t="shared" si="67"/>
        <v>0.79588014981273403</v>
      </c>
      <c r="I742">
        <f t="shared" si="71"/>
        <v>1.1008024202112466E-3</v>
      </c>
      <c r="J742">
        <f t="shared" si="68"/>
        <v>0.57354925775978405</v>
      </c>
      <c r="K742">
        <f t="shared" si="69"/>
        <v>0.66666666666666663</v>
      </c>
      <c r="L742">
        <f>A742*COUNTIF(data!D:D,data!$I$2)/data!$L$2</f>
        <v>314.79236276849645</v>
      </c>
      <c r="M742" s="1">
        <f>A742/data!$L$2</f>
        <v>0.58949880668257759</v>
      </c>
      <c r="N742">
        <f t="shared" si="70"/>
        <v>1.3500962865244355</v>
      </c>
    </row>
    <row r="743" spans="1:14" x14ac:dyDescent="0.2">
      <c r="A743">
        <v>742</v>
      </c>
      <c r="B743">
        <f>LARGE(data!F:F,A743)</f>
        <v>0.35421323110000003</v>
      </c>
      <c r="C743">
        <f>COUNTIFS(data!D:D,data!$I$2,data!F:F,"&gt;="&amp;B743)</f>
        <v>425</v>
      </c>
      <c r="D743">
        <f>COUNTIFS(data!D:D,data!$J$2,data!F:F,"&gt;="&amp;B743)</f>
        <v>317</v>
      </c>
      <c r="E743">
        <f>COUNTIFS(data!D:D,data!$J$2,data!F:F,"&lt;"&amp;B743)</f>
        <v>406</v>
      </c>
      <c r="F743">
        <f>COUNTIFS(data!D:D,data!$I$2,data!F:F,"&lt;"&amp;B743)</f>
        <v>109</v>
      </c>
      <c r="G743">
        <f t="shared" si="66"/>
        <v>0.43845089903181189</v>
      </c>
      <c r="H743">
        <f t="shared" si="67"/>
        <v>0.79588014981273403</v>
      </c>
      <c r="I743">
        <f t="shared" si="71"/>
        <v>1.1008024202112466E-3</v>
      </c>
      <c r="J743">
        <f t="shared" si="68"/>
        <v>0.57277628032345018</v>
      </c>
      <c r="K743">
        <f t="shared" si="69"/>
        <v>0.66614420062695934</v>
      </c>
      <c r="L743">
        <f>A743*COUNTIF(data!D:D,data!$I$2)/data!$L$2</f>
        <v>315.21718377088308</v>
      </c>
      <c r="M743" s="1">
        <f>A743/data!$L$2</f>
        <v>0.59029435163086719</v>
      </c>
      <c r="N743">
        <f t="shared" si="70"/>
        <v>1.3482767497501438</v>
      </c>
    </row>
    <row r="744" spans="1:14" x14ac:dyDescent="0.2">
      <c r="A744">
        <v>743</v>
      </c>
      <c r="B744">
        <f>LARGE(data!F:F,A744)</f>
        <v>0.35402817759999999</v>
      </c>
      <c r="C744">
        <f>COUNTIFS(data!D:D,data!$I$2,data!F:F,"&gt;="&amp;B744)</f>
        <v>425</v>
      </c>
      <c r="D744">
        <f>COUNTIFS(data!D:D,data!$J$2,data!F:F,"&gt;="&amp;B744)</f>
        <v>318</v>
      </c>
      <c r="E744">
        <f>COUNTIFS(data!D:D,data!$J$2,data!F:F,"&lt;"&amp;B744)</f>
        <v>405</v>
      </c>
      <c r="F744">
        <f>COUNTIFS(data!D:D,data!$I$2,data!F:F,"&lt;"&amp;B744)</f>
        <v>109</v>
      </c>
      <c r="G744">
        <f t="shared" si="66"/>
        <v>0.43983402489626555</v>
      </c>
      <c r="H744">
        <f t="shared" si="67"/>
        <v>0.79588014981273403</v>
      </c>
      <c r="I744">
        <f t="shared" si="71"/>
        <v>1.1008024202112466E-3</v>
      </c>
      <c r="J744">
        <f t="shared" si="68"/>
        <v>0.5720053835800808</v>
      </c>
      <c r="K744">
        <f t="shared" si="69"/>
        <v>0.66562255285826155</v>
      </c>
      <c r="L744">
        <f>A744*COUNTIF(data!D:D,data!$I$2)/data!$L$2</f>
        <v>315.64200477326966</v>
      </c>
      <c r="M744" s="1">
        <f>A744/data!$L$2</f>
        <v>0.59108989657915667</v>
      </c>
      <c r="N744">
        <f t="shared" si="70"/>
        <v>1.3464621107868193</v>
      </c>
    </row>
    <row r="745" spans="1:14" x14ac:dyDescent="0.2">
      <c r="A745">
        <v>744</v>
      </c>
      <c r="B745">
        <f>LARGE(data!F:F,A745)</f>
        <v>0.35361207569999997</v>
      </c>
      <c r="C745">
        <f>COUNTIFS(data!D:D,data!$I$2,data!F:F,"&gt;="&amp;B745)</f>
        <v>425</v>
      </c>
      <c r="D745">
        <f>COUNTIFS(data!D:D,data!$J$2,data!F:F,"&gt;="&amp;B745)</f>
        <v>319</v>
      </c>
      <c r="E745">
        <f>COUNTIFS(data!D:D,data!$J$2,data!F:F,"&lt;"&amp;B745)</f>
        <v>404</v>
      </c>
      <c r="F745">
        <f>COUNTIFS(data!D:D,data!$I$2,data!F:F,"&lt;"&amp;B745)</f>
        <v>109</v>
      </c>
      <c r="G745">
        <f t="shared" si="66"/>
        <v>0.44121715076071921</v>
      </c>
      <c r="H745">
        <f t="shared" si="67"/>
        <v>0.79588014981273403</v>
      </c>
      <c r="I745">
        <f t="shared" si="71"/>
        <v>1.1008024202112466E-3</v>
      </c>
      <c r="J745">
        <f t="shared" si="68"/>
        <v>0.57123655913978499</v>
      </c>
      <c r="K745">
        <f t="shared" si="69"/>
        <v>0.66510172143974955</v>
      </c>
      <c r="L745">
        <f>A745*COUNTIF(data!D:D,data!$I$2)/data!$L$2</f>
        <v>316.0668257756563</v>
      </c>
      <c r="M745" s="1">
        <f>A745/data!$L$2</f>
        <v>0.59188544152744627</v>
      </c>
      <c r="N745">
        <f t="shared" si="70"/>
        <v>1.3446523498852243</v>
      </c>
    </row>
    <row r="746" spans="1:14" x14ac:dyDescent="0.2">
      <c r="A746">
        <v>745</v>
      </c>
      <c r="B746">
        <f>LARGE(data!F:F,A746)</f>
        <v>0.35326917889999998</v>
      </c>
      <c r="C746">
        <f>COUNTIFS(data!D:D,data!$I$2,data!F:F,"&gt;="&amp;B746)</f>
        <v>425</v>
      </c>
      <c r="D746">
        <f>COUNTIFS(data!D:D,data!$J$2,data!F:F,"&gt;="&amp;B746)</f>
        <v>320</v>
      </c>
      <c r="E746">
        <f>COUNTIFS(data!D:D,data!$J$2,data!F:F,"&lt;"&amp;B746)</f>
        <v>403</v>
      </c>
      <c r="F746">
        <f>COUNTIFS(data!D:D,data!$I$2,data!F:F,"&lt;"&amp;B746)</f>
        <v>109</v>
      </c>
      <c r="G746">
        <f t="shared" si="66"/>
        <v>0.44260027662517287</v>
      </c>
      <c r="H746">
        <f t="shared" si="67"/>
        <v>0.79588014981273403</v>
      </c>
      <c r="I746">
        <f t="shared" si="71"/>
        <v>1.1008024202112466E-3</v>
      </c>
      <c r="J746">
        <f t="shared" si="68"/>
        <v>0.57046979865771807</v>
      </c>
      <c r="K746">
        <f t="shared" si="69"/>
        <v>0.6645817044566068</v>
      </c>
      <c r="L746">
        <f>A746*COUNTIF(data!D:D,data!$I$2)/data!$L$2</f>
        <v>316.49164677804293</v>
      </c>
      <c r="M746" s="1">
        <f>A746/data!$L$2</f>
        <v>0.59268098647573586</v>
      </c>
      <c r="N746">
        <f t="shared" si="70"/>
        <v>1.3428474474021568</v>
      </c>
    </row>
    <row r="747" spans="1:14" x14ac:dyDescent="0.2">
      <c r="A747">
        <v>746</v>
      </c>
      <c r="B747">
        <f>LARGE(data!F:F,A747)</f>
        <v>0.35311678079999997</v>
      </c>
      <c r="C747">
        <f>COUNTIFS(data!D:D,data!$I$2,data!F:F,"&gt;="&amp;B747)</f>
        <v>425</v>
      </c>
      <c r="D747">
        <f>COUNTIFS(data!D:D,data!$J$2,data!F:F,"&gt;="&amp;B747)</f>
        <v>321</v>
      </c>
      <c r="E747">
        <f>COUNTIFS(data!D:D,data!$J$2,data!F:F,"&lt;"&amp;B747)</f>
        <v>402</v>
      </c>
      <c r="F747">
        <f>COUNTIFS(data!D:D,data!$I$2,data!F:F,"&lt;"&amp;B747)</f>
        <v>109</v>
      </c>
      <c r="G747">
        <f t="shared" si="66"/>
        <v>0.44398340248962653</v>
      </c>
      <c r="H747">
        <f t="shared" si="67"/>
        <v>0.79588014981273403</v>
      </c>
      <c r="I747">
        <f t="shared" si="71"/>
        <v>1.1008024202112466E-3</v>
      </c>
      <c r="J747">
        <f t="shared" si="68"/>
        <v>0.56970509383378021</v>
      </c>
      <c r="K747">
        <f t="shared" si="69"/>
        <v>0.6640625</v>
      </c>
      <c r="L747">
        <f>A747*COUNTIF(data!D:D,data!$I$2)/data!$L$2</f>
        <v>316.91646778042957</v>
      </c>
      <c r="M747" s="1">
        <f>A747/data!$L$2</f>
        <v>0.59347653142402546</v>
      </c>
      <c r="N747">
        <f t="shared" si="70"/>
        <v>1.341047383799741</v>
      </c>
    </row>
    <row r="748" spans="1:14" x14ac:dyDescent="0.2">
      <c r="A748">
        <v>747</v>
      </c>
      <c r="B748">
        <f>LARGE(data!F:F,A748)</f>
        <v>0.35063805460000003</v>
      </c>
      <c r="C748">
        <f>COUNTIFS(data!D:D,data!$I$2,data!F:F,"&gt;="&amp;B748)</f>
        <v>426</v>
      </c>
      <c r="D748">
        <f>COUNTIFS(data!D:D,data!$J$2,data!F:F,"&gt;="&amp;B748)</f>
        <v>321</v>
      </c>
      <c r="E748">
        <f>COUNTIFS(data!D:D,data!$J$2,data!F:F,"&lt;"&amp;B748)</f>
        <v>402</v>
      </c>
      <c r="F748">
        <f>COUNTIFS(data!D:D,data!$I$2,data!F:F,"&lt;"&amp;B748)</f>
        <v>108</v>
      </c>
      <c r="G748">
        <f t="shared" si="66"/>
        <v>0.44398340248962653</v>
      </c>
      <c r="H748">
        <f t="shared" si="67"/>
        <v>0.797752808988764</v>
      </c>
      <c r="I748">
        <f t="shared" si="71"/>
        <v>0</v>
      </c>
      <c r="J748">
        <f t="shared" si="68"/>
        <v>0.57028112449799195</v>
      </c>
      <c r="K748">
        <f t="shared" si="69"/>
        <v>0.66510538641686179</v>
      </c>
      <c r="L748">
        <f>A748*COUNTIF(data!D:D,data!$I$2)/data!$L$2</f>
        <v>317.34128878281621</v>
      </c>
      <c r="M748" s="1">
        <f>A748/data!$L$2</f>
        <v>0.59427207637231505</v>
      </c>
      <c r="N748">
        <f t="shared" si="70"/>
        <v>1.3424033211497677</v>
      </c>
    </row>
    <row r="749" spans="1:14" x14ac:dyDescent="0.2">
      <c r="A749">
        <v>748</v>
      </c>
      <c r="B749">
        <f>LARGE(data!F:F,A749)</f>
        <v>0.35039320740000002</v>
      </c>
      <c r="C749">
        <f>COUNTIFS(data!D:D,data!$I$2,data!F:F,"&gt;="&amp;B749)</f>
        <v>426</v>
      </c>
      <c r="D749">
        <f>COUNTIFS(data!D:D,data!$J$2,data!F:F,"&gt;="&amp;B749)</f>
        <v>322</v>
      </c>
      <c r="E749">
        <f>COUNTIFS(data!D:D,data!$J$2,data!F:F,"&lt;"&amp;B749)</f>
        <v>401</v>
      </c>
      <c r="F749">
        <f>COUNTIFS(data!D:D,data!$I$2,data!F:F,"&lt;"&amp;B749)</f>
        <v>108</v>
      </c>
      <c r="G749">
        <f t="shared" si="66"/>
        <v>0.44536652835408025</v>
      </c>
      <c r="H749">
        <f t="shared" si="67"/>
        <v>0.797752808988764</v>
      </c>
      <c r="I749">
        <f t="shared" si="71"/>
        <v>1.1033925435529643E-3</v>
      </c>
      <c r="J749">
        <f t="shared" si="68"/>
        <v>0.56951871657754005</v>
      </c>
      <c r="K749">
        <f t="shared" si="69"/>
        <v>0.66458658346333854</v>
      </c>
      <c r="L749">
        <f>A749*COUNTIF(data!D:D,data!$I$2)/data!$L$2</f>
        <v>317.76610978520284</v>
      </c>
      <c r="M749" s="1">
        <f>A749/data!$L$2</f>
        <v>0.59506762132060464</v>
      </c>
      <c r="N749">
        <f t="shared" si="70"/>
        <v>1.3406086643033108</v>
      </c>
    </row>
    <row r="750" spans="1:14" x14ac:dyDescent="0.2">
      <c r="A750">
        <v>749</v>
      </c>
      <c r="B750">
        <f>LARGE(data!F:F,A750)</f>
        <v>0.35013204060000003</v>
      </c>
      <c r="C750">
        <f>COUNTIFS(data!D:D,data!$I$2,data!F:F,"&gt;="&amp;B750)</f>
        <v>428</v>
      </c>
      <c r="D750">
        <f>COUNTIFS(data!D:D,data!$J$2,data!F:F,"&gt;="&amp;B750)</f>
        <v>322</v>
      </c>
      <c r="E750">
        <f>COUNTIFS(data!D:D,data!$J$2,data!F:F,"&lt;"&amp;B750)</f>
        <v>401</v>
      </c>
      <c r="F750">
        <f>COUNTIFS(data!D:D,data!$I$2,data!F:F,"&lt;"&amp;B750)</f>
        <v>106</v>
      </c>
      <c r="G750">
        <f t="shared" si="66"/>
        <v>0.44536652835408025</v>
      </c>
      <c r="H750">
        <f t="shared" si="67"/>
        <v>0.80149812734082393</v>
      </c>
      <c r="I750">
        <f t="shared" si="71"/>
        <v>0</v>
      </c>
      <c r="J750">
        <f t="shared" si="68"/>
        <v>0.57066666666666666</v>
      </c>
      <c r="K750">
        <f t="shared" si="69"/>
        <v>0.66666666666666663</v>
      </c>
      <c r="L750">
        <f>A750*COUNTIF(data!D:D,data!$I$2)/data!$L$2</f>
        <v>318.19093078758948</v>
      </c>
      <c r="M750" s="1">
        <f>A750/data!$L$2</f>
        <v>0.59586316626889424</v>
      </c>
      <c r="N750">
        <f t="shared" si="70"/>
        <v>1.3451043338683788</v>
      </c>
    </row>
    <row r="751" spans="1:14" x14ac:dyDescent="0.2">
      <c r="A751">
        <v>750</v>
      </c>
      <c r="B751">
        <f>LARGE(data!F:F,A751)</f>
        <v>0.35013204060000003</v>
      </c>
      <c r="C751">
        <f>COUNTIFS(data!D:D,data!$I$2,data!F:F,"&gt;="&amp;B751)</f>
        <v>428</v>
      </c>
      <c r="D751">
        <f>COUNTIFS(data!D:D,data!$J$2,data!F:F,"&gt;="&amp;B751)</f>
        <v>322</v>
      </c>
      <c r="E751">
        <f>COUNTIFS(data!D:D,data!$J$2,data!F:F,"&lt;"&amp;B751)</f>
        <v>401</v>
      </c>
      <c r="F751">
        <f>COUNTIFS(data!D:D,data!$I$2,data!F:F,"&lt;"&amp;B751)</f>
        <v>106</v>
      </c>
      <c r="G751">
        <f t="shared" si="66"/>
        <v>0.44536652835408025</v>
      </c>
      <c r="H751">
        <f t="shared" si="67"/>
        <v>0.80149812734082393</v>
      </c>
      <c r="I751">
        <f t="shared" si="71"/>
        <v>0</v>
      </c>
      <c r="J751">
        <f t="shared" si="68"/>
        <v>0.57066666666666666</v>
      </c>
      <c r="K751">
        <f t="shared" si="69"/>
        <v>0.66666666666666663</v>
      </c>
      <c r="L751">
        <f>A751*COUNTIF(data!D:D,data!$I$2)/data!$L$2</f>
        <v>318.61575178997612</v>
      </c>
      <c r="M751" s="1">
        <f>A751/data!$L$2</f>
        <v>0.59665871121718372</v>
      </c>
      <c r="N751">
        <f>C751/L751</f>
        <v>1.343310861423221</v>
      </c>
    </row>
    <row r="752" spans="1:14" x14ac:dyDescent="0.2">
      <c r="A752">
        <v>751</v>
      </c>
      <c r="B752">
        <f>LARGE(data!F:F,A752)</f>
        <v>0.34982926320000002</v>
      </c>
      <c r="C752">
        <f>COUNTIFS(data!D:D,data!$I$2,data!F:F,"&gt;="&amp;B752)</f>
        <v>428</v>
      </c>
      <c r="D752">
        <f>COUNTIFS(data!D:D,data!$J$2,data!F:F,"&gt;="&amp;B752)</f>
        <v>323</v>
      </c>
      <c r="E752">
        <f>COUNTIFS(data!D:D,data!$J$2,data!F:F,"&lt;"&amp;B752)</f>
        <v>400</v>
      </c>
      <c r="F752">
        <f>COUNTIFS(data!D:D,data!$I$2,data!F:F,"&lt;"&amp;B752)</f>
        <v>106</v>
      </c>
      <c r="G752">
        <f t="shared" ref="G752:G754" si="72">D752/(E752+D752)</f>
        <v>0.44674965421853391</v>
      </c>
      <c r="H752">
        <f t="shared" ref="H752:H754" si="73">C752/(C752+F752)</f>
        <v>0.80149812734082393</v>
      </c>
      <c r="I752">
        <f t="shared" ref="I752:I754" si="74">(G752-G751)*(H752+H751)*0.5</f>
        <v>1.108572790236267E-3</v>
      </c>
      <c r="J752">
        <f t="shared" ref="J752:J754" si="75">C752/(C752+D752)</f>
        <v>0.56990679094540608</v>
      </c>
      <c r="K752">
        <f t="shared" ref="K752:K754" si="76">2*J752*H752/(J752+H752)</f>
        <v>0.66614785992217895</v>
      </c>
      <c r="L752">
        <f>A752*COUNTIF(data!D:D,data!$I$2)/data!$L$2</f>
        <v>319.04057279236275</v>
      </c>
      <c r="M752" s="1">
        <f>A752/data!$L$2</f>
        <v>0.59745425616547332</v>
      </c>
      <c r="N752">
        <f t="shared" ref="N752:N754" si="77">C752/L752</f>
        <v>1.3415221652029505</v>
      </c>
    </row>
    <row r="753" spans="1:14" x14ac:dyDescent="0.2">
      <c r="A753">
        <v>752</v>
      </c>
      <c r="B753">
        <f>LARGE(data!F:F,A753)</f>
        <v>0.34801468140000003</v>
      </c>
      <c r="C753">
        <f>COUNTIFS(data!D:D,data!$I$2,data!F:F,"&gt;="&amp;B753)</f>
        <v>428</v>
      </c>
      <c r="D753">
        <f>COUNTIFS(data!D:D,data!$J$2,data!F:F,"&gt;="&amp;B753)</f>
        <v>324</v>
      </c>
      <c r="E753">
        <f>COUNTIFS(data!D:D,data!$J$2,data!F:F,"&lt;"&amp;B753)</f>
        <v>399</v>
      </c>
      <c r="F753">
        <f>COUNTIFS(data!D:D,data!$I$2,data!F:F,"&lt;"&amp;B753)</f>
        <v>106</v>
      </c>
      <c r="G753">
        <f t="shared" si="72"/>
        <v>0.44813278008298757</v>
      </c>
      <c r="H753">
        <f t="shared" si="73"/>
        <v>0.80149812734082393</v>
      </c>
      <c r="I753">
        <f t="shared" si="74"/>
        <v>1.108572790236267E-3</v>
      </c>
      <c r="J753">
        <f t="shared" si="75"/>
        <v>0.56914893617021278</v>
      </c>
      <c r="K753">
        <f t="shared" si="76"/>
        <v>0.66562986003110414</v>
      </c>
      <c r="L753">
        <f>A753*COUNTIF(data!D:D,data!$I$2)/data!$L$2</f>
        <v>319.46539379474939</v>
      </c>
      <c r="M753" s="1">
        <f>A753/data!$L$2</f>
        <v>0.59824980111376291</v>
      </c>
      <c r="N753">
        <f t="shared" si="77"/>
        <v>1.3397382261534785</v>
      </c>
    </row>
    <row r="754" spans="1:14" x14ac:dyDescent="0.2">
      <c r="A754">
        <v>753</v>
      </c>
      <c r="B754">
        <f>LARGE(data!F:F,A754)</f>
        <v>0.3476504165</v>
      </c>
      <c r="C754">
        <f>COUNTIFS(data!D:D,data!$I$2,data!F:F,"&gt;="&amp;B754)</f>
        <v>428</v>
      </c>
      <c r="D754">
        <f>COUNTIFS(data!D:D,data!$J$2,data!F:F,"&gt;="&amp;B754)</f>
        <v>325</v>
      </c>
      <c r="E754">
        <f>COUNTIFS(data!D:D,data!$J$2,data!F:F,"&lt;"&amp;B754)</f>
        <v>398</v>
      </c>
      <c r="F754">
        <f>COUNTIFS(data!D:D,data!$I$2,data!F:F,"&lt;"&amp;B754)</f>
        <v>106</v>
      </c>
      <c r="G754">
        <f t="shared" si="72"/>
        <v>0.44951590594744123</v>
      </c>
      <c r="H754">
        <f t="shared" si="73"/>
        <v>0.80149812734082393</v>
      </c>
      <c r="I754">
        <f t="shared" si="74"/>
        <v>1.108572790236267E-3</v>
      </c>
      <c r="J754">
        <f t="shared" si="75"/>
        <v>0.56839309428950868</v>
      </c>
      <c r="K754">
        <f t="shared" si="76"/>
        <v>0.66511266511266509</v>
      </c>
      <c r="L754">
        <f>A754*COUNTIF(data!D:D,data!$I$2)/data!$L$2</f>
        <v>319.89021479713603</v>
      </c>
      <c r="M754" s="1">
        <f>A754/data!$L$2</f>
        <v>0.59904534606205251</v>
      </c>
      <c r="N754">
        <f t="shared" si="77"/>
        <v>1.3379590253219333</v>
      </c>
    </row>
    <row r="755" spans="1:14" x14ac:dyDescent="0.2">
      <c r="A755">
        <v>754</v>
      </c>
      <c r="B755">
        <f>LARGE(data!F:F,A755)</f>
        <v>0.34666751559999998</v>
      </c>
      <c r="C755">
        <f>COUNTIFS(data!D:D,data!$I$2,data!F:F,"&gt;="&amp;B755)</f>
        <v>428</v>
      </c>
      <c r="D755">
        <f>COUNTIFS(data!D:D,data!$J$2,data!F:F,"&gt;="&amp;B755)</f>
        <v>326</v>
      </c>
      <c r="E755">
        <f>COUNTIFS(data!D:D,data!$J$2,data!F:F,"&lt;"&amp;B755)</f>
        <v>397</v>
      </c>
      <c r="F755">
        <f>COUNTIFS(data!D:D,data!$I$2,data!F:F,"&lt;"&amp;B755)</f>
        <v>106</v>
      </c>
      <c r="G755">
        <f t="shared" ref="G755:G761" si="78">D755/(E755+D755)</f>
        <v>0.45089903181189489</v>
      </c>
      <c r="H755">
        <f t="shared" ref="H755:H761" si="79">C755/(C755+F755)</f>
        <v>0.80149812734082393</v>
      </c>
      <c r="I755">
        <f t="shared" ref="I755:I761" si="80">(G755-G754)*(H755+H754)*0.5</f>
        <v>1.108572790236267E-3</v>
      </c>
      <c r="J755">
        <f t="shared" ref="J755:J761" si="81">C755/(C755+D755)</f>
        <v>0.56763925729442966</v>
      </c>
      <c r="K755">
        <f t="shared" ref="K755:K761" si="82">2*J755*H755/(J755+H755)</f>
        <v>0.66459627329192539</v>
      </c>
      <c r="L755">
        <f>A755*COUNTIF(data!D:D,data!$I$2)/data!$L$2</f>
        <v>320.31503579952266</v>
      </c>
      <c r="M755" s="1">
        <f>A755/data!$L$2</f>
        <v>0.5998408910103421</v>
      </c>
      <c r="N755">
        <f t="shared" ref="N755:N761" si="83">C755/L755</f>
        <v>1.3361845438559892</v>
      </c>
    </row>
    <row r="756" spans="1:14" x14ac:dyDescent="0.2">
      <c r="A756">
        <v>755</v>
      </c>
      <c r="B756">
        <f>LARGE(data!F:F,A756)</f>
        <v>0.34584839760000002</v>
      </c>
      <c r="C756">
        <f>COUNTIFS(data!D:D,data!$I$2,data!F:F,"&gt;="&amp;B756)</f>
        <v>428</v>
      </c>
      <c r="D756">
        <f>COUNTIFS(data!D:D,data!$J$2,data!F:F,"&gt;="&amp;B756)</f>
        <v>327</v>
      </c>
      <c r="E756">
        <f>COUNTIFS(data!D:D,data!$J$2,data!F:F,"&lt;"&amp;B756)</f>
        <v>396</v>
      </c>
      <c r="F756">
        <f>COUNTIFS(data!D:D,data!$I$2,data!F:F,"&lt;"&amp;B756)</f>
        <v>106</v>
      </c>
      <c r="G756">
        <f t="shared" si="78"/>
        <v>0.45228215767634855</v>
      </c>
      <c r="H756">
        <f t="shared" si="79"/>
        <v>0.80149812734082393</v>
      </c>
      <c r="I756">
        <f t="shared" si="80"/>
        <v>1.108572790236267E-3</v>
      </c>
      <c r="J756">
        <f t="shared" si="81"/>
        <v>0.56688741721854308</v>
      </c>
      <c r="K756">
        <f t="shared" si="82"/>
        <v>0.66408068269976739</v>
      </c>
      <c r="L756">
        <f>A756*COUNTIF(data!D:D,data!$I$2)/data!$L$2</f>
        <v>320.7398568019093</v>
      </c>
      <c r="M756" s="1">
        <f>A756/data!$L$2</f>
        <v>0.6006364359586317</v>
      </c>
      <c r="N756">
        <f t="shared" si="83"/>
        <v>1.3344147630031997</v>
      </c>
    </row>
    <row r="757" spans="1:14" x14ac:dyDescent="0.2">
      <c r="A757">
        <v>756</v>
      </c>
      <c r="B757">
        <f>LARGE(data!F:F,A757)</f>
        <v>0.34465062839999999</v>
      </c>
      <c r="C757">
        <f>COUNTIFS(data!D:D,data!$I$2,data!F:F,"&gt;="&amp;B757)</f>
        <v>428</v>
      </c>
      <c r="D757">
        <f>COUNTIFS(data!D:D,data!$J$2,data!F:F,"&gt;="&amp;B757)</f>
        <v>328</v>
      </c>
      <c r="E757">
        <f>COUNTIFS(data!D:D,data!$J$2,data!F:F,"&lt;"&amp;B757)</f>
        <v>395</v>
      </c>
      <c r="F757">
        <f>COUNTIFS(data!D:D,data!$I$2,data!F:F,"&lt;"&amp;B757)</f>
        <v>106</v>
      </c>
      <c r="G757">
        <f t="shared" si="78"/>
        <v>0.45366528354080221</v>
      </c>
      <c r="H757">
        <f t="shared" si="79"/>
        <v>0.80149812734082393</v>
      </c>
      <c r="I757">
        <f t="shared" si="80"/>
        <v>1.108572790236267E-3</v>
      </c>
      <c r="J757">
        <f t="shared" si="81"/>
        <v>0.56613756613756616</v>
      </c>
      <c r="K757">
        <f t="shared" si="82"/>
        <v>0.66356589147286815</v>
      </c>
      <c r="L757">
        <f>A757*COUNTIF(data!D:D,data!$I$2)/data!$L$2</f>
        <v>321.16467780429593</v>
      </c>
      <c r="M757" s="1">
        <f>A757/data!$L$2</f>
        <v>0.60143198090692129</v>
      </c>
      <c r="N757">
        <f t="shared" si="83"/>
        <v>1.3326496641103383</v>
      </c>
    </row>
    <row r="758" spans="1:14" x14ac:dyDescent="0.2">
      <c r="A758">
        <v>757</v>
      </c>
      <c r="B758">
        <f>LARGE(data!F:F,A758)</f>
        <v>0.34418287289999999</v>
      </c>
      <c r="C758">
        <f>COUNTIFS(data!D:D,data!$I$2,data!F:F,"&gt;="&amp;B758)</f>
        <v>429</v>
      </c>
      <c r="D758">
        <f>COUNTIFS(data!D:D,data!$J$2,data!F:F,"&gt;="&amp;B758)</f>
        <v>328</v>
      </c>
      <c r="E758">
        <f>COUNTIFS(data!D:D,data!$J$2,data!F:F,"&lt;"&amp;B758)</f>
        <v>395</v>
      </c>
      <c r="F758">
        <f>COUNTIFS(data!D:D,data!$I$2,data!F:F,"&lt;"&amp;B758)</f>
        <v>105</v>
      </c>
      <c r="G758">
        <f t="shared" si="78"/>
        <v>0.45366528354080221</v>
      </c>
      <c r="H758">
        <f t="shared" si="79"/>
        <v>0.8033707865168539</v>
      </c>
      <c r="I758">
        <f t="shared" si="80"/>
        <v>0</v>
      </c>
      <c r="J758">
        <f t="shared" si="81"/>
        <v>0.56671070013210034</v>
      </c>
      <c r="K758">
        <f t="shared" si="82"/>
        <v>0.66460108443067378</v>
      </c>
      <c r="L758">
        <f>A758*COUNTIF(data!D:D,data!$I$2)/data!$L$2</f>
        <v>321.58949880668257</v>
      </c>
      <c r="M758" s="1">
        <f>A758/data!$L$2</f>
        <v>0.60222752585521078</v>
      </c>
      <c r="N758">
        <f t="shared" si="83"/>
        <v>1.3339987828952251</v>
      </c>
    </row>
    <row r="759" spans="1:14" x14ac:dyDescent="0.2">
      <c r="A759">
        <v>758</v>
      </c>
      <c r="B759">
        <f>LARGE(data!F:F,A759)</f>
        <v>0.34224289050000001</v>
      </c>
      <c r="C759">
        <f>COUNTIFS(data!D:D,data!$I$2,data!F:F,"&gt;="&amp;B759)</f>
        <v>429</v>
      </c>
      <c r="D759">
        <f>COUNTIFS(data!D:D,data!$J$2,data!F:F,"&gt;="&amp;B759)</f>
        <v>329</v>
      </c>
      <c r="E759">
        <f>COUNTIFS(data!D:D,data!$J$2,data!F:F,"&lt;"&amp;B759)</f>
        <v>394</v>
      </c>
      <c r="F759">
        <f>COUNTIFS(data!D:D,data!$I$2,data!F:F,"&lt;"&amp;B759)</f>
        <v>105</v>
      </c>
      <c r="G759">
        <f t="shared" si="78"/>
        <v>0.45504840940525587</v>
      </c>
      <c r="H759">
        <f t="shared" si="79"/>
        <v>0.8033707865168539</v>
      </c>
      <c r="I759">
        <f t="shared" si="80"/>
        <v>1.1111629135779407E-3</v>
      </c>
      <c r="J759">
        <f t="shared" si="81"/>
        <v>0.56596306068601587</v>
      </c>
      <c r="K759">
        <f t="shared" si="82"/>
        <v>0.66408668730650156</v>
      </c>
      <c r="L759">
        <f>A759*COUNTIF(data!D:D,data!$I$2)/data!$L$2</f>
        <v>322.01431980906921</v>
      </c>
      <c r="M759" s="1">
        <f>A759/data!$L$2</f>
        <v>0.60302307080350037</v>
      </c>
      <c r="N759">
        <f t="shared" si="83"/>
        <v>1.3322388900418014</v>
      </c>
    </row>
    <row r="760" spans="1:14" x14ac:dyDescent="0.2">
      <c r="A760">
        <v>759</v>
      </c>
      <c r="B760">
        <f>LARGE(data!F:F,A760)</f>
        <v>0.34149189159999999</v>
      </c>
      <c r="C760">
        <f>COUNTIFS(data!D:D,data!$I$2,data!F:F,"&gt;="&amp;B760)</f>
        <v>429</v>
      </c>
      <c r="D760">
        <f>COUNTIFS(data!D:D,data!$J$2,data!F:F,"&gt;="&amp;B760)</f>
        <v>330</v>
      </c>
      <c r="E760">
        <f>COUNTIFS(data!D:D,data!$J$2,data!F:F,"&lt;"&amp;B760)</f>
        <v>393</v>
      </c>
      <c r="F760">
        <f>COUNTIFS(data!D:D,data!$I$2,data!F:F,"&lt;"&amp;B760)</f>
        <v>105</v>
      </c>
      <c r="G760">
        <f t="shared" si="78"/>
        <v>0.45643153526970953</v>
      </c>
      <c r="H760">
        <f t="shared" si="79"/>
        <v>0.8033707865168539</v>
      </c>
      <c r="I760">
        <f t="shared" si="80"/>
        <v>1.1111629135779407E-3</v>
      </c>
      <c r="J760">
        <f t="shared" si="81"/>
        <v>0.56521739130434778</v>
      </c>
      <c r="K760">
        <f t="shared" si="82"/>
        <v>0.66357308584686769</v>
      </c>
      <c r="L760">
        <f>A760*COUNTIF(data!D:D,data!$I$2)/data!$L$2</f>
        <v>322.43914081145584</v>
      </c>
      <c r="M760" s="1">
        <f>A760/data!$L$2</f>
        <v>0.60381861575178997</v>
      </c>
      <c r="N760">
        <f t="shared" si="83"/>
        <v>1.3304836345872009</v>
      </c>
    </row>
    <row r="761" spans="1:14" x14ac:dyDescent="0.2">
      <c r="A761">
        <v>760</v>
      </c>
      <c r="B761">
        <f>LARGE(data!F:F,A761)</f>
        <v>0.34044018729999997</v>
      </c>
      <c r="C761">
        <f>COUNTIFS(data!D:D,data!$I$2,data!F:F,"&gt;="&amp;B761)</f>
        <v>429</v>
      </c>
      <c r="D761">
        <f>COUNTIFS(data!D:D,data!$J$2,data!F:F,"&gt;="&amp;B761)</f>
        <v>331</v>
      </c>
      <c r="E761">
        <f>COUNTIFS(data!D:D,data!$J$2,data!F:F,"&lt;"&amp;B761)</f>
        <v>392</v>
      </c>
      <c r="F761">
        <f>COUNTIFS(data!D:D,data!$I$2,data!F:F,"&lt;"&amp;B761)</f>
        <v>105</v>
      </c>
      <c r="G761">
        <f t="shared" si="78"/>
        <v>0.45781466113416319</v>
      </c>
      <c r="H761">
        <f t="shared" si="79"/>
        <v>0.8033707865168539</v>
      </c>
      <c r="I761">
        <f t="shared" si="80"/>
        <v>1.1111629135779407E-3</v>
      </c>
      <c r="J761">
        <f t="shared" si="81"/>
        <v>0.56447368421052635</v>
      </c>
      <c r="K761">
        <f t="shared" si="82"/>
        <v>0.66306027820710978</v>
      </c>
      <c r="L761">
        <f>A761*COUNTIF(data!D:D,data!$I$2)/data!$L$2</f>
        <v>322.86396181384248</v>
      </c>
      <c r="M761" s="1">
        <f>A761/data!$L$2</f>
        <v>0.60461416070007956</v>
      </c>
      <c r="N761">
        <f t="shared" si="83"/>
        <v>1.3287329982259017</v>
      </c>
    </row>
    <row r="762" spans="1:14" x14ac:dyDescent="0.2">
      <c r="A762">
        <v>761</v>
      </c>
      <c r="B762">
        <f>LARGE(data!F:F,A762)</f>
        <v>0.34031810779999999</v>
      </c>
      <c r="C762">
        <f>COUNTIFS(data!D:D,data!$I$2,data!F:F,"&gt;="&amp;B762)</f>
        <v>429</v>
      </c>
      <c r="D762">
        <f>COUNTIFS(data!D:D,data!$J$2,data!F:F,"&gt;="&amp;B762)</f>
        <v>332</v>
      </c>
      <c r="E762">
        <f>COUNTIFS(data!D:D,data!$J$2,data!F:F,"&lt;"&amp;B762)</f>
        <v>391</v>
      </c>
      <c r="F762">
        <f>COUNTIFS(data!D:D,data!$I$2,data!F:F,"&lt;"&amp;B762)</f>
        <v>105</v>
      </c>
      <c r="G762">
        <f t="shared" ref="G762:G794" si="84">D762/(E762+D762)</f>
        <v>0.45919778699861685</v>
      </c>
      <c r="H762">
        <f t="shared" ref="H762:H794" si="85">C762/(C762+F762)</f>
        <v>0.8033707865168539</v>
      </c>
      <c r="I762">
        <f t="shared" ref="I762:I794" si="86">(G762-G761)*(H762+H761)*0.5</f>
        <v>1.1111629135779407E-3</v>
      </c>
      <c r="J762">
        <f t="shared" ref="J762:J794" si="87">C762/(C762+D762)</f>
        <v>0.56373193166885682</v>
      </c>
      <c r="K762">
        <f t="shared" ref="K762:K794" si="88">2*J762*H762/(J762+H762)</f>
        <v>0.6625482625482626</v>
      </c>
      <c r="L762">
        <f>A762*COUNTIF(data!D:D,data!$I$2)/data!$L$2</f>
        <v>323.28878281622912</v>
      </c>
      <c r="M762" s="1">
        <f>A762/data!$L$2</f>
        <v>0.60540970564836916</v>
      </c>
      <c r="N762">
        <f t="shared" ref="N762:N794" si="89">C762/L762</f>
        <v>1.3269869627486011</v>
      </c>
    </row>
    <row r="763" spans="1:14" x14ac:dyDescent="0.2">
      <c r="A763">
        <v>762</v>
      </c>
      <c r="B763">
        <f>LARGE(data!F:F,A763)</f>
        <v>0.34008307830000001</v>
      </c>
      <c r="C763">
        <f>COUNTIFS(data!D:D,data!$I$2,data!F:F,"&gt;="&amp;B763)</f>
        <v>429</v>
      </c>
      <c r="D763">
        <f>COUNTIFS(data!D:D,data!$J$2,data!F:F,"&gt;="&amp;B763)</f>
        <v>333</v>
      </c>
      <c r="E763">
        <f>COUNTIFS(data!D:D,data!$J$2,data!F:F,"&lt;"&amp;B763)</f>
        <v>390</v>
      </c>
      <c r="F763">
        <f>COUNTIFS(data!D:D,data!$I$2,data!F:F,"&lt;"&amp;B763)</f>
        <v>105</v>
      </c>
      <c r="G763">
        <f t="shared" si="84"/>
        <v>0.46058091286307051</v>
      </c>
      <c r="H763">
        <f t="shared" si="85"/>
        <v>0.8033707865168539</v>
      </c>
      <c r="I763">
        <f t="shared" si="86"/>
        <v>1.1111629135779407E-3</v>
      </c>
      <c r="J763">
        <f t="shared" si="87"/>
        <v>0.56299212598425197</v>
      </c>
      <c r="K763">
        <f t="shared" si="88"/>
        <v>0.66203703703703709</v>
      </c>
      <c r="L763">
        <f>A763*COUNTIF(data!D:D,data!$I$2)/data!$L$2</f>
        <v>323.71360381861575</v>
      </c>
      <c r="M763" s="1">
        <f>A763/data!$L$2</f>
        <v>0.60620525059665875</v>
      </c>
      <c r="N763">
        <f t="shared" si="89"/>
        <v>1.3252455100415819</v>
      </c>
    </row>
    <row r="764" spans="1:14" x14ac:dyDescent="0.2">
      <c r="A764">
        <v>763</v>
      </c>
      <c r="B764">
        <f>LARGE(data!F:F,A764)</f>
        <v>0.34002844049999997</v>
      </c>
      <c r="C764">
        <f>COUNTIFS(data!D:D,data!$I$2,data!F:F,"&gt;="&amp;B764)</f>
        <v>429</v>
      </c>
      <c r="D764">
        <f>COUNTIFS(data!D:D,data!$J$2,data!F:F,"&gt;="&amp;B764)</f>
        <v>334</v>
      </c>
      <c r="E764">
        <f>COUNTIFS(data!D:D,data!$J$2,data!F:F,"&lt;"&amp;B764)</f>
        <v>389</v>
      </c>
      <c r="F764">
        <f>COUNTIFS(data!D:D,data!$I$2,data!F:F,"&lt;"&amp;B764)</f>
        <v>105</v>
      </c>
      <c r="G764">
        <f t="shared" si="84"/>
        <v>0.46196403872752423</v>
      </c>
      <c r="H764">
        <f t="shared" si="85"/>
        <v>0.8033707865168539</v>
      </c>
      <c r="I764">
        <f t="shared" si="86"/>
        <v>1.1111629135779851E-3</v>
      </c>
      <c r="J764">
        <f t="shared" si="87"/>
        <v>0.56225425950196595</v>
      </c>
      <c r="K764">
        <f t="shared" si="88"/>
        <v>0.66152659984579798</v>
      </c>
      <c r="L764">
        <f>A764*COUNTIF(data!D:D,data!$I$2)/data!$L$2</f>
        <v>324.13842482100239</v>
      </c>
      <c r="M764" s="1">
        <f>A764/data!$L$2</f>
        <v>0.60700079554494824</v>
      </c>
      <c r="N764">
        <f t="shared" si="89"/>
        <v>1.3235086220860883</v>
      </c>
    </row>
    <row r="765" spans="1:14" x14ac:dyDescent="0.2">
      <c r="A765">
        <v>764</v>
      </c>
      <c r="B765">
        <f>LARGE(data!F:F,A765)</f>
        <v>0.3399441359</v>
      </c>
      <c r="C765">
        <f>COUNTIFS(data!D:D,data!$I$2,data!F:F,"&gt;="&amp;B765)</f>
        <v>429</v>
      </c>
      <c r="D765">
        <f>COUNTIFS(data!D:D,data!$J$2,data!F:F,"&gt;="&amp;B765)</f>
        <v>335</v>
      </c>
      <c r="E765">
        <f>COUNTIFS(data!D:D,data!$J$2,data!F:F,"&lt;"&amp;B765)</f>
        <v>388</v>
      </c>
      <c r="F765">
        <f>COUNTIFS(data!D:D,data!$I$2,data!F:F,"&lt;"&amp;B765)</f>
        <v>105</v>
      </c>
      <c r="G765">
        <f t="shared" si="84"/>
        <v>0.46334716459197789</v>
      </c>
      <c r="H765">
        <f t="shared" si="85"/>
        <v>0.8033707865168539</v>
      </c>
      <c r="I765">
        <f t="shared" si="86"/>
        <v>1.1111629135779407E-3</v>
      </c>
      <c r="J765">
        <f t="shared" si="87"/>
        <v>0.56151832460732987</v>
      </c>
      <c r="K765">
        <f t="shared" si="88"/>
        <v>0.66101694915254228</v>
      </c>
      <c r="L765">
        <f>A765*COUNTIF(data!D:D,data!$I$2)/data!$L$2</f>
        <v>324.56324582338902</v>
      </c>
      <c r="M765" s="1">
        <f>A765/data!$L$2</f>
        <v>0.60779634049323783</v>
      </c>
      <c r="N765">
        <f t="shared" si="89"/>
        <v>1.3217762809577034</v>
      </c>
    </row>
    <row r="766" spans="1:14" x14ac:dyDescent="0.2">
      <c r="A766">
        <v>765</v>
      </c>
      <c r="B766">
        <f>LARGE(data!F:F,A766)</f>
        <v>0.33942953799999998</v>
      </c>
      <c r="C766">
        <f>COUNTIFS(data!D:D,data!$I$2,data!F:F,"&gt;="&amp;B766)</f>
        <v>429</v>
      </c>
      <c r="D766">
        <f>COUNTIFS(data!D:D,data!$J$2,data!F:F,"&gt;="&amp;B766)</f>
        <v>336</v>
      </c>
      <c r="E766">
        <f>COUNTIFS(data!D:D,data!$J$2,data!F:F,"&lt;"&amp;B766)</f>
        <v>387</v>
      </c>
      <c r="F766">
        <f>COUNTIFS(data!D:D,data!$I$2,data!F:F,"&lt;"&amp;B766)</f>
        <v>105</v>
      </c>
      <c r="G766">
        <f t="shared" si="84"/>
        <v>0.46473029045643155</v>
      </c>
      <c r="H766">
        <f t="shared" si="85"/>
        <v>0.8033707865168539</v>
      </c>
      <c r="I766">
        <f t="shared" si="86"/>
        <v>1.1111629135779407E-3</v>
      </c>
      <c r="J766">
        <f t="shared" si="87"/>
        <v>0.5607843137254902</v>
      </c>
      <c r="K766">
        <f t="shared" si="88"/>
        <v>0.66050808314087761</v>
      </c>
      <c r="L766">
        <f>A766*COUNTIF(data!D:D,data!$I$2)/data!$L$2</f>
        <v>324.98806682577566</v>
      </c>
      <c r="M766" s="1">
        <f>A766/data!$L$2</f>
        <v>0.60859188544152742</v>
      </c>
      <c r="N766">
        <f t="shared" si="89"/>
        <v>1.3200484688257326</v>
      </c>
    </row>
    <row r="767" spans="1:14" x14ac:dyDescent="0.2">
      <c r="A767">
        <v>766</v>
      </c>
      <c r="B767">
        <f>LARGE(data!F:F,A767)</f>
        <v>0.33872731750000001</v>
      </c>
      <c r="C767">
        <f>COUNTIFS(data!D:D,data!$I$2,data!F:F,"&gt;="&amp;B767)</f>
        <v>430</v>
      </c>
      <c r="D767">
        <f>COUNTIFS(data!D:D,data!$J$2,data!F:F,"&gt;="&amp;B767)</f>
        <v>336</v>
      </c>
      <c r="E767">
        <f>COUNTIFS(data!D:D,data!$J$2,data!F:F,"&lt;"&amp;B767)</f>
        <v>387</v>
      </c>
      <c r="F767">
        <f>COUNTIFS(data!D:D,data!$I$2,data!F:F,"&lt;"&amp;B767)</f>
        <v>104</v>
      </c>
      <c r="G767">
        <f t="shared" si="84"/>
        <v>0.46473029045643155</v>
      </c>
      <c r="H767">
        <f t="shared" si="85"/>
        <v>0.80524344569288386</v>
      </c>
      <c r="I767">
        <f t="shared" si="86"/>
        <v>0</v>
      </c>
      <c r="J767">
        <f t="shared" si="87"/>
        <v>0.56135770234986948</v>
      </c>
      <c r="K767">
        <f t="shared" si="88"/>
        <v>0.66153846153846152</v>
      </c>
      <c r="L767">
        <f>A767*COUNTIF(data!D:D,data!$I$2)/data!$L$2</f>
        <v>325.4128878281623</v>
      </c>
      <c r="M767" s="1">
        <f>A767/data!$L$2</f>
        <v>0.60938743038981702</v>
      </c>
      <c r="N767">
        <f t="shared" si="89"/>
        <v>1.3213981869921083</v>
      </c>
    </row>
    <row r="768" spans="1:14" x14ac:dyDescent="0.2">
      <c r="A768">
        <v>767</v>
      </c>
      <c r="B768">
        <f>LARGE(data!F:F,A768)</f>
        <v>0.33844754649999997</v>
      </c>
      <c r="C768">
        <f>COUNTIFS(data!D:D,data!$I$2,data!F:F,"&gt;="&amp;B768)</f>
        <v>431</v>
      </c>
      <c r="D768">
        <f>COUNTIFS(data!D:D,data!$J$2,data!F:F,"&gt;="&amp;B768)</f>
        <v>336</v>
      </c>
      <c r="E768">
        <f>COUNTIFS(data!D:D,data!$J$2,data!F:F,"&lt;"&amp;B768)</f>
        <v>387</v>
      </c>
      <c r="F768">
        <f>COUNTIFS(data!D:D,data!$I$2,data!F:F,"&lt;"&amp;B768)</f>
        <v>103</v>
      </c>
      <c r="G768">
        <f t="shared" si="84"/>
        <v>0.46473029045643155</v>
      </c>
      <c r="H768">
        <f t="shared" si="85"/>
        <v>0.80711610486891383</v>
      </c>
      <c r="I768">
        <f t="shared" si="86"/>
        <v>0</v>
      </c>
      <c r="J768">
        <f t="shared" si="87"/>
        <v>0.56192959582790092</v>
      </c>
      <c r="K768">
        <f t="shared" si="88"/>
        <v>0.66256725595695631</v>
      </c>
      <c r="L768">
        <f>A768*COUNTIF(data!D:D,data!$I$2)/data!$L$2</f>
        <v>325.83770883054893</v>
      </c>
      <c r="M768" s="1">
        <f>A768/data!$L$2</f>
        <v>0.61018297533810661</v>
      </c>
      <c r="N768">
        <f t="shared" si="89"/>
        <v>1.322744385684778</v>
      </c>
    </row>
    <row r="769" spans="1:14" x14ac:dyDescent="0.2">
      <c r="A769">
        <v>768</v>
      </c>
      <c r="B769">
        <f>LARGE(data!F:F,A769)</f>
        <v>0.33842059219999998</v>
      </c>
      <c r="C769">
        <f>COUNTIFS(data!D:D,data!$I$2,data!F:F,"&gt;="&amp;B769)</f>
        <v>432</v>
      </c>
      <c r="D769">
        <f>COUNTIFS(data!D:D,data!$J$2,data!F:F,"&gt;="&amp;B769)</f>
        <v>336</v>
      </c>
      <c r="E769">
        <f>COUNTIFS(data!D:D,data!$J$2,data!F:F,"&lt;"&amp;B769)</f>
        <v>387</v>
      </c>
      <c r="F769">
        <f>COUNTIFS(data!D:D,data!$I$2,data!F:F,"&lt;"&amp;B769)</f>
        <v>102</v>
      </c>
      <c r="G769">
        <f t="shared" si="84"/>
        <v>0.46473029045643155</v>
      </c>
      <c r="H769">
        <f t="shared" si="85"/>
        <v>0.8089887640449438</v>
      </c>
      <c r="I769">
        <f t="shared" si="86"/>
        <v>0</v>
      </c>
      <c r="J769">
        <f t="shared" si="87"/>
        <v>0.5625</v>
      </c>
      <c r="K769">
        <f t="shared" si="88"/>
        <v>0.66359447004608296</v>
      </c>
      <c r="L769">
        <f>A769*COUNTIF(data!D:D,data!$I$2)/data!$L$2</f>
        <v>326.26252983293557</v>
      </c>
      <c r="M769" s="1">
        <f>A769/data!$L$2</f>
        <v>0.61097852028639621</v>
      </c>
      <c r="N769">
        <f t="shared" si="89"/>
        <v>1.3240870786516854</v>
      </c>
    </row>
    <row r="770" spans="1:14" x14ac:dyDescent="0.2">
      <c r="A770">
        <v>769</v>
      </c>
      <c r="B770">
        <f>LARGE(data!F:F,A770)</f>
        <v>0.33724790090000001</v>
      </c>
      <c r="C770">
        <f>COUNTIFS(data!D:D,data!$I$2,data!F:F,"&gt;="&amp;B770)</f>
        <v>432</v>
      </c>
      <c r="D770">
        <f>COUNTIFS(data!D:D,data!$J$2,data!F:F,"&gt;="&amp;B770)</f>
        <v>337</v>
      </c>
      <c r="E770">
        <f>COUNTIFS(data!D:D,data!$J$2,data!F:F,"&lt;"&amp;B770)</f>
        <v>386</v>
      </c>
      <c r="F770">
        <f>COUNTIFS(data!D:D,data!$I$2,data!F:F,"&lt;"&amp;B770)</f>
        <v>102</v>
      </c>
      <c r="G770">
        <f t="shared" si="84"/>
        <v>0.46611341632088521</v>
      </c>
      <c r="H770">
        <f t="shared" si="85"/>
        <v>0.8089887640449438</v>
      </c>
      <c r="I770">
        <f t="shared" si="86"/>
        <v>1.1189332836029611E-3</v>
      </c>
      <c r="J770">
        <f t="shared" si="87"/>
        <v>0.56176853055916776</v>
      </c>
      <c r="K770">
        <f t="shared" si="88"/>
        <v>0.6630851880276285</v>
      </c>
      <c r="L770">
        <f>A770*COUNTIF(data!D:D,data!$I$2)/data!$L$2</f>
        <v>326.68735083532221</v>
      </c>
      <c r="M770" s="1">
        <f>A770/data!$L$2</f>
        <v>0.6117740652346858</v>
      </c>
      <c r="N770">
        <f t="shared" si="89"/>
        <v>1.3223652489005129</v>
      </c>
    </row>
    <row r="771" spans="1:14" x14ac:dyDescent="0.2">
      <c r="A771">
        <v>770</v>
      </c>
      <c r="B771">
        <f>LARGE(data!F:F,A771)</f>
        <v>0.33633706400000002</v>
      </c>
      <c r="C771">
        <f>COUNTIFS(data!D:D,data!$I$2,data!F:F,"&gt;="&amp;B771)</f>
        <v>432</v>
      </c>
      <c r="D771">
        <f>COUNTIFS(data!D:D,data!$J$2,data!F:F,"&gt;="&amp;B771)</f>
        <v>338</v>
      </c>
      <c r="E771">
        <f>COUNTIFS(data!D:D,data!$J$2,data!F:F,"&lt;"&amp;B771)</f>
        <v>385</v>
      </c>
      <c r="F771">
        <f>COUNTIFS(data!D:D,data!$I$2,data!F:F,"&lt;"&amp;B771)</f>
        <v>102</v>
      </c>
      <c r="G771">
        <f t="shared" si="84"/>
        <v>0.46749654218533887</v>
      </c>
      <c r="H771">
        <f t="shared" si="85"/>
        <v>0.8089887640449438</v>
      </c>
      <c r="I771">
        <f t="shared" si="86"/>
        <v>1.1189332836029611E-3</v>
      </c>
      <c r="J771">
        <f t="shared" si="87"/>
        <v>0.561038961038961</v>
      </c>
      <c r="K771">
        <f t="shared" si="88"/>
        <v>0.66257668711656437</v>
      </c>
      <c r="L771">
        <f>A771*COUNTIF(data!D:D,data!$I$2)/data!$L$2</f>
        <v>327.11217183770884</v>
      </c>
      <c r="M771" s="1">
        <f>A771/data!$L$2</f>
        <v>0.61256961018297529</v>
      </c>
      <c r="N771">
        <f t="shared" si="89"/>
        <v>1.3206478914344082</v>
      </c>
    </row>
    <row r="772" spans="1:14" x14ac:dyDescent="0.2">
      <c r="A772">
        <v>771</v>
      </c>
      <c r="B772">
        <f>LARGE(data!F:F,A772)</f>
        <v>0.33517997560000001</v>
      </c>
      <c r="C772">
        <f>COUNTIFS(data!D:D,data!$I$2,data!F:F,"&gt;="&amp;B772)</f>
        <v>432</v>
      </c>
      <c r="D772">
        <f>COUNTIFS(data!D:D,data!$J$2,data!F:F,"&gt;="&amp;B772)</f>
        <v>339</v>
      </c>
      <c r="E772">
        <f>COUNTIFS(data!D:D,data!$J$2,data!F:F,"&lt;"&amp;B772)</f>
        <v>384</v>
      </c>
      <c r="F772">
        <f>COUNTIFS(data!D:D,data!$I$2,data!F:F,"&lt;"&amp;B772)</f>
        <v>102</v>
      </c>
      <c r="G772">
        <f t="shared" si="84"/>
        <v>0.46887966804979253</v>
      </c>
      <c r="H772">
        <f t="shared" si="85"/>
        <v>0.8089887640449438</v>
      </c>
      <c r="I772">
        <f t="shared" si="86"/>
        <v>1.1189332836029611E-3</v>
      </c>
      <c r="J772">
        <f t="shared" si="87"/>
        <v>0.56031128404669261</v>
      </c>
      <c r="K772">
        <f t="shared" si="88"/>
        <v>0.66206896551724137</v>
      </c>
      <c r="L772">
        <f>A772*COUNTIF(data!D:D,data!$I$2)/data!$L$2</f>
        <v>327.53699284009548</v>
      </c>
      <c r="M772" s="1">
        <f>A772/data!$L$2</f>
        <v>0.61336515513126488</v>
      </c>
      <c r="N772">
        <f t="shared" si="89"/>
        <v>1.3189349888514843</v>
      </c>
    </row>
    <row r="773" spans="1:14" x14ac:dyDescent="0.2">
      <c r="A773">
        <v>772</v>
      </c>
      <c r="B773">
        <f>LARGE(data!F:F,A773)</f>
        <v>0.33512348549999998</v>
      </c>
      <c r="C773">
        <f>COUNTIFS(data!D:D,data!$I$2,data!F:F,"&gt;="&amp;B773)</f>
        <v>432</v>
      </c>
      <c r="D773">
        <f>COUNTIFS(data!D:D,data!$J$2,data!F:F,"&gt;="&amp;B773)</f>
        <v>340</v>
      </c>
      <c r="E773">
        <f>COUNTIFS(data!D:D,data!$J$2,data!F:F,"&lt;"&amp;B773)</f>
        <v>383</v>
      </c>
      <c r="F773">
        <f>COUNTIFS(data!D:D,data!$I$2,data!F:F,"&lt;"&amp;B773)</f>
        <v>102</v>
      </c>
      <c r="G773">
        <f t="shared" si="84"/>
        <v>0.47026279391424619</v>
      </c>
      <c r="H773">
        <f t="shared" si="85"/>
        <v>0.8089887640449438</v>
      </c>
      <c r="I773">
        <f t="shared" si="86"/>
        <v>1.1189332836029611E-3</v>
      </c>
      <c r="J773">
        <f t="shared" si="87"/>
        <v>0.55958549222797926</v>
      </c>
      <c r="K773">
        <f t="shared" si="88"/>
        <v>0.66156202143950993</v>
      </c>
      <c r="L773">
        <f>A773*COUNTIF(data!D:D,data!$I$2)/data!$L$2</f>
        <v>327.96181384248212</v>
      </c>
      <c r="M773" s="1">
        <f>A773/data!$L$2</f>
        <v>0.61416070007955448</v>
      </c>
      <c r="N773">
        <f t="shared" si="89"/>
        <v>1.3172265238400185</v>
      </c>
    </row>
    <row r="774" spans="1:14" x14ac:dyDescent="0.2">
      <c r="A774">
        <v>773</v>
      </c>
      <c r="B774">
        <f>LARGE(data!F:F,A774)</f>
        <v>0.33470641769999998</v>
      </c>
      <c r="C774">
        <f>COUNTIFS(data!D:D,data!$I$2,data!F:F,"&gt;="&amp;B774)</f>
        <v>433</v>
      </c>
      <c r="D774">
        <f>COUNTIFS(data!D:D,data!$J$2,data!F:F,"&gt;="&amp;B774)</f>
        <v>340</v>
      </c>
      <c r="E774">
        <f>COUNTIFS(data!D:D,data!$J$2,data!F:F,"&lt;"&amp;B774)</f>
        <v>383</v>
      </c>
      <c r="F774">
        <f>COUNTIFS(data!D:D,data!$I$2,data!F:F,"&lt;"&amp;B774)</f>
        <v>101</v>
      </c>
      <c r="G774">
        <f t="shared" si="84"/>
        <v>0.47026279391424619</v>
      </c>
      <c r="H774">
        <f t="shared" si="85"/>
        <v>0.81086142322097376</v>
      </c>
      <c r="I774">
        <f t="shared" si="86"/>
        <v>0</v>
      </c>
      <c r="J774">
        <f t="shared" si="87"/>
        <v>0.56015523932729627</v>
      </c>
      <c r="K774">
        <f t="shared" si="88"/>
        <v>0.6625860749808723</v>
      </c>
      <c r="L774">
        <f>A774*COUNTIF(data!D:D,data!$I$2)/data!$L$2</f>
        <v>328.38663484486875</v>
      </c>
      <c r="M774" s="1">
        <f>A774/data!$L$2</f>
        <v>0.61495624502784407</v>
      </c>
      <c r="N774">
        <f t="shared" si="89"/>
        <v>1.318567670101894</v>
      </c>
    </row>
    <row r="775" spans="1:14" x14ac:dyDescent="0.2">
      <c r="A775">
        <v>774</v>
      </c>
      <c r="B775">
        <f>LARGE(data!F:F,A775)</f>
        <v>0.33468739040000001</v>
      </c>
      <c r="C775">
        <f>COUNTIFS(data!D:D,data!$I$2,data!F:F,"&gt;="&amp;B775)</f>
        <v>433</v>
      </c>
      <c r="D775">
        <f>COUNTIFS(data!D:D,data!$J$2,data!F:F,"&gt;="&amp;B775)</f>
        <v>341</v>
      </c>
      <c r="E775">
        <f>COUNTIFS(data!D:D,data!$J$2,data!F:F,"&lt;"&amp;B775)</f>
        <v>382</v>
      </c>
      <c r="F775">
        <f>COUNTIFS(data!D:D,data!$I$2,data!F:F,"&lt;"&amp;B775)</f>
        <v>101</v>
      </c>
      <c r="G775">
        <f t="shared" si="84"/>
        <v>0.47164591977869985</v>
      </c>
      <c r="H775">
        <f t="shared" si="85"/>
        <v>0.81086142322097376</v>
      </c>
      <c r="I775">
        <f t="shared" si="86"/>
        <v>1.1215234069446346E-3</v>
      </c>
      <c r="J775">
        <f t="shared" si="87"/>
        <v>0.55943152454780365</v>
      </c>
      <c r="K775">
        <f t="shared" si="88"/>
        <v>0.6620795107033639</v>
      </c>
      <c r="L775">
        <f>A775*COUNTIF(data!D:D,data!$I$2)/data!$L$2</f>
        <v>328.81145584725539</v>
      </c>
      <c r="M775" s="1">
        <f>A775/data!$L$2</f>
        <v>0.61575178997613367</v>
      </c>
      <c r="N775">
        <f t="shared" si="89"/>
        <v>1.3168640943007286</v>
      </c>
    </row>
    <row r="776" spans="1:14" x14ac:dyDescent="0.2">
      <c r="A776">
        <v>775</v>
      </c>
      <c r="B776">
        <f>LARGE(data!F:F,A776)</f>
        <v>0.33449330519999998</v>
      </c>
      <c r="C776">
        <f>COUNTIFS(data!D:D,data!$I$2,data!F:F,"&gt;="&amp;B776)</f>
        <v>433</v>
      </c>
      <c r="D776">
        <f>COUNTIFS(data!D:D,data!$J$2,data!F:F,"&gt;="&amp;B776)</f>
        <v>342</v>
      </c>
      <c r="E776">
        <f>COUNTIFS(data!D:D,data!$J$2,data!F:F,"&lt;"&amp;B776)</f>
        <v>381</v>
      </c>
      <c r="F776">
        <f>COUNTIFS(data!D:D,data!$I$2,data!F:F,"&lt;"&amp;B776)</f>
        <v>101</v>
      </c>
      <c r="G776">
        <f t="shared" si="84"/>
        <v>0.47302904564315351</v>
      </c>
      <c r="H776">
        <f t="shared" si="85"/>
        <v>0.81086142322097376</v>
      </c>
      <c r="I776">
        <f t="shared" si="86"/>
        <v>1.1215234069446346E-3</v>
      </c>
      <c r="J776">
        <f t="shared" si="87"/>
        <v>0.55870967741935484</v>
      </c>
      <c r="K776">
        <f t="shared" si="88"/>
        <v>0.66157372039724982</v>
      </c>
      <c r="L776">
        <f>A776*COUNTIF(data!D:D,data!$I$2)/data!$L$2</f>
        <v>329.23627684964202</v>
      </c>
      <c r="M776" s="1">
        <f>A776/data!$L$2</f>
        <v>0.61654733492442326</v>
      </c>
      <c r="N776">
        <f t="shared" si="89"/>
        <v>1.3151649148242115</v>
      </c>
    </row>
    <row r="777" spans="1:14" x14ac:dyDescent="0.2">
      <c r="A777">
        <v>776</v>
      </c>
      <c r="B777">
        <f>LARGE(data!F:F,A777)</f>
        <v>0.33438638609999999</v>
      </c>
      <c r="C777">
        <f>COUNTIFS(data!D:D,data!$I$2,data!F:F,"&gt;="&amp;B777)</f>
        <v>434</v>
      </c>
      <c r="D777">
        <f>COUNTIFS(data!D:D,data!$J$2,data!F:F,"&gt;="&amp;B777)</f>
        <v>342</v>
      </c>
      <c r="E777">
        <f>COUNTIFS(data!D:D,data!$J$2,data!F:F,"&lt;"&amp;B777)</f>
        <v>381</v>
      </c>
      <c r="F777">
        <f>COUNTIFS(data!D:D,data!$I$2,data!F:F,"&lt;"&amp;B777)</f>
        <v>100</v>
      </c>
      <c r="G777">
        <f t="shared" si="84"/>
        <v>0.47302904564315351</v>
      </c>
      <c r="H777">
        <f t="shared" si="85"/>
        <v>0.81273408239700373</v>
      </c>
      <c r="I777">
        <f t="shared" si="86"/>
        <v>0</v>
      </c>
      <c r="J777">
        <f t="shared" si="87"/>
        <v>0.55927835051546393</v>
      </c>
      <c r="K777">
        <f t="shared" si="88"/>
        <v>0.66259541984732828</v>
      </c>
      <c r="L777">
        <f>A777*COUNTIF(data!D:D,data!$I$2)/data!$L$2</f>
        <v>329.66109785202866</v>
      </c>
      <c r="M777" s="1">
        <f>A777/data!$L$2</f>
        <v>0.61734287987271286</v>
      </c>
      <c r="N777">
        <f t="shared" si="89"/>
        <v>1.3165035329549402</v>
      </c>
    </row>
    <row r="778" spans="1:14" x14ac:dyDescent="0.2">
      <c r="A778">
        <v>777</v>
      </c>
      <c r="B778">
        <f>LARGE(data!F:F,A778)</f>
        <v>0.33191652240000002</v>
      </c>
      <c r="C778">
        <f>COUNTIFS(data!D:D,data!$I$2,data!F:F,"&gt;="&amp;B778)</f>
        <v>434</v>
      </c>
      <c r="D778">
        <f>COUNTIFS(data!D:D,data!$J$2,data!F:F,"&gt;="&amp;B778)</f>
        <v>343</v>
      </c>
      <c r="E778">
        <f>COUNTIFS(data!D:D,data!$J$2,data!F:F,"&lt;"&amp;B778)</f>
        <v>380</v>
      </c>
      <c r="F778">
        <f>COUNTIFS(data!D:D,data!$I$2,data!F:F,"&lt;"&amp;B778)</f>
        <v>100</v>
      </c>
      <c r="G778">
        <f t="shared" si="84"/>
        <v>0.47441217150760717</v>
      </c>
      <c r="H778">
        <f t="shared" si="85"/>
        <v>0.81273408239700373</v>
      </c>
      <c r="I778">
        <f t="shared" si="86"/>
        <v>1.1241135302863083E-3</v>
      </c>
      <c r="J778">
        <f t="shared" si="87"/>
        <v>0.55855855855855852</v>
      </c>
      <c r="K778">
        <f t="shared" si="88"/>
        <v>0.66209000762776504</v>
      </c>
      <c r="L778">
        <f>A778*COUNTIF(data!D:D,data!$I$2)/data!$L$2</f>
        <v>330.0859188544153</v>
      </c>
      <c r="M778" s="1">
        <f>A778/data!$L$2</f>
        <v>0.61813842482100234</v>
      </c>
      <c r="N778">
        <f t="shared" si="89"/>
        <v>1.3148091912136854</v>
      </c>
    </row>
    <row r="779" spans="1:14" x14ac:dyDescent="0.2">
      <c r="A779">
        <v>778</v>
      </c>
      <c r="B779">
        <f>LARGE(data!F:F,A779)</f>
        <v>0.33174719660000002</v>
      </c>
      <c r="C779">
        <f>COUNTIFS(data!D:D,data!$I$2,data!F:F,"&gt;="&amp;B779)</f>
        <v>434</v>
      </c>
      <c r="D779">
        <f>COUNTIFS(data!D:D,data!$J$2,data!F:F,"&gt;="&amp;B779)</f>
        <v>344</v>
      </c>
      <c r="E779">
        <f>COUNTIFS(data!D:D,data!$J$2,data!F:F,"&lt;"&amp;B779)</f>
        <v>379</v>
      </c>
      <c r="F779">
        <f>COUNTIFS(data!D:D,data!$I$2,data!F:F,"&lt;"&amp;B779)</f>
        <v>100</v>
      </c>
      <c r="G779">
        <f t="shared" si="84"/>
        <v>0.47579529737206083</v>
      </c>
      <c r="H779">
        <f t="shared" si="85"/>
        <v>0.81273408239700373</v>
      </c>
      <c r="I779">
        <f t="shared" si="86"/>
        <v>1.1241135302863083E-3</v>
      </c>
      <c r="J779">
        <f t="shared" si="87"/>
        <v>0.55784061696658094</v>
      </c>
      <c r="K779">
        <f t="shared" si="88"/>
        <v>0.66158536585365846</v>
      </c>
      <c r="L779">
        <f>A779*COUNTIF(data!D:D,data!$I$2)/data!$L$2</f>
        <v>330.51073985680193</v>
      </c>
      <c r="M779" s="1">
        <f>A779/data!$L$2</f>
        <v>0.61893396976929194</v>
      </c>
      <c r="N779">
        <f t="shared" si="89"/>
        <v>1.3131192051067271</v>
      </c>
    </row>
    <row r="780" spans="1:14" x14ac:dyDescent="0.2">
      <c r="A780">
        <v>779</v>
      </c>
      <c r="B780">
        <f>LARGE(data!F:F,A780)</f>
        <v>0.33171137969999998</v>
      </c>
      <c r="C780">
        <f>COUNTIFS(data!D:D,data!$I$2,data!F:F,"&gt;="&amp;B780)</f>
        <v>434</v>
      </c>
      <c r="D780">
        <f>COUNTIFS(data!D:D,data!$J$2,data!F:F,"&gt;="&amp;B780)</f>
        <v>345</v>
      </c>
      <c r="E780">
        <f>COUNTIFS(data!D:D,data!$J$2,data!F:F,"&lt;"&amp;B780)</f>
        <v>378</v>
      </c>
      <c r="F780">
        <f>COUNTIFS(data!D:D,data!$I$2,data!F:F,"&lt;"&amp;B780)</f>
        <v>100</v>
      </c>
      <c r="G780">
        <f t="shared" si="84"/>
        <v>0.47717842323651455</v>
      </c>
      <c r="H780">
        <f t="shared" si="85"/>
        <v>0.81273408239700373</v>
      </c>
      <c r="I780">
        <f t="shared" si="86"/>
        <v>1.1241135302863534E-3</v>
      </c>
      <c r="J780">
        <f t="shared" si="87"/>
        <v>0.55712451861360723</v>
      </c>
      <c r="K780">
        <f t="shared" si="88"/>
        <v>0.6610814927646611</v>
      </c>
      <c r="L780">
        <f>A780*COUNTIF(data!D:D,data!$I$2)/data!$L$2</f>
        <v>330.93556085918857</v>
      </c>
      <c r="M780" s="1">
        <f>A780/data!$L$2</f>
        <v>0.61972951471758153</v>
      </c>
      <c r="N780">
        <f t="shared" si="89"/>
        <v>1.3114335578601202</v>
      </c>
    </row>
    <row r="781" spans="1:14" x14ac:dyDescent="0.2">
      <c r="A781">
        <v>780</v>
      </c>
      <c r="B781">
        <f>LARGE(data!F:F,A781)</f>
        <v>0.33097054380000002</v>
      </c>
      <c r="C781">
        <f>COUNTIFS(data!D:D,data!$I$2,data!F:F,"&gt;="&amp;B781)</f>
        <v>434</v>
      </c>
      <c r="D781">
        <f>COUNTIFS(data!D:D,data!$J$2,data!F:F,"&gt;="&amp;B781)</f>
        <v>346</v>
      </c>
      <c r="E781">
        <f>COUNTIFS(data!D:D,data!$J$2,data!F:F,"&lt;"&amp;B781)</f>
        <v>377</v>
      </c>
      <c r="F781">
        <f>COUNTIFS(data!D:D,data!$I$2,data!F:F,"&lt;"&amp;B781)</f>
        <v>100</v>
      </c>
      <c r="G781">
        <f t="shared" si="84"/>
        <v>0.47856154910096821</v>
      </c>
      <c r="H781">
        <f t="shared" si="85"/>
        <v>0.81273408239700373</v>
      </c>
      <c r="I781">
        <f t="shared" si="86"/>
        <v>1.1241135302863083E-3</v>
      </c>
      <c r="J781">
        <f t="shared" si="87"/>
        <v>0.55641025641025643</v>
      </c>
      <c r="K781">
        <f t="shared" si="88"/>
        <v>0.66057838660578383</v>
      </c>
      <c r="L781">
        <f>A781*COUNTIF(data!D:D,data!$I$2)/data!$L$2</f>
        <v>331.36038186157521</v>
      </c>
      <c r="M781" s="1">
        <f>A781/data!$L$2</f>
        <v>0.62052505966587113</v>
      </c>
      <c r="N781">
        <f t="shared" si="89"/>
        <v>1.3097522327859406</v>
      </c>
    </row>
    <row r="782" spans="1:14" x14ac:dyDescent="0.2">
      <c r="A782">
        <v>781</v>
      </c>
      <c r="B782">
        <f>LARGE(data!F:F,A782)</f>
        <v>0.3305062963</v>
      </c>
      <c r="C782">
        <f>COUNTIFS(data!D:D,data!$I$2,data!F:F,"&gt;="&amp;B782)</f>
        <v>435</v>
      </c>
      <c r="D782">
        <f>COUNTIFS(data!D:D,data!$J$2,data!F:F,"&gt;="&amp;B782)</f>
        <v>346</v>
      </c>
      <c r="E782">
        <f>COUNTIFS(data!D:D,data!$J$2,data!F:F,"&lt;"&amp;B782)</f>
        <v>377</v>
      </c>
      <c r="F782">
        <f>COUNTIFS(data!D:D,data!$I$2,data!F:F,"&lt;"&amp;B782)</f>
        <v>99</v>
      </c>
      <c r="G782">
        <f t="shared" si="84"/>
        <v>0.47856154910096821</v>
      </c>
      <c r="H782">
        <f t="shared" si="85"/>
        <v>0.8146067415730337</v>
      </c>
      <c r="I782">
        <f t="shared" si="86"/>
        <v>0</v>
      </c>
      <c r="J782">
        <f t="shared" si="87"/>
        <v>0.55697823303457106</v>
      </c>
      <c r="K782">
        <f t="shared" si="88"/>
        <v>0.66159695817490494</v>
      </c>
      <c r="L782">
        <f>A782*COUNTIF(data!D:D,data!$I$2)/data!$L$2</f>
        <v>331.78520286396179</v>
      </c>
      <c r="M782" s="1">
        <f>A782/data!$L$2</f>
        <v>0.62132060461416072</v>
      </c>
      <c r="N782">
        <f t="shared" si="89"/>
        <v>1.3110892114690185</v>
      </c>
    </row>
    <row r="783" spans="1:14" x14ac:dyDescent="0.2">
      <c r="A783">
        <v>782</v>
      </c>
      <c r="B783">
        <f>LARGE(data!F:F,A783)</f>
        <v>0.32970664820000001</v>
      </c>
      <c r="C783">
        <f>COUNTIFS(data!D:D,data!$I$2,data!F:F,"&gt;="&amp;B783)</f>
        <v>436</v>
      </c>
      <c r="D783">
        <f>COUNTIFS(data!D:D,data!$J$2,data!F:F,"&gt;="&amp;B783)</f>
        <v>346</v>
      </c>
      <c r="E783">
        <f>COUNTIFS(data!D:D,data!$J$2,data!F:F,"&lt;"&amp;B783)</f>
        <v>377</v>
      </c>
      <c r="F783">
        <f>COUNTIFS(data!D:D,data!$I$2,data!F:F,"&lt;"&amp;B783)</f>
        <v>98</v>
      </c>
      <c r="G783">
        <f t="shared" si="84"/>
        <v>0.47856154910096821</v>
      </c>
      <c r="H783">
        <f t="shared" si="85"/>
        <v>0.81647940074906367</v>
      </c>
      <c r="I783">
        <f t="shared" si="86"/>
        <v>0</v>
      </c>
      <c r="J783">
        <f t="shared" si="87"/>
        <v>0.55754475703324813</v>
      </c>
      <c r="K783">
        <f t="shared" si="88"/>
        <v>0.66261398176291797</v>
      </c>
      <c r="L783">
        <f>A783*COUNTIF(data!D:D,data!$I$2)/data!$L$2</f>
        <v>332.21002386634842</v>
      </c>
      <c r="M783" s="1">
        <f>A783/data!$L$2</f>
        <v>0.62211614956245032</v>
      </c>
      <c r="N783">
        <f t="shared" si="89"/>
        <v>1.312422770769275</v>
      </c>
    </row>
    <row r="784" spans="1:14" x14ac:dyDescent="0.2">
      <c r="A784">
        <v>783</v>
      </c>
      <c r="B784">
        <f>LARGE(data!F:F,A784)</f>
        <v>0.32910175000000003</v>
      </c>
      <c r="C784">
        <f>COUNTIFS(data!D:D,data!$I$2,data!F:F,"&gt;="&amp;B784)</f>
        <v>436</v>
      </c>
      <c r="D784">
        <f>COUNTIFS(data!D:D,data!$J$2,data!F:F,"&gt;="&amp;B784)</f>
        <v>347</v>
      </c>
      <c r="E784">
        <f>COUNTIFS(data!D:D,data!$J$2,data!F:F,"&lt;"&amp;B784)</f>
        <v>376</v>
      </c>
      <c r="F784">
        <f>COUNTIFS(data!D:D,data!$I$2,data!F:F,"&lt;"&amp;B784)</f>
        <v>98</v>
      </c>
      <c r="G784">
        <f t="shared" si="84"/>
        <v>0.47994467496542187</v>
      </c>
      <c r="H784">
        <f t="shared" si="85"/>
        <v>0.81647940074906367</v>
      </c>
      <c r="I784">
        <f t="shared" si="86"/>
        <v>1.1292937769696552E-3</v>
      </c>
      <c r="J784">
        <f t="shared" si="87"/>
        <v>0.55683269476372921</v>
      </c>
      <c r="K784">
        <f t="shared" si="88"/>
        <v>0.66211085801063019</v>
      </c>
      <c r="L784">
        <f>A784*COUNTIF(data!D:D,data!$I$2)/data!$L$2</f>
        <v>332.63484486873506</v>
      </c>
      <c r="M784" s="1">
        <f>A784/data!$L$2</f>
        <v>0.62291169451073991</v>
      </c>
      <c r="N784">
        <f t="shared" si="89"/>
        <v>1.3107466241910257</v>
      </c>
    </row>
    <row r="785" spans="1:14" x14ac:dyDescent="0.2">
      <c r="A785">
        <v>784</v>
      </c>
      <c r="B785">
        <f>LARGE(data!F:F,A785)</f>
        <v>0.32905567899999999</v>
      </c>
      <c r="C785">
        <f>COUNTIFS(data!D:D,data!$I$2,data!F:F,"&gt;="&amp;B785)</f>
        <v>436</v>
      </c>
      <c r="D785">
        <f>COUNTIFS(data!D:D,data!$J$2,data!F:F,"&gt;="&amp;B785)</f>
        <v>348</v>
      </c>
      <c r="E785">
        <f>COUNTIFS(data!D:D,data!$J$2,data!F:F,"&lt;"&amp;B785)</f>
        <v>375</v>
      </c>
      <c r="F785">
        <f>COUNTIFS(data!D:D,data!$I$2,data!F:F,"&lt;"&amp;B785)</f>
        <v>98</v>
      </c>
      <c r="G785">
        <f t="shared" si="84"/>
        <v>0.48132780082987553</v>
      </c>
      <c r="H785">
        <f t="shared" si="85"/>
        <v>0.81647940074906367</v>
      </c>
      <c r="I785">
        <f t="shared" si="86"/>
        <v>1.1292937769696552E-3</v>
      </c>
      <c r="J785">
        <f t="shared" si="87"/>
        <v>0.55612244897959184</v>
      </c>
      <c r="K785">
        <f t="shared" si="88"/>
        <v>0.66160849772382402</v>
      </c>
      <c r="L785">
        <f>A785*COUNTIF(data!D:D,data!$I$2)/data!$L$2</f>
        <v>333.05966587112169</v>
      </c>
      <c r="M785" s="1">
        <f>A785/data!$L$2</f>
        <v>0.62370723945902939</v>
      </c>
      <c r="N785">
        <f t="shared" si="89"/>
        <v>1.3090747534969045</v>
      </c>
    </row>
    <row r="786" spans="1:14" x14ac:dyDescent="0.2">
      <c r="A786">
        <v>785</v>
      </c>
      <c r="B786">
        <f>LARGE(data!F:F,A786)</f>
        <v>0.32903931279999998</v>
      </c>
      <c r="C786">
        <f>COUNTIFS(data!D:D,data!$I$2,data!F:F,"&gt;="&amp;B786)</f>
        <v>436</v>
      </c>
      <c r="D786">
        <f>COUNTIFS(data!D:D,data!$J$2,data!F:F,"&gt;="&amp;B786)</f>
        <v>349</v>
      </c>
      <c r="E786">
        <f>COUNTIFS(data!D:D,data!$J$2,data!F:F,"&lt;"&amp;B786)</f>
        <v>374</v>
      </c>
      <c r="F786">
        <f>COUNTIFS(data!D:D,data!$I$2,data!F:F,"&lt;"&amp;B786)</f>
        <v>98</v>
      </c>
      <c r="G786">
        <f t="shared" si="84"/>
        <v>0.48271092669432919</v>
      </c>
      <c r="H786">
        <f t="shared" si="85"/>
        <v>0.81647940074906367</v>
      </c>
      <c r="I786">
        <f t="shared" si="86"/>
        <v>1.1292937769696552E-3</v>
      </c>
      <c r="J786">
        <f t="shared" si="87"/>
        <v>0.55541401273885349</v>
      </c>
      <c r="K786">
        <f t="shared" si="88"/>
        <v>0.66110689916603482</v>
      </c>
      <c r="L786">
        <f>A786*COUNTIF(data!D:D,data!$I$2)/data!$L$2</f>
        <v>333.48448687350833</v>
      </c>
      <c r="M786" s="1">
        <f>A786/data!$L$2</f>
        <v>0.62450278440731899</v>
      </c>
      <c r="N786">
        <f t="shared" si="89"/>
        <v>1.307407142345953</v>
      </c>
    </row>
    <row r="787" spans="1:14" x14ac:dyDescent="0.2">
      <c r="A787">
        <v>786</v>
      </c>
      <c r="B787">
        <f>LARGE(data!F:F,A787)</f>
        <v>0.3290356794</v>
      </c>
      <c r="C787">
        <f>COUNTIFS(data!D:D,data!$I$2,data!F:F,"&gt;="&amp;B787)</f>
        <v>436</v>
      </c>
      <c r="D787">
        <f>COUNTIFS(data!D:D,data!$J$2,data!F:F,"&gt;="&amp;B787)</f>
        <v>350</v>
      </c>
      <c r="E787">
        <f>COUNTIFS(data!D:D,data!$J$2,data!F:F,"&lt;"&amp;B787)</f>
        <v>373</v>
      </c>
      <c r="F787">
        <f>COUNTIFS(data!D:D,data!$I$2,data!F:F,"&lt;"&amp;B787)</f>
        <v>98</v>
      </c>
      <c r="G787">
        <f t="shared" si="84"/>
        <v>0.48409405255878285</v>
      </c>
      <c r="H787">
        <f t="shared" si="85"/>
        <v>0.81647940074906367</v>
      </c>
      <c r="I787">
        <f t="shared" si="86"/>
        <v>1.1292937769696552E-3</v>
      </c>
      <c r="J787">
        <f t="shared" si="87"/>
        <v>0.55470737913486001</v>
      </c>
      <c r="K787">
        <f t="shared" si="88"/>
        <v>0.66060606060606053</v>
      </c>
      <c r="L787">
        <f>A787*COUNTIF(data!D:D,data!$I$2)/data!$L$2</f>
        <v>333.90930787589497</v>
      </c>
      <c r="M787" s="1">
        <f>A787/data!$L$2</f>
        <v>0.62529832935560858</v>
      </c>
      <c r="N787">
        <f t="shared" si="89"/>
        <v>1.3057437744803728</v>
      </c>
    </row>
    <row r="788" spans="1:14" x14ac:dyDescent="0.2">
      <c r="A788">
        <v>787</v>
      </c>
      <c r="B788">
        <f>LARGE(data!F:F,A788)</f>
        <v>0.32809035609999998</v>
      </c>
      <c r="C788">
        <f>COUNTIFS(data!D:D,data!$I$2,data!F:F,"&gt;="&amp;B788)</f>
        <v>436</v>
      </c>
      <c r="D788">
        <f>COUNTIFS(data!D:D,data!$J$2,data!F:F,"&gt;="&amp;B788)</f>
        <v>351</v>
      </c>
      <c r="E788">
        <f>COUNTIFS(data!D:D,data!$J$2,data!F:F,"&lt;"&amp;B788)</f>
        <v>372</v>
      </c>
      <c r="F788">
        <f>COUNTIFS(data!D:D,data!$I$2,data!F:F,"&lt;"&amp;B788)</f>
        <v>98</v>
      </c>
      <c r="G788">
        <f t="shared" si="84"/>
        <v>0.48547717842323651</v>
      </c>
      <c r="H788">
        <f t="shared" si="85"/>
        <v>0.81647940074906367</v>
      </c>
      <c r="I788">
        <f t="shared" si="86"/>
        <v>1.1292937769696552E-3</v>
      </c>
      <c r="J788">
        <f t="shared" si="87"/>
        <v>0.55400254129606097</v>
      </c>
      <c r="K788">
        <f t="shared" si="88"/>
        <v>0.66010598031794088</v>
      </c>
      <c r="L788">
        <f>A788*COUNTIF(data!D:D,data!$I$2)/data!$L$2</f>
        <v>334.3341288782816</v>
      </c>
      <c r="M788" s="1">
        <f>A788/data!$L$2</f>
        <v>0.62609387430389818</v>
      </c>
      <c r="N788">
        <f t="shared" si="89"/>
        <v>1.3040846337249976</v>
      </c>
    </row>
    <row r="789" spans="1:14" x14ac:dyDescent="0.2">
      <c r="A789">
        <v>788</v>
      </c>
      <c r="B789">
        <f>LARGE(data!F:F,A789)</f>
        <v>0.32740866429999999</v>
      </c>
      <c r="C789">
        <f>COUNTIFS(data!D:D,data!$I$2,data!F:F,"&gt;="&amp;B789)</f>
        <v>436</v>
      </c>
      <c r="D789">
        <f>COUNTIFS(data!D:D,data!$J$2,data!F:F,"&gt;="&amp;B789)</f>
        <v>352</v>
      </c>
      <c r="E789">
        <f>COUNTIFS(data!D:D,data!$J$2,data!F:F,"&lt;"&amp;B789)</f>
        <v>371</v>
      </c>
      <c r="F789">
        <f>COUNTIFS(data!D:D,data!$I$2,data!F:F,"&lt;"&amp;B789)</f>
        <v>98</v>
      </c>
      <c r="G789">
        <f t="shared" si="84"/>
        <v>0.48686030428769017</v>
      </c>
      <c r="H789">
        <f t="shared" si="85"/>
        <v>0.81647940074906367</v>
      </c>
      <c r="I789">
        <f t="shared" si="86"/>
        <v>1.1292937769696552E-3</v>
      </c>
      <c r="J789">
        <f t="shared" si="87"/>
        <v>0.5532994923857868</v>
      </c>
      <c r="K789">
        <f t="shared" si="88"/>
        <v>0.65960665658093798</v>
      </c>
      <c r="L789">
        <f>A789*COUNTIF(data!D:D,data!$I$2)/data!$L$2</f>
        <v>334.75894988066824</v>
      </c>
      <c r="M789" s="1">
        <f>A789/data!$L$2</f>
        <v>0.62688941925218777</v>
      </c>
      <c r="N789">
        <f t="shared" si="89"/>
        <v>1.3024297039867678</v>
      </c>
    </row>
    <row r="790" spans="1:14" x14ac:dyDescent="0.2">
      <c r="A790">
        <v>789</v>
      </c>
      <c r="B790">
        <f>LARGE(data!F:F,A790)</f>
        <v>0.32606741659999999</v>
      </c>
      <c r="C790">
        <f>COUNTIFS(data!D:D,data!$I$2,data!F:F,"&gt;="&amp;B790)</f>
        <v>437</v>
      </c>
      <c r="D790">
        <f>COUNTIFS(data!D:D,data!$J$2,data!F:F,"&gt;="&amp;B790)</f>
        <v>352</v>
      </c>
      <c r="E790">
        <f>COUNTIFS(data!D:D,data!$J$2,data!F:F,"&lt;"&amp;B790)</f>
        <v>371</v>
      </c>
      <c r="F790">
        <f>COUNTIFS(data!D:D,data!$I$2,data!F:F,"&lt;"&amp;B790)</f>
        <v>97</v>
      </c>
      <c r="G790">
        <f t="shared" si="84"/>
        <v>0.48686030428769017</v>
      </c>
      <c r="H790">
        <f t="shared" si="85"/>
        <v>0.81835205992509363</v>
      </c>
      <c r="I790">
        <f t="shared" si="86"/>
        <v>0</v>
      </c>
      <c r="J790">
        <f t="shared" si="87"/>
        <v>0.55386565272496835</v>
      </c>
      <c r="K790">
        <f t="shared" si="88"/>
        <v>0.66061980347694627</v>
      </c>
      <c r="L790">
        <f>A790*COUNTIF(data!D:D,data!$I$2)/data!$L$2</f>
        <v>335.18377088305488</v>
      </c>
      <c r="M790" s="1">
        <f>A790/data!$L$2</f>
        <v>0.62768496420047737</v>
      </c>
      <c r="N790">
        <f t="shared" si="89"/>
        <v>1.3037624072570884</v>
      </c>
    </row>
    <row r="791" spans="1:14" x14ac:dyDescent="0.2">
      <c r="A791">
        <v>790</v>
      </c>
      <c r="B791">
        <f>LARGE(data!F:F,A791)</f>
        <v>0.32526660349999997</v>
      </c>
      <c r="C791">
        <f>COUNTIFS(data!D:D,data!$I$2,data!F:F,"&gt;="&amp;B791)</f>
        <v>437</v>
      </c>
      <c r="D791">
        <f>COUNTIFS(data!D:D,data!$J$2,data!F:F,"&gt;="&amp;B791)</f>
        <v>353</v>
      </c>
      <c r="E791">
        <f>COUNTIFS(data!D:D,data!$J$2,data!F:F,"&lt;"&amp;B791)</f>
        <v>370</v>
      </c>
      <c r="F791">
        <f>COUNTIFS(data!D:D,data!$I$2,data!F:F,"&lt;"&amp;B791)</f>
        <v>97</v>
      </c>
      <c r="G791">
        <f t="shared" si="84"/>
        <v>0.48824343015214383</v>
      </c>
      <c r="H791">
        <f t="shared" si="85"/>
        <v>0.81835205992509363</v>
      </c>
      <c r="I791">
        <f t="shared" si="86"/>
        <v>1.1318839003113287E-3</v>
      </c>
      <c r="J791">
        <f t="shared" si="87"/>
        <v>0.55316455696202527</v>
      </c>
      <c r="K791">
        <f t="shared" si="88"/>
        <v>0.66012084592145004</v>
      </c>
      <c r="L791">
        <f>A791*COUNTIF(data!D:D,data!$I$2)/data!$L$2</f>
        <v>335.60859188544151</v>
      </c>
      <c r="M791" s="1">
        <f>A791/data!$L$2</f>
        <v>0.62848050914876685</v>
      </c>
      <c r="N791">
        <f t="shared" si="89"/>
        <v>1.3021120750960036</v>
      </c>
    </row>
    <row r="792" spans="1:14" x14ac:dyDescent="0.2">
      <c r="A792">
        <v>791</v>
      </c>
      <c r="B792">
        <f>LARGE(data!F:F,A792)</f>
        <v>0.32509615580000001</v>
      </c>
      <c r="C792">
        <f>COUNTIFS(data!D:D,data!$I$2,data!F:F,"&gt;="&amp;B792)</f>
        <v>438</v>
      </c>
      <c r="D792">
        <f>COUNTIFS(data!D:D,data!$J$2,data!F:F,"&gt;="&amp;B792)</f>
        <v>353</v>
      </c>
      <c r="E792">
        <f>COUNTIFS(data!D:D,data!$J$2,data!F:F,"&lt;"&amp;B792)</f>
        <v>370</v>
      </c>
      <c r="F792">
        <f>COUNTIFS(data!D:D,data!$I$2,data!F:F,"&lt;"&amp;B792)</f>
        <v>96</v>
      </c>
      <c r="G792">
        <f t="shared" si="84"/>
        <v>0.48824343015214383</v>
      </c>
      <c r="H792">
        <f t="shared" si="85"/>
        <v>0.8202247191011236</v>
      </c>
      <c r="I792">
        <f t="shared" si="86"/>
        <v>0</v>
      </c>
      <c r="J792">
        <f t="shared" si="87"/>
        <v>0.55372945638432369</v>
      </c>
      <c r="K792">
        <f t="shared" si="88"/>
        <v>0.66113207547169806</v>
      </c>
      <c r="L792">
        <f>A792*COUNTIF(data!D:D,data!$I$2)/data!$L$2</f>
        <v>336.03341288782815</v>
      </c>
      <c r="M792" s="1">
        <f>A792/data!$L$2</f>
        <v>0.62927605409705645</v>
      </c>
      <c r="N792">
        <f t="shared" si="89"/>
        <v>1.3034418102529866</v>
      </c>
    </row>
    <row r="793" spans="1:14" x14ac:dyDescent="0.2">
      <c r="A793">
        <v>792</v>
      </c>
      <c r="B793">
        <f>LARGE(data!F:F,A793)</f>
        <v>0.32359755680000002</v>
      </c>
      <c r="C793">
        <f>COUNTIFS(data!D:D,data!$I$2,data!F:F,"&gt;="&amp;B793)</f>
        <v>438</v>
      </c>
      <c r="D793">
        <f>COUNTIFS(data!D:D,data!$J$2,data!F:F,"&gt;="&amp;B793)</f>
        <v>354</v>
      </c>
      <c r="E793">
        <f>COUNTIFS(data!D:D,data!$J$2,data!F:F,"&lt;"&amp;B793)</f>
        <v>369</v>
      </c>
      <c r="F793">
        <f>COUNTIFS(data!D:D,data!$I$2,data!F:F,"&lt;"&amp;B793)</f>
        <v>96</v>
      </c>
      <c r="G793">
        <f t="shared" si="84"/>
        <v>0.48962655601659749</v>
      </c>
      <c r="H793">
        <f t="shared" si="85"/>
        <v>0.8202247191011236</v>
      </c>
      <c r="I793">
        <f t="shared" si="86"/>
        <v>1.1344740236530024E-3</v>
      </c>
      <c r="J793">
        <f t="shared" si="87"/>
        <v>0.55303030303030298</v>
      </c>
      <c r="K793">
        <f t="shared" si="88"/>
        <v>0.66063348416289591</v>
      </c>
      <c r="L793">
        <f>A793*COUNTIF(data!D:D,data!$I$2)/data!$L$2</f>
        <v>336.45823389021479</v>
      </c>
      <c r="M793" s="1">
        <f>A793/data!$L$2</f>
        <v>0.63007159904534604</v>
      </c>
      <c r="N793">
        <f t="shared" si="89"/>
        <v>1.301796050391556</v>
      </c>
    </row>
    <row r="794" spans="1:14" x14ac:dyDescent="0.2">
      <c r="A794">
        <v>793</v>
      </c>
      <c r="B794">
        <f>LARGE(data!F:F,A794)</f>
        <v>0.32224514160000001</v>
      </c>
      <c r="C794">
        <f>COUNTIFS(data!D:D,data!$I$2,data!F:F,"&gt;="&amp;B794)</f>
        <v>439</v>
      </c>
      <c r="D794">
        <f>COUNTIFS(data!D:D,data!$J$2,data!F:F,"&gt;="&amp;B794)</f>
        <v>354</v>
      </c>
      <c r="E794">
        <f>COUNTIFS(data!D:D,data!$J$2,data!F:F,"&lt;"&amp;B794)</f>
        <v>369</v>
      </c>
      <c r="F794">
        <f>COUNTIFS(data!D:D,data!$I$2,data!F:F,"&lt;"&amp;B794)</f>
        <v>95</v>
      </c>
      <c r="G794">
        <f t="shared" si="84"/>
        <v>0.48962655601659749</v>
      </c>
      <c r="H794">
        <f t="shared" si="85"/>
        <v>0.82209737827715357</v>
      </c>
      <c r="I794">
        <f t="shared" si="86"/>
        <v>0</v>
      </c>
      <c r="J794">
        <f t="shared" si="87"/>
        <v>0.55359394703656994</v>
      </c>
      <c r="K794">
        <f t="shared" si="88"/>
        <v>0.66164280331574976</v>
      </c>
      <c r="L794">
        <f>A794*COUNTIF(data!D:D,data!$I$2)/data!$L$2</f>
        <v>336.88305489260142</v>
      </c>
      <c r="M794" s="1">
        <f>A794/data!$L$2</f>
        <v>0.63086714399363564</v>
      </c>
      <c r="N794">
        <f t="shared" si="89"/>
        <v>1.303122830383836</v>
      </c>
    </row>
    <row r="795" spans="1:14" x14ac:dyDescent="0.2">
      <c r="A795">
        <v>794</v>
      </c>
      <c r="B795">
        <f>LARGE(data!F:F,A795)</f>
        <v>0.32184136679999997</v>
      </c>
      <c r="C795">
        <f>COUNTIFS(data!D:D,data!$I$2,data!F:F,"&gt;="&amp;B795)</f>
        <v>439</v>
      </c>
      <c r="D795">
        <f>COUNTIFS(data!D:D,data!$J$2,data!F:F,"&gt;="&amp;B795)</f>
        <v>355</v>
      </c>
      <c r="E795">
        <f>COUNTIFS(data!D:D,data!$J$2,data!F:F,"&lt;"&amp;B795)</f>
        <v>368</v>
      </c>
      <c r="F795">
        <f>COUNTIFS(data!D:D,data!$I$2,data!F:F,"&lt;"&amp;B795)</f>
        <v>95</v>
      </c>
      <c r="G795">
        <f t="shared" ref="G795:G858" si="90">D795/(E795+D795)</f>
        <v>0.49100968188105115</v>
      </c>
      <c r="H795">
        <f t="shared" ref="H795:H858" si="91">C795/(C795+F795)</f>
        <v>0.82209737827715357</v>
      </c>
      <c r="I795">
        <f t="shared" ref="I795:I858" si="92">(G795-G794)*(H795+H794)*0.5</f>
        <v>1.1370641469946759E-3</v>
      </c>
      <c r="J795">
        <f t="shared" ref="J795:J858" si="93">C795/(C795+D795)</f>
        <v>0.55289672544080604</v>
      </c>
      <c r="K795">
        <f t="shared" ref="K795:K858" si="94">2*J795*H795/(J795+H795)</f>
        <v>0.66114457831325302</v>
      </c>
      <c r="L795">
        <f>A795*COUNTIF(data!D:D,data!$I$2)/data!$L$2</f>
        <v>337.30787589498806</v>
      </c>
      <c r="M795" s="1">
        <f>A795/data!$L$2</f>
        <v>0.63166268894192523</v>
      </c>
      <c r="N795">
        <f t="shared" ref="N795:N858" si="95">C795/L795</f>
        <v>1.3014816177511108</v>
      </c>
    </row>
    <row r="796" spans="1:14" x14ac:dyDescent="0.2">
      <c r="A796">
        <v>795</v>
      </c>
      <c r="B796">
        <f>LARGE(data!F:F,A796)</f>
        <v>0.32115011449999997</v>
      </c>
      <c r="C796">
        <f>COUNTIFS(data!D:D,data!$I$2,data!F:F,"&gt;="&amp;B796)</f>
        <v>440</v>
      </c>
      <c r="D796">
        <f>COUNTIFS(data!D:D,data!$J$2,data!F:F,"&gt;="&amp;B796)</f>
        <v>355</v>
      </c>
      <c r="E796">
        <f>COUNTIFS(data!D:D,data!$J$2,data!F:F,"&lt;"&amp;B796)</f>
        <v>368</v>
      </c>
      <c r="F796">
        <f>COUNTIFS(data!D:D,data!$I$2,data!F:F,"&lt;"&amp;B796)</f>
        <v>94</v>
      </c>
      <c r="G796">
        <f t="shared" si="90"/>
        <v>0.49100968188105115</v>
      </c>
      <c r="H796">
        <f t="shared" si="91"/>
        <v>0.82397003745318353</v>
      </c>
      <c r="I796">
        <f t="shared" si="92"/>
        <v>0</v>
      </c>
      <c r="J796">
        <f t="shared" si="93"/>
        <v>0.55345911949685533</v>
      </c>
      <c r="K796">
        <f t="shared" si="94"/>
        <v>0.66215199398043634</v>
      </c>
      <c r="L796">
        <f>A796*COUNTIF(data!D:D,data!$I$2)/data!$L$2</f>
        <v>337.73269689737469</v>
      </c>
      <c r="M796" s="1">
        <f>A796/data!$L$2</f>
        <v>0.63245823389021483</v>
      </c>
      <c r="N796">
        <f t="shared" si="95"/>
        <v>1.3028054554448449</v>
      </c>
    </row>
    <row r="797" spans="1:14" x14ac:dyDescent="0.2">
      <c r="A797">
        <v>796</v>
      </c>
      <c r="B797">
        <f>LARGE(data!F:F,A797)</f>
        <v>0.32076702219999997</v>
      </c>
      <c r="C797">
        <f>COUNTIFS(data!D:D,data!$I$2,data!F:F,"&gt;="&amp;B797)</f>
        <v>440</v>
      </c>
      <c r="D797">
        <f>COUNTIFS(data!D:D,data!$J$2,data!F:F,"&gt;="&amp;B797)</f>
        <v>356</v>
      </c>
      <c r="E797">
        <f>COUNTIFS(data!D:D,data!$J$2,data!F:F,"&lt;"&amp;B797)</f>
        <v>367</v>
      </c>
      <c r="F797">
        <f>COUNTIFS(data!D:D,data!$I$2,data!F:F,"&lt;"&amp;B797)</f>
        <v>94</v>
      </c>
      <c r="G797">
        <f t="shared" si="90"/>
        <v>0.49239280774550487</v>
      </c>
      <c r="H797">
        <f t="shared" si="91"/>
        <v>0.82397003745318353</v>
      </c>
      <c r="I797">
        <f t="shared" si="92"/>
        <v>1.1396542703363951E-3</v>
      </c>
      <c r="J797">
        <f t="shared" si="93"/>
        <v>0.55276381909547734</v>
      </c>
      <c r="K797">
        <f t="shared" si="94"/>
        <v>0.66165413533834583</v>
      </c>
      <c r="L797">
        <f>A797*COUNTIF(data!D:D,data!$I$2)/data!$L$2</f>
        <v>338.15751789976133</v>
      </c>
      <c r="M797" s="1">
        <f>A797/data!$L$2</f>
        <v>0.63325377883850442</v>
      </c>
      <c r="N797">
        <f t="shared" si="95"/>
        <v>1.3011687651741854</v>
      </c>
    </row>
    <row r="798" spans="1:14" x14ac:dyDescent="0.2">
      <c r="A798">
        <v>797</v>
      </c>
      <c r="B798">
        <f>LARGE(data!F:F,A798)</f>
        <v>0.32053658979999999</v>
      </c>
      <c r="C798">
        <f>COUNTIFS(data!D:D,data!$I$2,data!F:F,"&gt;="&amp;B798)</f>
        <v>440</v>
      </c>
      <c r="D798">
        <f>COUNTIFS(data!D:D,data!$J$2,data!F:F,"&gt;="&amp;B798)</f>
        <v>357</v>
      </c>
      <c r="E798">
        <f>COUNTIFS(data!D:D,data!$J$2,data!F:F,"&lt;"&amp;B798)</f>
        <v>366</v>
      </c>
      <c r="F798">
        <f>COUNTIFS(data!D:D,data!$I$2,data!F:F,"&lt;"&amp;B798)</f>
        <v>94</v>
      </c>
      <c r="G798">
        <f t="shared" si="90"/>
        <v>0.49377593360995853</v>
      </c>
      <c r="H798">
        <f t="shared" si="91"/>
        <v>0.82397003745318353</v>
      </c>
      <c r="I798">
        <f t="shared" si="92"/>
        <v>1.1396542703363494E-3</v>
      </c>
      <c r="J798">
        <f t="shared" si="93"/>
        <v>0.5520702634880803</v>
      </c>
      <c r="K798">
        <f t="shared" si="94"/>
        <v>0.66115702479338845</v>
      </c>
      <c r="L798">
        <f>A798*COUNTIF(data!D:D,data!$I$2)/data!$L$2</f>
        <v>338.58233890214797</v>
      </c>
      <c r="M798" s="1">
        <f>A798/data!$L$2</f>
        <v>0.63404932378679391</v>
      </c>
      <c r="N798">
        <f t="shared" si="95"/>
        <v>1.2995361820309306</v>
      </c>
    </row>
    <row r="799" spans="1:14" x14ac:dyDescent="0.2">
      <c r="A799">
        <v>798</v>
      </c>
      <c r="B799">
        <f>LARGE(data!F:F,A799)</f>
        <v>0.3198645296</v>
      </c>
      <c r="C799">
        <f>COUNTIFS(data!D:D,data!$I$2,data!F:F,"&gt;="&amp;B799)</f>
        <v>440</v>
      </c>
      <c r="D799">
        <f>COUNTIFS(data!D:D,data!$J$2,data!F:F,"&gt;="&amp;B799)</f>
        <v>358</v>
      </c>
      <c r="E799">
        <f>COUNTIFS(data!D:D,data!$J$2,data!F:F,"&lt;"&amp;B799)</f>
        <v>365</v>
      </c>
      <c r="F799">
        <f>COUNTIFS(data!D:D,data!$I$2,data!F:F,"&lt;"&amp;B799)</f>
        <v>94</v>
      </c>
      <c r="G799">
        <f t="shared" si="90"/>
        <v>0.49515905947441219</v>
      </c>
      <c r="H799">
        <f t="shared" si="91"/>
        <v>0.82397003745318353</v>
      </c>
      <c r="I799">
        <f t="shared" si="92"/>
        <v>1.1396542703363494E-3</v>
      </c>
      <c r="J799">
        <f t="shared" si="93"/>
        <v>0.55137844611528819</v>
      </c>
      <c r="K799">
        <f t="shared" si="94"/>
        <v>0.66066066066066065</v>
      </c>
      <c r="L799">
        <f>A799*COUNTIF(data!D:D,data!$I$2)/data!$L$2</f>
        <v>339.0071599045346</v>
      </c>
      <c r="M799" s="1">
        <f>A799/data!$L$2</f>
        <v>0.6348448687350835</v>
      </c>
      <c r="N799">
        <f t="shared" si="95"/>
        <v>1.2979076905747515</v>
      </c>
    </row>
    <row r="800" spans="1:14" x14ac:dyDescent="0.2">
      <c r="A800">
        <v>799</v>
      </c>
      <c r="B800">
        <f>LARGE(data!F:F,A800)</f>
        <v>0.31901770130000001</v>
      </c>
      <c r="C800">
        <f>COUNTIFS(data!D:D,data!$I$2,data!F:F,"&gt;="&amp;B800)</f>
        <v>442</v>
      </c>
      <c r="D800">
        <f>COUNTIFS(data!D:D,data!$J$2,data!F:F,"&gt;="&amp;B800)</f>
        <v>358</v>
      </c>
      <c r="E800">
        <f>COUNTIFS(data!D:D,data!$J$2,data!F:F,"&lt;"&amp;B800)</f>
        <v>365</v>
      </c>
      <c r="F800">
        <f>COUNTIFS(data!D:D,data!$I$2,data!F:F,"&lt;"&amp;B800)</f>
        <v>92</v>
      </c>
      <c r="G800">
        <f t="shared" si="90"/>
        <v>0.49515905947441219</v>
      </c>
      <c r="H800">
        <f t="shared" si="91"/>
        <v>0.82771535580524347</v>
      </c>
      <c r="I800">
        <f t="shared" si="92"/>
        <v>0</v>
      </c>
      <c r="J800">
        <f t="shared" si="93"/>
        <v>0.55249999999999999</v>
      </c>
      <c r="K800">
        <f t="shared" si="94"/>
        <v>0.66266866566716642</v>
      </c>
      <c r="L800">
        <f>A800*COUNTIF(data!D:D,data!$I$2)/data!$L$2</f>
        <v>339.43198090692124</v>
      </c>
      <c r="M800" s="1">
        <f>A800/data!$L$2</f>
        <v>0.6356404136833731</v>
      </c>
      <c r="N800">
        <f t="shared" si="95"/>
        <v>1.3021754721491752</v>
      </c>
    </row>
    <row r="801" spans="1:14" x14ac:dyDescent="0.2">
      <c r="A801">
        <v>800</v>
      </c>
      <c r="B801">
        <f>LARGE(data!F:F,A801)</f>
        <v>0.31901770130000001</v>
      </c>
      <c r="C801">
        <f>COUNTIFS(data!D:D,data!$I$2,data!F:F,"&gt;="&amp;B801)</f>
        <v>442</v>
      </c>
      <c r="D801">
        <f>COUNTIFS(data!D:D,data!$J$2,data!F:F,"&gt;="&amp;B801)</f>
        <v>358</v>
      </c>
      <c r="E801">
        <f>COUNTIFS(data!D:D,data!$J$2,data!F:F,"&lt;"&amp;B801)</f>
        <v>365</v>
      </c>
      <c r="F801">
        <f>COUNTIFS(data!D:D,data!$I$2,data!F:F,"&lt;"&amp;B801)</f>
        <v>92</v>
      </c>
      <c r="G801">
        <f t="shared" si="90"/>
        <v>0.49515905947441219</v>
      </c>
      <c r="H801">
        <f t="shared" si="91"/>
        <v>0.82771535580524347</v>
      </c>
      <c r="I801">
        <f t="shared" si="92"/>
        <v>0</v>
      </c>
      <c r="J801">
        <f t="shared" si="93"/>
        <v>0.55249999999999999</v>
      </c>
      <c r="K801">
        <f t="shared" si="94"/>
        <v>0.66266866566716642</v>
      </c>
      <c r="L801">
        <f>A801*COUNTIF(data!D:D,data!$I$2)/data!$L$2</f>
        <v>339.85680190930788</v>
      </c>
      <c r="M801" s="1">
        <f>A801/data!$L$2</f>
        <v>0.63643595863166269</v>
      </c>
      <c r="N801">
        <f t="shared" si="95"/>
        <v>1.3005477528089888</v>
      </c>
    </row>
    <row r="802" spans="1:14" x14ac:dyDescent="0.2">
      <c r="A802">
        <v>801</v>
      </c>
      <c r="B802">
        <f>LARGE(data!F:F,A802)</f>
        <v>0.3188445962</v>
      </c>
      <c r="C802">
        <f>COUNTIFS(data!D:D,data!$I$2,data!F:F,"&gt;="&amp;B802)</f>
        <v>442</v>
      </c>
      <c r="D802">
        <f>COUNTIFS(data!D:D,data!$J$2,data!F:F,"&gt;="&amp;B802)</f>
        <v>359</v>
      </c>
      <c r="E802">
        <f>COUNTIFS(data!D:D,data!$J$2,data!F:F,"&lt;"&amp;B802)</f>
        <v>364</v>
      </c>
      <c r="F802">
        <f>COUNTIFS(data!D:D,data!$I$2,data!F:F,"&lt;"&amp;B802)</f>
        <v>92</v>
      </c>
      <c r="G802">
        <f t="shared" si="90"/>
        <v>0.49654218533886585</v>
      </c>
      <c r="H802">
        <f t="shared" si="91"/>
        <v>0.82771535580524347</v>
      </c>
      <c r="I802">
        <f t="shared" si="92"/>
        <v>1.1448345170196965E-3</v>
      </c>
      <c r="J802">
        <f t="shared" si="93"/>
        <v>0.55181023720349565</v>
      </c>
      <c r="K802">
        <f t="shared" si="94"/>
        <v>0.66217228464419475</v>
      </c>
      <c r="L802">
        <f>A802*COUNTIF(data!D:D,data!$I$2)/data!$L$2</f>
        <v>340.28162291169451</v>
      </c>
      <c r="M802" s="1">
        <f>A802/data!$L$2</f>
        <v>0.63723150357995229</v>
      </c>
      <c r="N802">
        <f t="shared" si="95"/>
        <v>1.2989240976868801</v>
      </c>
    </row>
    <row r="803" spans="1:14" x14ac:dyDescent="0.2">
      <c r="A803">
        <v>802</v>
      </c>
      <c r="B803">
        <f>LARGE(data!F:F,A803)</f>
        <v>0.31799081530000001</v>
      </c>
      <c r="C803">
        <f>COUNTIFS(data!D:D,data!$I$2,data!F:F,"&gt;="&amp;B803)</f>
        <v>442</v>
      </c>
      <c r="D803">
        <f>COUNTIFS(data!D:D,data!$J$2,data!F:F,"&gt;="&amp;B803)</f>
        <v>360</v>
      </c>
      <c r="E803">
        <f>COUNTIFS(data!D:D,data!$J$2,data!F:F,"&lt;"&amp;B803)</f>
        <v>363</v>
      </c>
      <c r="F803">
        <f>COUNTIFS(data!D:D,data!$I$2,data!F:F,"&lt;"&amp;B803)</f>
        <v>92</v>
      </c>
      <c r="G803">
        <f t="shared" si="90"/>
        <v>0.49792531120331951</v>
      </c>
      <c r="H803">
        <f t="shared" si="91"/>
        <v>0.82771535580524347</v>
      </c>
      <c r="I803">
        <f t="shared" si="92"/>
        <v>1.1448345170196965E-3</v>
      </c>
      <c r="J803">
        <f t="shared" si="93"/>
        <v>0.55112219451371569</v>
      </c>
      <c r="K803">
        <f t="shared" si="94"/>
        <v>0.66167664670658677</v>
      </c>
      <c r="L803">
        <f>A803*COUNTIF(data!D:D,data!$I$2)/data!$L$2</f>
        <v>340.70644391408115</v>
      </c>
      <c r="M803" s="1">
        <f>A803/data!$L$2</f>
        <v>0.63802704852824188</v>
      </c>
      <c r="N803">
        <f t="shared" si="95"/>
        <v>1.2973044915800387</v>
      </c>
    </row>
    <row r="804" spans="1:14" x14ac:dyDescent="0.2">
      <c r="A804">
        <v>803</v>
      </c>
      <c r="B804">
        <f>LARGE(data!F:F,A804)</f>
        <v>0.31722422620000001</v>
      </c>
      <c r="C804">
        <f>COUNTIFS(data!D:D,data!$I$2,data!F:F,"&gt;="&amp;B804)</f>
        <v>442</v>
      </c>
      <c r="D804">
        <f>COUNTIFS(data!D:D,data!$J$2,data!F:F,"&gt;="&amp;B804)</f>
        <v>361</v>
      </c>
      <c r="E804">
        <f>COUNTIFS(data!D:D,data!$J$2,data!F:F,"&lt;"&amp;B804)</f>
        <v>362</v>
      </c>
      <c r="F804">
        <f>COUNTIFS(data!D:D,data!$I$2,data!F:F,"&lt;"&amp;B804)</f>
        <v>92</v>
      </c>
      <c r="G804">
        <f t="shared" si="90"/>
        <v>0.49930843706777317</v>
      </c>
      <c r="H804">
        <f t="shared" si="91"/>
        <v>0.82771535580524347</v>
      </c>
      <c r="I804">
        <f t="shared" si="92"/>
        <v>1.1448345170196965E-3</v>
      </c>
      <c r="J804">
        <f t="shared" si="93"/>
        <v>0.55043586550435863</v>
      </c>
      <c r="K804">
        <f t="shared" si="94"/>
        <v>0.66118175018698577</v>
      </c>
      <c r="L804">
        <f>A804*COUNTIF(data!D:D,data!$I$2)/data!$L$2</f>
        <v>341.13126491646779</v>
      </c>
      <c r="M804" s="1">
        <f>A804/data!$L$2</f>
        <v>0.63882259347653148</v>
      </c>
      <c r="N804">
        <f t="shared" si="95"/>
        <v>1.2956889193613836</v>
      </c>
    </row>
    <row r="805" spans="1:14" x14ac:dyDescent="0.2">
      <c r="A805">
        <v>804</v>
      </c>
      <c r="B805">
        <f>LARGE(data!F:F,A805)</f>
        <v>0.31634781140000001</v>
      </c>
      <c r="C805">
        <f>COUNTIFS(data!D:D,data!$I$2,data!F:F,"&gt;="&amp;B805)</f>
        <v>442</v>
      </c>
      <c r="D805">
        <f>COUNTIFS(data!D:D,data!$J$2,data!F:F,"&gt;="&amp;B805)</f>
        <v>362</v>
      </c>
      <c r="E805">
        <f>COUNTIFS(data!D:D,data!$J$2,data!F:F,"&lt;"&amp;B805)</f>
        <v>361</v>
      </c>
      <c r="F805">
        <f>COUNTIFS(data!D:D,data!$I$2,data!F:F,"&lt;"&amp;B805)</f>
        <v>92</v>
      </c>
      <c r="G805">
        <f t="shared" si="90"/>
        <v>0.50069156293222683</v>
      </c>
      <c r="H805">
        <f t="shared" si="91"/>
        <v>0.82771535580524347</v>
      </c>
      <c r="I805">
        <f t="shared" si="92"/>
        <v>1.1448345170196965E-3</v>
      </c>
      <c r="J805">
        <f t="shared" si="93"/>
        <v>0.54975124378109452</v>
      </c>
      <c r="K805">
        <f t="shared" si="94"/>
        <v>0.66068759342301941</v>
      </c>
      <c r="L805">
        <f>A805*COUNTIF(data!D:D,data!$I$2)/data!$L$2</f>
        <v>341.55608591885442</v>
      </c>
      <c r="M805" s="1">
        <f>A805/data!$L$2</f>
        <v>0.63961813842482096</v>
      </c>
      <c r="N805">
        <f t="shared" si="95"/>
        <v>1.2940773659790932</v>
      </c>
    </row>
    <row r="806" spans="1:14" x14ac:dyDescent="0.2">
      <c r="A806">
        <v>805</v>
      </c>
      <c r="B806">
        <f>LARGE(data!F:F,A806)</f>
        <v>0.3158643303</v>
      </c>
      <c r="C806">
        <f>COUNTIFS(data!D:D,data!$I$2,data!F:F,"&gt;="&amp;B806)</f>
        <v>443</v>
      </c>
      <c r="D806">
        <f>COUNTIFS(data!D:D,data!$J$2,data!F:F,"&gt;="&amp;B806)</f>
        <v>362</v>
      </c>
      <c r="E806">
        <f>COUNTIFS(data!D:D,data!$J$2,data!F:F,"&lt;"&amp;B806)</f>
        <v>361</v>
      </c>
      <c r="F806">
        <f>COUNTIFS(data!D:D,data!$I$2,data!F:F,"&lt;"&amp;B806)</f>
        <v>91</v>
      </c>
      <c r="G806">
        <f t="shared" si="90"/>
        <v>0.50069156293222683</v>
      </c>
      <c r="H806">
        <f t="shared" si="91"/>
        <v>0.82958801498127344</v>
      </c>
      <c r="I806">
        <f t="shared" si="92"/>
        <v>0</v>
      </c>
      <c r="J806">
        <f t="shared" si="93"/>
        <v>0.55031055900621118</v>
      </c>
      <c r="K806">
        <f t="shared" si="94"/>
        <v>0.6616878267363705</v>
      </c>
      <c r="L806">
        <f>A806*COUNTIF(data!D:D,data!$I$2)/data!$L$2</f>
        <v>341.98090692124106</v>
      </c>
      <c r="M806" s="1">
        <f>A806/data!$L$2</f>
        <v>0.64041368337311055</v>
      </c>
      <c r="N806">
        <f t="shared" si="95"/>
        <v>1.2953939563123735</v>
      </c>
    </row>
    <row r="807" spans="1:14" x14ac:dyDescent="0.2">
      <c r="A807">
        <v>806</v>
      </c>
      <c r="B807">
        <f>LARGE(data!F:F,A807)</f>
        <v>0.31576325360000002</v>
      </c>
      <c r="C807">
        <f>COUNTIFS(data!D:D,data!$I$2,data!F:F,"&gt;="&amp;B807)</f>
        <v>443</v>
      </c>
      <c r="D807">
        <f>COUNTIFS(data!D:D,data!$J$2,data!F:F,"&gt;="&amp;B807)</f>
        <v>363</v>
      </c>
      <c r="E807">
        <f>COUNTIFS(data!D:D,data!$J$2,data!F:F,"&lt;"&amp;B807)</f>
        <v>360</v>
      </c>
      <c r="F807">
        <f>COUNTIFS(data!D:D,data!$I$2,data!F:F,"&lt;"&amp;B807)</f>
        <v>91</v>
      </c>
      <c r="G807">
        <f t="shared" si="90"/>
        <v>0.50207468879668049</v>
      </c>
      <c r="H807">
        <f t="shared" si="91"/>
        <v>0.82958801498127344</v>
      </c>
      <c r="I807">
        <f t="shared" si="92"/>
        <v>1.14742464036137E-3</v>
      </c>
      <c r="J807">
        <f t="shared" si="93"/>
        <v>0.54962779156327546</v>
      </c>
      <c r="K807">
        <f t="shared" si="94"/>
        <v>0.66119402985074638</v>
      </c>
      <c r="L807">
        <f>A807*COUNTIF(data!D:D,data!$I$2)/data!$L$2</f>
        <v>342.40572792362769</v>
      </c>
      <c r="M807" s="1">
        <f>A807/data!$L$2</f>
        <v>0.64120922832140015</v>
      </c>
      <c r="N807">
        <f t="shared" si="95"/>
        <v>1.2937867677809685</v>
      </c>
    </row>
    <row r="808" spans="1:14" x14ac:dyDescent="0.2">
      <c r="A808">
        <v>807</v>
      </c>
      <c r="B808">
        <f>LARGE(data!F:F,A808)</f>
        <v>0.31544277710000002</v>
      </c>
      <c r="C808">
        <f>COUNTIFS(data!D:D,data!$I$2,data!F:F,"&gt;="&amp;B808)</f>
        <v>443</v>
      </c>
      <c r="D808">
        <f>COUNTIFS(data!D:D,data!$J$2,data!F:F,"&gt;="&amp;B808)</f>
        <v>364</v>
      </c>
      <c r="E808">
        <f>COUNTIFS(data!D:D,data!$J$2,data!F:F,"&lt;"&amp;B808)</f>
        <v>359</v>
      </c>
      <c r="F808">
        <f>COUNTIFS(data!D:D,data!$I$2,data!F:F,"&lt;"&amp;B808)</f>
        <v>91</v>
      </c>
      <c r="G808">
        <f t="shared" si="90"/>
        <v>0.50345781466113415</v>
      </c>
      <c r="H808">
        <f t="shared" si="91"/>
        <v>0.82958801498127344</v>
      </c>
      <c r="I808">
        <f t="shared" si="92"/>
        <v>1.14742464036137E-3</v>
      </c>
      <c r="J808">
        <f t="shared" si="93"/>
        <v>0.54894671623296154</v>
      </c>
      <c r="K808">
        <f t="shared" si="94"/>
        <v>0.66070096942580159</v>
      </c>
      <c r="L808">
        <f>A808*COUNTIF(data!D:D,data!$I$2)/data!$L$2</f>
        <v>342.83054892601433</v>
      </c>
      <c r="M808" s="1">
        <f>A808/data!$L$2</f>
        <v>0.64200477326968974</v>
      </c>
      <c r="N808">
        <f t="shared" si="95"/>
        <v>1.2921835623686007</v>
      </c>
    </row>
    <row r="809" spans="1:14" x14ac:dyDescent="0.2">
      <c r="A809">
        <v>808</v>
      </c>
      <c r="B809">
        <f>LARGE(data!F:F,A809)</f>
        <v>0.31531687079999998</v>
      </c>
      <c r="C809">
        <f>COUNTIFS(data!D:D,data!$I$2,data!F:F,"&gt;="&amp;B809)</f>
        <v>443</v>
      </c>
      <c r="D809">
        <f>COUNTIFS(data!D:D,data!$J$2,data!F:F,"&gt;="&amp;B809)</f>
        <v>365</v>
      </c>
      <c r="E809">
        <f>COUNTIFS(data!D:D,data!$J$2,data!F:F,"&lt;"&amp;B809)</f>
        <v>358</v>
      </c>
      <c r="F809">
        <f>COUNTIFS(data!D:D,data!$I$2,data!F:F,"&lt;"&amp;B809)</f>
        <v>91</v>
      </c>
      <c r="G809">
        <f t="shared" si="90"/>
        <v>0.50484094052558781</v>
      </c>
      <c r="H809">
        <f t="shared" si="91"/>
        <v>0.82958801498127344</v>
      </c>
      <c r="I809">
        <f t="shared" si="92"/>
        <v>1.14742464036137E-3</v>
      </c>
      <c r="J809">
        <f t="shared" si="93"/>
        <v>0.54826732673267331</v>
      </c>
      <c r="K809">
        <f t="shared" si="94"/>
        <v>0.66020864381520128</v>
      </c>
      <c r="L809">
        <f>A809*COUNTIF(data!D:D,data!$I$2)/data!$L$2</f>
        <v>343.25536992840097</v>
      </c>
      <c r="M809" s="1">
        <f>A809/data!$L$2</f>
        <v>0.64280031821797934</v>
      </c>
      <c r="N809">
        <f t="shared" si="95"/>
        <v>1.2905843252864613</v>
      </c>
    </row>
    <row r="810" spans="1:14" x14ac:dyDescent="0.2">
      <c r="A810">
        <v>809</v>
      </c>
      <c r="B810">
        <f>LARGE(data!F:F,A810)</f>
        <v>0.31521371349999999</v>
      </c>
      <c r="C810">
        <f>COUNTIFS(data!D:D,data!$I$2,data!F:F,"&gt;="&amp;B810)</f>
        <v>443</v>
      </c>
      <c r="D810">
        <f>COUNTIFS(data!D:D,data!$J$2,data!F:F,"&gt;="&amp;B810)</f>
        <v>366</v>
      </c>
      <c r="E810">
        <f>COUNTIFS(data!D:D,data!$J$2,data!F:F,"&lt;"&amp;B810)</f>
        <v>357</v>
      </c>
      <c r="F810">
        <f>COUNTIFS(data!D:D,data!$I$2,data!F:F,"&lt;"&amp;B810)</f>
        <v>91</v>
      </c>
      <c r="G810">
        <f t="shared" si="90"/>
        <v>0.50622406639004147</v>
      </c>
      <c r="H810">
        <f t="shared" si="91"/>
        <v>0.82958801498127344</v>
      </c>
      <c r="I810">
        <f t="shared" si="92"/>
        <v>1.14742464036137E-3</v>
      </c>
      <c r="J810">
        <f t="shared" si="93"/>
        <v>0.54758961681087759</v>
      </c>
      <c r="K810">
        <f t="shared" si="94"/>
        <v>0.65971705137751291</v>
      </c>
      <c r="L810">
        <f>A810*COUNTIF(data!D:D,data!$I$2)/data!$L$2</f>
        <v>343.6801909307876</v>
      </c>
      <c r="M810" s="1">
        <f>A810/data!$L$2</f>
        <v>0.64359586316626893</v>
      </c>
      <c r="N810">
        <f t="shared" si="95"/>
        <v>1.2889890418188636</v>
      </c>
    </row>
    <row r="811" spans="1:14" x14ac:dyDescent="0.2">
      <c r="A811">
        <v>810</v>
      </c>
      <c r="B811">
        <f>LARGE(data!F:F,A811)</f>
        <v>0.31482717999999998</v>
      </c>
      <c r="C811">
        <f>COUNTIFS(data!D:D,data!$I$2,data!F:F,"&gt;="&amp;B811)</f>
        <v>443</v>
      </c>
      <c r="D811">
        <f>COUNTIFS(data!D:D,data!$J$2,data!F:F,"&gt;="&amp;B811)</f>
        <v>367</v>
      </c>
      <c r="E811">
        <f>COUNTIFS(data!D:D,data!$J$2,data!F:F,"&lt;"&amp;B811)</f>
        <v>356</v>
      </c>
      <c r="F811">
        <f>COUNTIFS(data!D:D,data!$I$2,data!F:F,"&lt;"&amp;B811)</f>
        <v>91</v>
      </c>
      <c r="G811">
        <f t="shared" si="90"/>
        <v>0.50760719225449513</v>
      </c>
      <c r="H811">
        <f t="shared" si="91"/>
        <v>0.82958801498127344</v>
      </c>
      <c r="I811">
        <f t="shared" si="92"/>
        <v>1.14742464036137E-3</v>
      </c>
      <c r="J811">
        <f t="shared" si="93"/>
        <v>0.54691358024691361</v>
      </c>
      <c r="K811">
        <f t="shared" si="94"/>
        <v>0.65922619047619058</v>
      </c>
      <c r="L811">
        <f>A811*COUNTIF(data!D:D,data!$I$2)/data!$L$2</f>
        <v>344.10501193317424</v>
      </c>
      <c r="M811" s="1">
        <f>A811/data!$L$2</f>
        <v>0.64439140811455842</v>
      </c>
      <c r="N811">
        <f t="shared" si="95"/>
        <v>1.287397697322791</v>
      </c>
    </row>
    <row r="812" spans="1:14" x14ac:dyDescent="0.2">
      <c r="A812">
        <v>811</v>
      </c>
      <c r="B812">
        <f>LARGE(data!F:F,A812)</f>
        <v>0.31454181279999999</v>
      </c>
      <c r="C812">
        <f>COUNTIFS(data!D:D,data!$I$2,data!F:F,"&gt;="&amp;B812)</f>
        <v>443</v>
      </c>
      <c r="D812">
        <f>COUNTIFS(data!D:D,data!$J$2,data!F:F,"&gt;="&amp;B812)</f>
        <v>368</v>
      </c>
      <c r="E812">
        <f>COUNTIFS(data!D:D,data!$J$2,data!F:F,"&lt;"&amp;B812)</f>
        <v>355</v>
      </c>
      <c r="F812">
        <f>COUNTIFS(data!D:D,data!$I$2,data!F:F,"&lt;"&amp;B812)</f>
        <v>91</v>
      </c>
      <c r="G812">
        <f t="shared" si="90"/>
        <v>0.50899031811894879</v>
      </c>
      <c r="H812">
        <f t="shared" si="91"/>
        <v>0.82958801498127344</v>
      </c>
      <c r="I812">
        <f t="shared" si="92"/>
        <v>1.14742464036137E-3</v>
      </c>
      <c r="J812">
        <f t="shared" si="93"/>
        <v>0.54623921085080152</v>
      </c>
      <c r="K812">
        <f t="shared" si="94"/>
        <v>0.65873605947955394</v>
      </c>
      <c r="L812">
        <f>A812*COUNTIF(data!D:D,data!$I$2)/data!$L$2</f>
        <v>344.52983293556088</v>
      </c>
      <c r="M812" s="1">
        <f>A812/data!$L$2</f>
        <v>0.64518695306284801</v>
      </c>
      <c r="N812">
        <f t="shared" si="95"/>
        <v>1.2858102772274485</v>
      </c>
    </row>
    <row r="813" spans="1:14" x14ac:dyDescent="0.2">
      <c r="A813">
        <v>812</v>
      </c>
      <c r="B813">
        <f>LARGE(data!F:F,A813)</f>
        <v>0.31349007820000002</v>
      </c>
      <c r="C813">
        <f>COUNTIFS(data!D:D,data!$I$2,data!F:F,"&gt;="&amp;B813)</f>
        <v>445</v>
      </c>
      <c r="D813">
        <f>COUNTIFS(data!D:D,data!$J$2,data!F:F,"&gt;="&amp;B813)</f>
        <v>368</v>
      </c>
      <c r="E813">
        <f>COUNTIFS(data!D:D,data!$J$2,data!F:F,"&lt;"&amp;B813)</f>
        <v>355</v>
      </c>
      <c r="F813">
        <f>COUNTIFS(data!D:D,data!$I$2,data!F:F,"&lt;"&amp;B813)</f>
        <v>89</v>
      </c>
      <c r="G813">
        <f t="shared" si="90"/>
        <v>0.50899031811894879</v>
      </c>
      <c r="H813">
        <f t="shared" si="91"/>
        <v>0.83333333333333337</v>
      </c>
      <c r="I813">
        <f t="shared" si="92"/>
        <v>0</v>
      </c>
      <c r="J813">
        <f t="shared" si="93"/>
        <v>0.54735547355473557</v>
      </c>
      <c r="K813">
        <f t="shared" si="94"/>
        <v>0.6607275426874536</v>
      </c>
      <c r="L813">
        <f>A813*COUNTIF(data!D:D,data!$I$2)/data!$L$2</f>
        <v>344.95465393794751</v>
      </c>
      <c r="M813" s="1">
        <f>A813/data!$L$2</f>
        <v>0.64598249801113761</v>
      </c>
      <c r="N813">
        <f t="shared" si="95"/>
        <v>1.2900246305418719</v>
      </c>
    </row>
    <row r="814" spans="1:14" x14ac:dyDescent="0.2">
      <c r="A814">
        <v>813</v>
      </c>
      <c r="B814">
        <f>LARGE(data!F:F,A814)</f>
        <v>0.31349007820000002</v>
      </c>
      <c r="C814">
        <f>COUNTIFS(data!D:D,data!$I$2,data!F:F,"&gt;="&amp;B814)</f>
        <v>445</v>
      </c>
      <c r="D814">
        <f>COUNTIFS(data!D:D,data!$J$2,data!F:F,"&gt;="&amp;B814)</f>
        <v>368</v>
      </c>
      <c r="E814">
        <f>COUNTIFS(data!D:D,data!$J$2,data!F:F,"&lt;"&amp;B814)</f>
        <v>355</v>
      </c>
      <c r="F814">
        <f>COUNTIFS(data!D:D,data!$I$2,data!F:F,"&lt;"&amp;B814)</f>
        <v>89</v>
      </c>
      <c r="G814">
        <f t="shared" si="90"/>
        <v>0.50899031811894879</v>
      </c>
      <c r="H814">
        <f t="shared" si="91"/>
        <v>0.83333333333333337</v>
      </c>
      <c r="I814">
        <f t="shared" si="92"/>
        <v>0</v>
      </c>
      <c r="J814">
        <f t="shared" si="93"/>
        <v>0.54735547355473557</v>
      </c>
      <c r="K814">
        <f t="shared" si="94"/>
        <v>0.6607275426874536</v>
      </c>
      <c r="L814">
        <f>A814*COUNTIF(data!D:D,data!$I$2)/data!$L$2</f>
        <v>345.37947494033415</v>
      </c>
      <c r="M814" s="1">
        <f>A814/data!$L$2</f>
        <v>0.6467780429594272</v>
      </c>
      <c r="N814">
        <f t="shared" si="95"/>
        <v>1.2884378843788438</v>
      </c>
    </row>
    <row r="815" spans="1:14" x14ac:dyDescent="0.2">
      <c r="A815">
        <v>814</v>
      </c>
      <c r="B815">
        <f>LARGE(data!F:F,A815)</f>
        <v>0.31333782929999998</v>
      </c>
      <c r="C815">
        <f>COUNTIFS(data!D:D,data!$I$2,data!F:F,"&gt;="&amp;B815)</f>
        <v>445</v>
      </c>
      <c r="D815">
        <f>COUNTIFS(data!D:D,data!$J$2,data!F:F,"&gt;="&amp;B815)</f>
        <v>369</v>
      </c>
      <c r="E815">
        <f>COUNTIFS(data!D:D,data!$J$2,data!F:F,"&lt;"&amp;B815)</f>
        <v>354</v>
      </c>
      <c r="F815">
        <f>COUNTIFS(data!D:D,data!$I$2,data!F:F,"&lt;"&amp;B815)</f>
        <v>89</v>
      </c>
      <c r="G815">
        <f t="shared" si="90"/>
        <v>0.51037344398340245</v>
      </c>
      <c r="H815">
        <f t="shared" si="91"/>
        <v>0.83333333333333337</v>
      </c>
      <c r="I815">
        <f t="shared" si="92"/>
        <v>1.152604887044717E-3</v>
      </c>
      <c r="J815">
        <f t="shared" si="93"/>
        <v>0.54668304668304668</v>
      </c>
      <c r="K815">
        <f t="shared" si="94"/>
        <v>0.66023738872403559</v>
      </c>
      <c r="L815">
        <f>A815*COUNTIF(data!D:D,data!$I$2)/data!$L$2</f>
        <v>345.80429594272078</v>
      </c>
      <c r="M815" s="1">
        <f>A815/data!$L$2</f>
        <v>0.6475735879077168</v>
      </c>
      <c r="N815">
        <f t="shared" si="95"/>
        <v>1.2868550368550369</v>
      </c>
    </row>
    <row r="816" spans="1:14" x14ac:dyDescent="0.2">
      <c r="A816">
        <v>815</v>
      </c>
      <c r="B816">
        <f>LARGE(data!F:F,A816)</f>
        <v>0.31331387360000001</v>
      </c>
      <c r="C816">
        <f>COUNTIFS(data!D:D,data!$I$2,data!F:F,"&gt;="&amp;B816)</f>
        <v>445</v>
      </c>
      <c r="D816">
        <f>COUNTIFS(data!D:D,data!$J$2,data!F:F,"&gt;="&amp;B816)</f>
        <v>370</v>
      </c>
      <c r="E816">
        <f>COUNTIFS(data!D:D,data!$J$2,data!F:F,"&lt;"&amp;B816)</f>
        <v>353</v>
      </c>
      <c r="F816">
        <f>COUNTIFS(data!D:D,data!$I$2,data!F:F,"&lt;"&amp;B816)</f>
        <v>89</v>
      </c>
      <c r="G816">
        <f t="shared" si="90"/>
        <v>0.51175656984785611</v>
      </c>
      <c r="H816">
        <f t="shared" si="91"/>
        <v>0.83333333333333337</v>
      </c>
      <c r="I816">
        <f t="shared" si="92"/>
        <v>1.152604887044717E-3</v>
      </c>
      <c r="J816">
        <f t="shared" si="93"/>
        <v>0.54601226993865026</v>
      </c>
      <c r="K816">
        <f t="shared" si="94"/>
        <v>0.65974796145292802</v>
      </c>
      <c r="L816">
        <f>A816*COUNTIF(data!D:D,data!$I$2)/data!$L$2</f>
        <v>346.22911694510742</v>
      </c>
      <c r="M816" s="1">
        <f>A816/data!$L$2</f>
        <v>0.64836913285600639</v>
      </c>
      <c r="N816">
        <f t="shared" si="95"/>
        <v>1.2852760736196318</v>
      </c>
    </row>
    <row r="817" spans="1:14" x14ac:dyDescent="0.2">
      <c r="A817">
        <v>816</v>
      </c>
      <c r="B817">
        <f>LARGE(data!F:F,A817)</f>
        <v>0.31256853010000002</v>
      </c>
      <c r="C817">
        <f>COUNTIFS(data!D:D,data!$I$2,data!F:F,"&gt;="&amp;B817)</f>
        <v>445</v>
      </c>
      <c r="D817">
        <f>COUNTIFS(data!D:D,data!$J$2,data!F:F,"&gt;="&amp;B817)</f>
        <v>371</v>
      </c>
      <c r="E817">
        <f>COUNTIFS(data!D:D,data!$J$2,data!F:F,"&lt;"&amp;B817)</f>
        <v>352</v>
      </c>
      <c r="F817">
        <f>COUNTIFS(data!D:D,data!$I$2,data!F:F,"&lt;"&amp;B817)</f>
        <v>89</v>
      </c>
      <c r="G817">
        <f t="shared" si="90"/>
        <v>0.51313969571230977</v>
      </c>
      <c r="H817">
        <f t="shared" si="91"/>
        <v>0.83333333333333337</v>
      </c>
      <c r="I817">
        <f t="shared" si="92"/>
        <v>1.152604887044717E-3</v>
      </c>
      <c r="J817">
        <f t="shared" si="93"/>
        <v>0.54534313725490191</v>
      </c>
      <c r="K817">
        <f t="shared" si="94"/>
        <v>0.65925925925925921</v>
      </c>
      <c r="L817">
        <f>A817*COUNTIF(data!D:D,data!$I$2)/data!$L$2</f>
        <v>346.65393794749406</v>
      </c>
      <c r="M817" s="1">
        <f>A817/data!$L$2</f>
        <v>0.64916467780429599</v>
      </c>
      <c r="N817">
        <f t="shared" si="95"/>
        <v>1.2837009803921569</v>
      </c>
    </row>
    <row r="818" spans="1:14" x14ac:dyDescent="0.2">
      <c r="A818">
        <v>817</v>
      </c>
      <c r="B818">
        <f>LARGE(data!F:F,A818)</f>
        <v>0.31218173700000001</v>
      </c>
      <c r="C818">
        <f>COUNTIFS(data!D:D,data!$I$2,data!F:F,"&gt;="&amp;B818)</f>
        <v>445</v>
      </c>
      <c r="D818">
        <f>COUNTIFS(data!D:D,data!$J$2,data!F:F,"&gt;="&amp;B818)</f>
        <v>372</v>
      </c>
      <c r="E818">
        <f>COUNTIFS(data!D:D,data!$J$2,data!F:F,"&lt;"&amp;B818)</f>
        <v>351</v>
      </c>
      <c r="F818">
        <f>COUNTIFS(data!D:D,data!$I$2,data!F:F,"&lt;"&amp;B818)</f>
        <v>89</v>
      </c>
      <c r="G818">
        <f t="shared" si="90"/>
        <v>0.51452282157676343</v>
      </c>
      <c r="H818">
        <f t="shared" si="91"/>
        <v>0.83333333333333337</v>
      </c>
      <c r="I818">
        <f t="shared" si="92"/>
        <v>1.152604887044717E-3</v>
      </c>
      <c r="J818">
        <f t="shared" si="93"/>
        <v>0.54467564259485923</v>
      </c>
      <c r="K818">
        <f t="shared" si="94"/>
        <v>0.65877128053293854</v>
      </c>
      <c r="L818">
        <f>A818*COUNTIF(data!D:D,data!$I$2)/data!$L$2</f>
        <v>347.07875894988069</v>
      </c>
      <c r="M818" s="1">
        <f>A818/data!$L$2</f>
        <v>0.64996022275258547</v>
      </c>
      <c r="N818">
        <f t="shared" si="95"/>
        <v>1.2821297429620562</v>
      </c>
    </row>
    <row r="819" spans="1:14" x14ac:dyDescent="0.2">
      <c r="A819">
        <v>818</v>
      </c>
      <c r="B819">
        <f>LARGE(data!F:F,A819)</f>
        <v>0.31085303600000003</v>
      </c>
      <c r="C819">
        <f>COUNTIFS(data!D:D,data!$I$2,data!F:F,"&gt;="&amp;B819)</f>
        <v>445</v>
      </c>
      <c r="D819">
        <f>COUNTIFS(data!D:D,data!$J$2,data!F:F,"&gt;="&amp;B819)</f>
        <v>373</v>
      </c>
      <c r="E819">
        <f>COUNTIFS(data!D:D,data!$J$2,data!F:F,"&lt;"&amp;B819)</f>
        <v>350</v>
      </c>
      <c r="F819">
        <f>COUNTIFS(data!D:D,data!$I$2,data!F:F,"&lt;"&amp;B819)</f>
        <v>89</v>
      </c>
      <c r="G819">
        <f t="shared" si="90"/>
        <v>0.51590594744121721</v>
      </c>
      <c r="H819">
        <f t="shared" si="91"/>
        <v>0.83333333333333337</v>
      </c>
      <c r="I819">
        <f t="shared" si="92"/>
        <v>1.1526048870448096E-3</v>
      </c>
      <c r="J819">
        <f t="shared" si="93"/>
        <v>0.54400977995110023</v>
      </c>
      <c r="K819">
        <f t="shared" si="94"/>
        <v>0.65828402366863903</v>
      </c>
      <c r="L819">
        <f>A819*COUNTIF(data!D:D,data!$I$2)/data!$L$2</f>
        <v>347.50357995226733</v>
      </c>
      <c r="M819" s="1">
        <f>A819/data!$L$2</f>
        <v>0.65075576770087507</v>
      </c>
      <c r="N819">
        <f t="shared" si="95"/>
        <v>1.2805623471882639</v>
      </c>
    </row>
    <row r="820" spans="1:14" x14ac:dyDescent="0.2">
      <c r="A820">
        <v>819</v>
      </c>
      <c r="B820">
        <f>LARGE(data!F:F,A820)</f>
        <v>0.30981481319999998</v>
      </c>
      <c r="C820">
        <f>COUNTIFS(data!D:D,data!$I$2,data!F:F,"&gt;="&amp;B820)</f>
        <v>445</v>
      </c>
      <c r="D820">
        <f>COUNTIFS(data!D:D,data!$J$2,data!F:F,"&gt;="&amp;B820)</f>
        <v>374</v>
      </c>
      <c r="E820">
        <f>COUNTIFS(data!D:D,data!$J$2,data!F:F,"&lt;"&amp;B820)</f>
        <v>349</v>
      </c>
      <c r="F820">
        <f>COUNTIFS(data!D:D,data!$I$2,data!F:F,"&lt;"&amp;B820)</f>
        <v>89</v>
      </c>
      <c r="G820">
        <f t="shared" si="90"/>
        <v>0.51728907330567087</v>
      </c>
      <c r="H820">
        <f t="shared" si="91"/>
        <v>0.83333333333333337</v>
      </c>
      <c r="I820">
        <f t="shared" si="92"/>
        <v>1.152604887044717E-3</v>
      </c>
      <c r="J820">
        <f t="shared" si="93"/>
        <v>0.5433455433455433</v>
      </c>
      <c r="K820">
        <f t="shared" si="94"/>
        <v>0.65779748706577967</v>
      </c>
      <c r="L820">
        <f>A820*COUNTIF(data!D:D,data!$I$2)/data!$L$2</f>
        <v>347.92840095465391</v>
      </c>
      <c r="M820" s="1">
        <f>A820/data!$L$2</f>
        <v>0.65155131264916466</v>
      </c>
      <c r="N820">
        <f t="shared" si="95"/>
        <v>1.2789987789987791</v>
      </c>
    </row>
    <row r="821" spans="1:14" x14ac:dyDescent="0.2">
      <c r="A821">
        <v>820</v>
      </c>
      <c r="B821">
        <f>LARGE(data!F:F,A821)</f>
        <v>0.30936782439999999</v>
      </c>
      <c r="C821">
        <f>COUNTIFS(data!D:D,data!$I$2,data!F:F,"&gt;="&amp;B821)</f>
        <v>446</v>
      </c>
      <c r="D821">
        <f>COUNTIFS(data!D:D,data!$J$2,data!F:F,"&gt;="&amp;B821)</f>
        <v>374</v>
      </c>
      <c r="E821">
        <f>COUNTIFS(data!D:D,data!$J$2,data!F:F,"&lt;"&amp;B821)</f>
        <v>349</v>
      </c>
      <c r="F821">
        <f>COUNTIFS(data!D:D,data!$I$2,data!F:F,"&lt;"&amp;B821)</f>
        <v>88</v>
      </c>
      <c r="G821">
        <f t="shared" si="90"/>
        <v>0.51728907330567087</v>
      </c>
      <c r="H821">
        <f t="shared" si="91"/>
        <v>0.83520599250936334</v>
      </c>
      <c r="I821">
        <f t="shared" si="92"/>
        <v>0</v>
      </c>
      <c r="J821">
        <f t="shared" si="93"/>
        <v>0.54390243902439028</v>
      </c>
      <c r="K821">
        <f t="shared" si="94"/>
        <v>0.65878877400295421</v>
      </c>
      <c r="L821">
        <f>A821*COUNTIF(data!D:D,data!$I$2)/data!$L$2</f>
        <v>348.35322195704055</v>
      </c>
      <c r="M821" s="1">
        <f>A821/data!$L$2</f>
        <v>0.65234685759745425</v>
      </c>
      <c r="N821">
        <f t="shared" si="95"/>
        <v>1.2803096738832558</v>
      </c>
    </row>
    <row r="822" spans="1:14" x14ac:dyDescent="0.2">
      <c r="A822">
        <v>821</v>
      </c>
      <c r="B822">
        <f>LARGE(data!F:F,A822)</f>
        <v>0.30931212390000001</v>
      </c>
      <c r="C822">
        <f>COUNTIFS(data!D:D,data!$I$2,data!F:F,"&gt;="&amp;B822)</f>
        <v>446</v>
      </c>
      <c r="D822">
        <f>COUNTIFS(data!D:D,data!$J$2,data!F:F,"&gt;="&amp;B822)</f>
        <v>375</v>
      </c>
      <c r="E822">
        <f>COUNTIFS(data!D:D,data!$J$2,data!F:F,"&lt;"&amp;B822)</f>
        <v>348</v>
      </c>
      <c r="F822">
        <f>COUNTIFS(data!D:D,data!$I$2,data!F:F,"&lt;"&amp;B822)</f>
        <v>88</v>
      </c>
      <c r="G822">
        <f t="shared" si="90"/>
        <v>0.51867219917012453</v>
      </c>
      <c r="H822">
        <f t="shared" si="91"/>
        <v>0.83520599250936334</v>
      </c>
      <c r="I822">
        <f t="shared" si="92"/>
        <v>1.1551950103863905E-3</v>
      </c>
      <c r="J822">
        <f t="shared" si="93"/>
        <v>0.5432399512789281</v>
      </c>
      <c r="K822">
        <f t="shared" si="94"/>
        <v>0.65830258302583022</v>
      </c>
      <c r="L822">
        <f>A822*COUNTIF(data!D:D,data!$I$2)/data!$L$2</f>
        <v>348.77804295942718</v>
      </c>
      <c r="M822" s="1">
        <f>A822/data!$L$2</f>
        <v>0.65314240254574385</v>
      </c>
      <c r="N822">
        <f t="shared" si="95"/>
        <v>1.2787502223925331</v>
      </c>
    </row>
    <row r="823" spans="1:14" x14ac:dyDescent="0.2">
      <c r="A823">
        <v>822</v>
      </c>
      <c r="B823">
        <f>LARGE(data!F:F,A823)</f>
        <v>0.30929850409999998</v>
      </c>
      <c r="C823">
        <f>COUNTIFS(data!D:D,data!$I$2,data!F:F,"&gt;="&amp;B823)</f>
        <v>446</v>
      </c>
      <c r="D823">
        <f>COUNTIFS(data!D:D,data!$J$2,data!F:F,"&gt;="&amp;B823)</f>
        <v>376</v>
      </c>
      <c r="E823">
        <f>COUNTIFS(data!D:D,data!$J$2,data!F:F,"&lt;"&amp;B823)</f>
        <v>347</v>
      </c>
      <c r="F823">
        <f>COUNTIFS(data!D:D,data!$I$2,data!F:F,"&lt;"&amp;B823)</f>
        <v>88</v>
      </c>
      <c r="G823">
        <f t="shared" si="90"/>
        <v>0.52005532503457819</v>
      </c>
      <c r="H823">
        <f t="shared" si="91"/>
        <v>0.83520599250936334</v>
      </c>
      <c r="I823">
        <f t="shared" si="92"/>
        <v>1.1551950103863905E-3</v>
      </c>
      <c r="J823">
        <f t="shared" si="93"/>
        <v>0.54257907542579076</v>
      </c>
      <c r="K823">
        <f t="shared" si="94"/>
        <v>0.65781710914454272</v>
      </c>
      <c r="L823">
        <f>A823*COUNTIF(data!D:D,data!$I$2)/data!$L$2</f>
        <v>349.20286396181382</v>
      </c>
      <c r="M823" s="1">
        <f>A823/data!$L$2</f>
        <v>0.65393794749403344</v>
      </c>
      <c r="N823">
        <f t="shared" si="95"/>
        <v>1.2771945651876762</v>
      </c>
    </row>
    <row r="824" spans="1:14" x14ac:dyDescent="0.2">
      <c r="A824">
        <v>823</v>
      </c>
      <c r="B824">
        <f>LARGE(data!F:F,A824)</f>
        <v>0.30879861619999999</v>
      </c>
      <c r="C824">
        <f>COUNTIFS(data!D:D,data!$I$2,data!F:F,"&gt;="&amp;B824)</f>
        <v>448</v>
      </c>
      <c r="D824">
        <f>COUNTIFS(data!D:D,data!$J$2,data!F:F,"&gt;="&amp;B824)</f>
        <v>376</v>
      </c>
      <c r="E824">
        <f>COUNTIFS(data!D:D,data!$J$2,data!F:F,"&lt;"&amp;B824)</f>
        <v>347</v>
      </c>
      <c r="F824">
        <f>COUNTIFS(data!D:D,data!$I$2,data!F:F,"&lt;"&amp;B824)</f>
        <v>86</v>
      </c>
      <c r="G824">
        <f t="shared" si="90"/>
        <v>0.52005532503457819</v>
      </c>
      <c r="H824">
        <f t="shared" si="91"/>
        <v>0.83895131086142327</v>
      </c>
      <c r="I824">
        <f t="shared" si="92"/>
        <v>0</v>
      </c>
      <c r="J824">
        <f t="shared" si="93"/>
        <v>0.5436893203883495</v>
      </c>
      <c r="K824">
        <f t="shared" si="94"/>
        <v>0.65979381443298968</v>
      </c>
      <c r="L824">
        <f>A824*COUNTIF(data!D:D,data!$I$2)/data!$L$2</f>
        <v>349.62768496420045</v>
      </c>
      <c r="M824" s="1">
        <f>A824/data!$L$2</f>
        <v>0.65473349244232304</v>
      </c>
      <c r="N824">
        <f t="shared" si="95"/>
        <v>1.281363059237921</v>
      </c>
    </row>
    <row r="825" spans="1:14" x14ac:dyDescent="0.2">
      <c r="A825">
        <v>824</v>
      </c>
      <c r="B825">
        <f>LARGE(data!F:F,A825)</f>
        <v>0.30879861619999999</v>
      </c>
      <c r="C825">
        <f>COUNTIFS(data!D:D,data!$I$2,data!F:F,"&gt;="&amp;B825)</f>
        <v>448</v>
      </c>
      <c r="D825">
        <f>COUNTIFS(data!D:D,data!$J$2,data!F:F,"&gt;="&amp;B825)</f>
        <v>376</v>
      </c>
      <c r="E825">
        <f>COUNTIFS(data!D:D,data!$J$2,data!F:F,"&lt;"&amp;B825)</f>
        <v>347</v>
      </c>
      <c r="F825">
        <f>COUNTIFS(data!D:D,data!$I$2,data!F:F,"&lt;"&amp;B825)</f>
        <v>86</v>
      </c>
      <c r="G825">
        <f t="shared" si="90"/>
        <v>0.52005532503457819</v>
      </c>
      <c r="H825">
        <f t="shared" si="91"/>
        <v>0.83895131086142327</v>
      </c>
      <c r="I825">
        <f t="shared" si="92"/>
        <v>0</v>
      </c>
      <c r="J825">
        <f t="shared" si="93"/>
        <v>0.5436893203883495</v>
      </c>
      <c r="K825">
        <f t="shared" si="94"/>
        <v>0.65979381443298968</v>
      </c>
      <c r="L825">
        <f>A825*COUNTIF(data!D:D,data!$I$2)/data!$L$2</f>
        <v>350.05250596658709</v>
      </c>
      <c r="M825" s="1">
        <f>A825/data!$L$2</f>
        <v>0.65552903739061252</v>
      </c>
      <c r="N825">
        <f t="shared" si="95"/>
        <v>1.2798080069815643</v>
      </c>
    </row>
    <row r="826" spans="1:14" x14ac:dyDescent="0.2">
      <c r="A826">
        <v>825</v>
      </c>
      <c r="B826">
        <f>LARGE(data!F:F,A826)</f>
        <v>0.30851601080000002</v>
      </c>
      <c r="C826">
        <f>COUNTIFS(data!D:D,data!$I$2,data!F:F,"&gt;="&amp;B826)</f>
        <v>448</v>
      </c>
      <c r="D826">
        <f>COUNTIFS(data!D:D,data!$J$2,data!F:F,"&gt;="&amp;B826)</f>
        <v>377</v>
      </c>
      <c r="E826">
        <f>COUNTIFS(data!D:D,data!$J$2,data!F:F,"&lt;"&amp;B826)</f>
        <v>346</v>
      </c>
      <c r="F826">
        <f>COUNTIFS(data!D:D,data!$I$2,data!F:F,"&lt;"&amp;B826)</f>
        <v>86</v>
      </c>
      <c r="G826">
        <f t="shared" si="90"/>
        <v>0.52143845089903185</v>
      </c>
      <c r="H826">
        <f t="shared" si="91"/>
        <v>0.83895131086142327</v>
      </c>
      <c r="I826">
        <f t="shared" si="92"/>
        <v>1.1603752570697376E-3</v>
      </c>
      <c r="J826">
        <f t="shared" si="93"/>
        <v>0.54303030303030309</v>
      </c>
      <c r="K826">
        <f t="shared" si="94"/>
        <v>0.65930831493745401</v>
      </c>
      <c r="L826">
        <f>A826*COUNTIF(data!D:D,data!$I$2)/data!$L$2</f>
        <v>350.47732696897373</v>
      </c>
      <c r="M826" s="1">
        <f>A826/data!$L$2</f>
        <v>0.65632458233890212</v>
      </c>
      <c r="N826">
        <f t="shared" si="95"/>
        <v>1.2782567245488594</v>
      </c>
    </row>
    <row r="827" spans="1:14" x14ac:dyDescent="0.2">
      <c r="A827">
        <v>826</v>
      </c>
      <c r="B827">
        <f>LARGE(data!F:F,A827)</f>
        <v>0.3068564204</v>
      </c>
      <c r="C827">
        <f>COUNTIFS(data!D:D,data!$I$2,data!F:F,"&gt;="&amp;B827)</f>
        <v>451</v>
      </c>
      <c r="D827">
        <f>COUNTIFS(data!D:D,data!$J$2,data!F:F,"&gt;="&amp;B827)</f>
        <v>377</v>
      </c>
      <c r="E827">
        <f>COUNTIFS(data!D:D,data!$J$2,data!F:F,"&lt;"&amp;B827)</f>
        <v>346</v>
      </c>
      <c r="F827">
        <f>COUNTIFS(data!D:D,data!$I$2,data!F:F,"&lt;"&amp;B827)</f>
        <v>83</v>
      </c>
      <c r="G827">
        <f t="shared" si="90"/>
        <v>0.52143845089903185</v>
      </c>
      <c r="H827">
        <f t="shared" si="91"/>
        <v>0.84456928838951306</v>
      </c>
      <c r="I827">
        <f t="shared" si="92"/>
        <v>0</v>
      </c>
      <c r="J827">
        <f t="shared" si="93"/>
        <v>0.54468599033816423</v>
      </c>
      <c r="K827">
        <f t="shared" si="94"/>
        <v>0.66226138032305426</v>
      </c>
      <c r="L827">
        <f>A827*COUNTIF(data!D:D,data!$I$2)/data!$L$2</f>
        <v>350.90214797136036</v>
      </c>
      <c r="M827" s="1">
        <f>A827/data!$L$2</f>
        <v>0.65712012728719171</v>
      </c>
      <c r="N827">
        <f t="shared" si="95"/>
        <v>1.285258590200506</v>
      </c>
    </row>
    <row r="828" spans="1:14" x14ac:dyDescent="0.2">
      <c r="A828">
        <v>827</v>
      </c>
      <c r="B828">
        <f>LARGE(data!F:F,A828)</f>
        <v>0.3068564204</v>
      </c>
      <c r="C828">
        <f>COUNTIFS(data!D:D,data!$I$2,data!F:F,"&gt;="&amp;B828)</f>
        <v>451</v>
      </c>
      <c r="D828">
        <f>COUNTIFS(data!D:D,data!$J$2,data!F:F,"&gt;="&amp;B828)</f>
        <v>377</v>
      </c>
      <c r="E828">
        <f>COUNTIFS(data!D:D,data!$J$2,data!F:F,"&lt;"&amp;B828)</f>
        <v>346</v>
      </c>
      <c r="F828">
        <f>COUNTIFS(data!D:D,data!$I$2,data!F:F,"&lt;"&amp;B828)</f>
        <v>83</v>
      </c>
      <c r="G828">
        <f t="shared" si="90"/>
        <v>0.52143845089903185</v>
      </c>
      <c r="H828">
        <f t="shared" si="91"/>
        <v>0.84456928838951306</v>
      </c>
      <c r="I828">
        <f t="shared" si="92"/>
        <v>0</v>
      </c>
      <c r="J828">
        <f t="shared" si="93"/>
        <v>0.54468599033816423</v>
      </c>
      <c r="K828">
        <f t="shared" si="94"/>
        <v>0.66226138032305426</v>
      </c>
      <c r="L828">
        <f>A828*COUNTIF(data!D:D,data!$I$2)/data!$L$2</f>
        <v>351.326968973747</v>
      </c>
      <c r="M828" s="1">
        <f>A828/data!$L$2</f>
        <v>0.65791567223548131</v>
      </c>
      <c r="N828">
        <f t="shared" si="95"/>
        <v>1.2837044685678574</v>
      </c>
    </row>
    <row r="829" spans="1:14" x14ac:dyDescent="0.2">
      <c r="A829">
        <v>828</v>
      </c>
      <c r="B829">
        <f>LARGE(data!F:F,A829)</f>
        <v>0.3068564204</v>
      </c>
      <c r="C829">
        <f>COUNTIFS(data!D:D,data!$I$2,data!F:F,"&gt;="&amp;B829)</f>
        <v>451</v>
      </c>
      <c r="D829">
        <f>COUNTIFS(data!D:D,data!$J$2,data!F:F,"&gt;="&amp;B829)</f>
        <v>377</v>
      </c>
      <c r="E829">
        <f>COUNTIFS(data!D:D,data!$J$2,data!F:F,"&lt;"&amp;B829)</f>
        <v>346</v>
      </c>
      <c r="F829">
        <f>COUNTIFS(data!D:D,data!$I$2,data!F:F,"&lt;"&amp;B829)</f>
        <v>83</v>
      </c>
      <c r="G829">
        <f t="shared" si="90"/>
        <v>0.52143845089903185</v>
      </c>
      <c r="H829">
        <f t="shared" si="91"/>
        <v>0.84456928838951306</v>
      </c>
      <c r="I829">
        <f t="shared" si="92"/>
        <v>0</v>
      </c>
      <c r="J829">
        <f t="shared" si="93"/>
        <v>0.54468599033816423</v>
      </c>
      <c r="K829">
        <f t="shared" si="94"/>
        <v>0.66226138032305426</v>
      </c>
      <c r="L829">
        <f>A829*COUNTIF(data!D:D,data!$I$2)/data!$L$2</f>
        <v>351.75178997613364</v>
      </c>
      <c r="M829" s="1">
        <f>A829/data!$L$2</f>
        <v>0.6587112171837709</v>
      </c>
      <c r="N829">
        <f t="shared" si="95"/>
        <v>1.2821541008521957</v>
      </c>
    </row>
    <row r="830" spans="1:14" x14ac:dyDescent="0.2">
      <c r="A830">
        <v>829</v>
      </c>
      <c r="B830">
        <f>LARGE(data!F:F,A830)</f>
        <v>0.30592173659999999</v>
      </c>
      <c r="C830">
        <f>COUNTIFS(data!D:D,data!$I$2,data!F:F,"&gt;="&amp;B830)</f>
        <v>451</v>
      </c>
      <c r="D830">
        <f>COUNTIFS(data!D:D,data!$J$2,data!F:F,"&gt;="&amp;B830)</f>
        <v>378</v>
      </c>
      <c r="E830">
        <f>COUNTIFS(data!D:D,data!$J$2,data!F:F,"&lt;"&amp;B830)</f>
        <v>345</v>
      </c>
      <c r="F830">
        <f>COUNTIFS(data!D:D,data!$I$2,data!F:F,"&lt;"&amp;B830)</f>
        <v>83</v>
      </c>
      <c r="G830">
        <f t="shared" si="90"/>
        <v>0.52282157676348551</v>
      </c>
      <c r="H830">
        <f t="shared" si="91"/>
        <v>0.84456928838951306</v>
      </c>
      <c r="I830">
        <f t="shared" si="92"/>
        <v>1.1681456270947581E-3</v>
      </c>
      <c r="J830">
        <f t="shared" si="93"/>
        <v>0.54402895054282263</v>
      </c>
      <c r="K830">
        <f t="shared" si="94"/>
        <v>0.66177549523110779</v>
      </c>
      <c r="L830">
        <f>A830*COUNTIF(data!D:D,data!$I$2)/data!$L$2</f>
        <v>352.17661097852027</v>
      </c>
      <c r="M830" s="1">
        <f>A830/data!$L$2</f>
        <v>0.6595067621320605</v>
      </c>
      <c r="N830">
        <f t="shared" si="95"/>
        <v>1.2806074734687793</v>
      </c>
    </row>
    <row r="831" spans="1:14" x14ac:dyDescent="0.2">
      <c r="A831">
        <v>830</v>
      </c>
      <c r="B831">
        <f>LARGE(data!F:F,A831)</f>
        <v>0.30435861409999998</v>
      </c>
      <c r="C831">
        <f>COUNTIFS(data!D:D,data!$I$2,data!F:F,"&gt;="&amp;B831)</f>
        <v>451</v>
      </c>
      <c r="D831">
        <f>COUNTIFS(data!D:D,data!$J$2,data!F:F,"&gt;="&amp;B831)</f>
        <v>379</v>
      </c>
      <c r="E831">
        <f>COUNTIFS(data!D:D,data!$J$2,data!F:F,"&lt;"&amp;B831)</f>
        <v>344</v>
      </c>
      <c r="F831">
        <f>COUNTIFS(data!D:D,data!$I$2,data!F:F,"&lt;"&amp;B831)</f>
        <v>83</v>
      </c>
      <c r="G831">
        <f t="shared" si="90"/>
        <v>0.52420470262793917</v>
      </c>
      <c r="H831">
        <f t="shared" si="91"/>
        <v>0.84456928838951306</v>
      </c>
      <c r="I831">
        <f t="shared" si="92"/>
        <v>1.1681456270947581E-3</v>
      </c>
      <c r="J831">
        <f t="shared" si="93"/>
        <v>0.54337349397590362</v>
      </c>
      <c r="K831">
        <f t="shared" si="94"/>
        <v>0.66129032258064513</v>
      </c>
      <c r="L831">
        <f>A831*COUNTIF(data!D:D,data!$I$2)/data!$L$2</f>
        <v>352.60143198090691</v>
      </c>
      <c r="M831" s="1">
        <f>A831/data!$L$2</f>
        <v>0.66030230708035009</v>
      </c>
      <c r="N831">
        <f t="shared" si="95"/>
        <v>1.279064572898335</v>
      </c>
    </row>
    <row r="832" spans="1:14" x14ac:dyDescent="0.2">
      <c r="A832">
        <v>831</v>
      </c>
      <c r="B832">
        <f>LARGE(data!F:F,A832)</f>
        <v>0.30368205619999999</v>
      </c>
      <c r="C832">
        <f>COUNTIFS(data!D:D,data!$I$2,data!F:F,"&gt;="&amp;B832)</f>
        <v>451</v>
      </c>
      <c r="D832">
        <f>COUNTIFS(data!D:D,data!$J$2,data!F:F,"&gt;="&amp;B832)</f>
        <v>380</v>
      </c>
      <c r="E832">
        <f>COUNTIFS(data!D:D,data!$J$2,data!F:F,"&lt;"&amp;B832)</f>
        <v>343</v>
      </c>
      <c r="F832">
        <f>COUNTIFS(data!D:D,data!$I$2,data!F:F,"&lt;"&amp;B832)</f>
        <v>83</v>
      </c>
      <c r="G832">
        <f t="shared" si="90"/>
        <v>0.52558782849239283</v>
      </c>
      <c r="H832">
        <f t="shared" si="91"/>
        <v>0.84456928838951306</v>
      </c>
      <c r="I832">
        <f t="shared" si="92"/>
        <v>1.1681456270947581E-3</v>
      </c>
      <c r="J832">
        <f t="shared" si="93"/>
        <v>0.542719614921781</v>
      </c>
      <c r="K832">
        <f t="shared" si="94"/>
        <v>0.66080586080586079</v>
      </c>
      <c r="L832">
        <f>A832*COUNTIF(data!D:D,data!$I$2)/data!$L$2</f>
        <v>353.02625298329355</v>
      </c>
      <c r="M832" s="1">
        <f>A832/data!$L$2</f>
        <v>0.66109785202863958</v>
      </c>
      <c r="N832">
        <f t="shared" si="95"/>
        <v>1.2775253856866642</v>
      </c>
    </row>
    <row r="833" spans="1:14" x14ac:dyDescent="0.2">
      <c r="A833">
        <v>832</v>
      </c>
      <c r="B833">
        <f>LARGE(data!F:F,A833)</f>
        <v>0.3027828286</v>
      </c>
      <c r="C833">
        <f>COUNTIFS(data!D:D,data!$I$2,data!F:F,"&gt;="&amp;B833)</f>
        <v>454</v>
      </c>
      <c r="D833">
        <f>COUNTIFS(data!D:D,data!$J$2,data!F:F,"&gt;="&amp;B833)</f>
        <v>380</v>
      </c>
      <c r="E833">
        <f>COUNTIFS(data!D:D,data!$J$2,data!F:F,"&lt;"&amp;B833)</f>
        <v>343</v>
      </c>
      <c r="F833">
        <f>COUNTIFS(data!D:D,data!$I$2,data!F:F,"&lt;"&amp;B833)</f>
        <v>80</v>
      </c>
      <c r="G833">
        <f t="shared" si="90"/>
        <v>0.52558782849239283</v>
      </c>
      <c r="H833">
        <f t="shared" si="91"/>
        <v>0.85018726591760296</v>
      </c>
      <c r="I833">
        <f t="shared" si="92"/>
        <v>0</v>
      </c>
      <c r="J833">
        <f t="shared" si="93"/>
        <v>0.54436450839328532</v>
      </c>
      <c r="K833">
        <f t="shared" si="94"/>
        <v>0.66374269005847952</v>
      </c>
      <c r="L833">
        <f>A833*COUNTIF(data!D:D,data!$I$2)/data!$L$2</f>
        <v>353.45107398568018</v>
      </c>
      <c r="M833" s="1">
        <f>A833/data!$L$2</f>
        <v>0.66189339697692917</v>
      </c>
      <c r="N833">
        <f t="shared" si="95"/>
        <v>1.2844776361279171</v>
      </c>
    </row>
    <row r="834" spans="1:14" x14ac:dyDescent="0.2">
      <c r="A834">
        <v>833</v>
      </c>
      <c r="B834">
        <f>LARGE(data!F:F,A834)</f>
        <v>0.3027828286</v>
      </c>
      <c r="C834">
        <f>COUNTIFS(data!D:D,data!$I$2,data!F:F,"&gt;="&amp;B834)</f>
        <v>454</v>
      </c>
      <c r="D834">
        <f>COUNTIFS(data!D:D,data!$J$2,data!F:F,"&gt;="&amp;B834)</f>
        <v>380</v>
      </c>
      <c r="E834">
        <f>COUNTIFS(data!D:D,data!$J$2,data!F:F,"&lt;"&amp;B834)</f>
        <v>343</v>
      </c>
      <c r="F834">
        <f>COUNTIFS(data!D:D,data!$I$2,data!F:F,"&lt;"&amp;B834)</f>
        <v>80</v>
      </c>
      <c r="G834">
        <f t="shared" si="90"/>
        <v>0.52558782849239283</v>
      </c>
      <c r="H834">
        <f t="shared" si="91"/>
        <v>0.85018726591760296</v>
      </c>
      <c r="I834">
        <f t="shared" si="92"/>
        <v>0</v>
      </c>
      <c r="J834">
        <f t="shared" si="93"/>
        <v>0.54436450839328532</v>
      </c>
      <c r="K834">
        <f t="shared" si="94"/>
        <v>0.66374269005847952</v>
      </c>
      <c r="L834">
        <f>A834*COUNTIF(data!D:D,data!$I$2)/data!$L$2</f>
        <v>353.87589498806682</v>
      </c>
      <c r="M834" s="1">
        <f>A834/data!$L$2</f>
        <v>0.66268894192521877</v>
      </c>
      <c r="N834">
        <f t="shared" si="95"/>
        <v>1.2829356461685799</v>
      </c>
    </row>
    <row r="835" spans="1:14" x14ac:dyDescent="0.2">
      <c r="A835">
        <v>834</v>
      </c>
      <c r="B835">
        <f>LARGE(data!F:F,A835)</f>
        <v>0.3027828286</v>
      </c>
      <c r="C835">
        <f>COUNTIFS(data!D:D,data!$I$2,data!F:F,"&gt;="&amp;B835)</f>
        <v>454</v>
      </c>
      <c r="D835">
        <f>COUNTIFS(data!D:D,data!$J$2,data!F:F,"&gt;="&amp;B835)</f>
        <v>380</v>
      </c>
      <c r="E835">
        <f>COUNTIFS(data!D:D,data!$J$2,data!F:F,"&lt;"&amp;B835)</f>
        <v>343</v>
      </c>
      <c r="F835">
        <f>COUNTIFS(data!D:D,data!$I$2,data!F:F,"&lt;"&amp;B835)</f>
        <v>80</v>
      </c>
      <c r="G835">
        <f t="shared" si="90"/>
        <v>0.52558782849239283</v>
      </c>
      <c r="H835">
        <f t="shared" si="91"/>
        <v>0.85018726591760296</v>
      </c>
      <c r="I835">
        <f t="shared" si="92"/>
        <v>0</v>
      </c>
      <c r="J835">
        <f t="shared" si="93"/>
        <v>0.54436450839328532</v>
      </c>
      <c r="K835">
        <f t="shared" si="94"/>
        <v>0.66374269005847952</v>
      </c>
      <c r="L835">
        <f>A835*COUNTIF(data!D:D,data!$I$2)/data!$L$2</f>
        <v>354.30071599045345</v>
      </c>
      <c r="M835" s="1">
        <f>A835/data!$L$2</f>
        <v>0.66348448687350836</v>
      </c>
      <c r="N835">
        <f t="shared" si="95"/>
        <v>1.2813973540268908</v>
      </c>
    </row>
    <row r="836" spans="1:14" x14ac:dyDescent="0.2">
      <c r="A836">
        <v>835</v>
      </c>
      <c r="B836">
        <f>LARGE(data!F:F,A836)</f>
        <v>0.30222935280000002</v>
      </c>
      <c r="C836">
        <f>COUNTIFS(data!D:D,data!$I$2,data!F:F,"&gt;="&amp;B836)</f>
        <v>455</v>
      </c>
      <c r="D836">
        <f>COUNTIFS(data!D:D,data!$J$2,data!F:F,"&gt;="&amp;B836)</f>
        <v>380</v>
      </c>
      <c r="E836">
        <f>COUNTIFS(data!D:D,data!$J$2,data!F:F,"&lt;"&amp;B836)</f>
        <v>343</v>
      </c>
      <c r="F836">
        <f>COUNTIFS(data!D:D,data!$I$2,data!F:F,"&lt;"&amp;B836)</f>
        <v>79</v>
      </c>
      <c r="G836">
        <f t="shared" si="90"/>
        <v>0.52558782849239283</v>
      </c>
      <c r="H836">
        <f t="shared" si="91"/>
        <v>0.85205992509363293</v>
      </c>
      <c r="I836">
        <f t="shared" si="92"/>
        <v>0</v>
      </c>
      <c r="J836">
        <f t="shared" si="93"/>
        <v>0.54491017964071853</v>
      </c>
      <c r="K836">
        <f t="shared" si="94"/>
        <v>0.66471877282688097</v>
      </c>
      <c r="L836">
        <f>A836*COUNTIF(data!D:D,data!$I$2)/data!$L$2</f>
        <v>354.72553699284009</v>
      </c>
      <c r="M836" s="1">
        <f>A836/data!$L$2</f>
        <v>0.66428003182179796</v>
      </c>
      <c r="N836">
        <f t="shared" si="95"/>
        <v>1.282681827356523</v>
      </c>
    </row>
    <row r="837" spans="1:14" x14ac:dyDescent="0.2">
      <c r="A837">
        <v>836</v>
      </c>
      <c r="B837">
        <f>LARGE(data!F:F,A837)</f>
        <v>0.3013969588</v>
      </c>
      <c r="C837">
        <f>COUNTIFS(data!D:D,data!$I$2,data!F:F,"&gt;="&amp;B837)</f>
        <v>457</v>
      </c>
      <c r="D837">
        <f>COUNTIFS(data!D:D,data!$J$2,data!F:F,"&gt;="&amp;B837)</f>
        <v>380</v>
      </c>
      <c r="E837">
        <f>COUNTIFS(data!D:D,data!$J$2,data!F:F,"&lt;"&amp;B837)</f>
        <v>343</v>
      </c>
      <c r="F837">
        <f>COUNTIFS(data!D:D,data!$I$2,data!F:F,"&lt;"&amp;B837)</f>
        <v>77</v>
      </c>
      <c r="G837">
        <f t="shared" si="90"/>
        <v>0.52558782849239283</v>
      </c>
      <c r="H837">
        <f t="shared" si="91"/>
        <v>0.85580524344569286</v>
      </c>
      <c r="I837">
        <f t="shared" si="92"/>
        <v>0</v>
      </c>
      <c r="J837">
        <f t="shared" si="93"/>
        <v>0.54599761051373952</v>
      </c>
      <c r="K837">
        <f t="shared" si="94"/>
        <v>0.66666666666666652</v>
      </c>
      <c r="L837">
        <f>A837*COUNTIF(data!D:D,data!$I$2)/data!$L$2</f>
        <v>355.15035799522673</v>
      </c>
      <c r="M837" s="1">
        <f>A837/data!$L$2</f>
        <v>0.66507557677008755</v>
      </c>
      <c r="N837">
        <f t="shared" si="95"/>
        <v>1.2867789366163109</v>
      </c>
    </row>
    <row r="838" spans="1:14" x14ac:dyDescent="0.2">
      <c r="A838">
        <v>837</v>
      </c>
      <c r="B838">
        <f>LARGE(data!F:F,A838)</f>
        <v>0.3013969588</v>
      </c>
      <c r="C838">
        <f>COUNTIFS(data!D:D,data!$I$2,data!F:F,"&gt;="&amp;B838)</f>
        <v>457</v>
      </c>
      <c r="D838">
        <f>COUNTIFS(data!D:D,data!$J$2,data!F:F,"&gt;="&amp;B838)</f>
        <v>380</v>
      </c>
      <c r="E838">
        <f>COUNTIFS(data!D:D,data!$J$2,data!F:F,"&lt;"&amp;B838)</f>
        <v>343</v>
      </c>
      <c r="F838">
        <f>COUNTIFS(data!D:D,data!$I$2,data!F:F,"&lt;"&amp;B838)</f>
        <v>77</v>
      </c>
      <c r="G838">
        <f t="shared" si="90"/>
        <v>0.52558782849239283</v>
      </c>
      <c r="H838">
        <f t="shared" si="91"/>
        <v>0.85580524344569286</v>
      </c>
      <c r="I838">
        <f t="shared" si="92"/>
        <v>0</v>
      </c>
      <c r="J838">
        <f t="shared" si="93"/>
        <v>0.54599761051373952</v>
      </c>
      <c r="K838">
        <f t="shared" si="94"/>
        <v>0.66666666666666652</v>
      </c>
      <c r="L838">
        <f>A838*COUNTIF(data!D:D,data!$I$2)/data!$L$2</f>
        <v>355.57517899761336</v>
      </c>
      <c r="M838" s="1">
        <f>A838/data!$L$2</f>
        <v>0.66587112171837703</v>
      </c>
      <c r="N838">
        <f t="shared" si="95"/>
        <v>1.2852415663216679</v>
      </c>
    </row>
    <row r="839" spans="1:14" x14ac:dyDescent="0.2">
      <c r="A839">
        <v>838</v>
      </c>
      <c r="B839">
        <f>LARGE(data!F:F,A839)</f>
        <v>0.3013829281</v>
      </c>
      <c r="C839">
        <f>COUNTIFS(data!D:D,data!$I$2,data!F:F,"&gt;="&amp;B839)</f>
        <v>457</v>
      </c>
      <c r="D839">
        <f>COUNTIFS(data!D:D,data!$J$2,data!F:F,"&gt;="&amp;B839)</f>
        <v>381</v>
      </c>
      <c r="E839">
        <f>COUNTIFS(data!D:D,data!$J$2,data!F:F,"&lt;"&amp;B839)</f>
        <v>342</v>
      </c>
      <c r="F839">
        <f>COUNTIFS(data!D:D,data!$I$2,data!F:F,"&lt;"&amp;B839)</f>
        <v>77</v>
      </c>
      <c r="G839">
        <f t="shared" si="90"/>
        <v>0.52697095435684649</v>
      </c>
      <c r="H839">
        <f t="shared" si="91"/>
        <v>0.85580524344569286</v>
      </c>
      <c r="I839">
        <f t="shared" si="92"/>
        <v>1.1836863671447991E-3</v>
      </c>
      <c r="J839">
        <f t="shared" si="93"/>
        <v>0.54534606205250602</v>
      </c>
      <c r="K839">
        <f t="shared" si="94"/>
        <v>0.66618075801749277</v>
      </c>
      <c r="L839">
        <f>A839*COUNTIF(data!D:D,data!$I$2)/data!$L$2</f>
        <v>356</v>
      </c>
      <c r="M839" s="1">
        <f>A839/data!$L$2</f>
        <v>0.66666666666666663</v>
      </c>
      <c r="N839">
        <f t="shared" si="95"/>
        <v>1.2837078651685394</v>
      </c>
    </row>
    <row r="840" spans="1:14" x14ac:dyDescent="0.2">
      <c r="A840">
        <v>839</v>
      </c>
      <c r="B840">
        <f>LARGE(data!F:F,A840)</f>
        <v>0.30055656489999999</v>
      </c>
      <c r="C840">
        <f>COUNTIFS(data!D:D,data!$I$2,data!F:F,"&gt;="&amp;B840)</f>
        <v>457</v>
      </c>
      <c r="D840">
        <f>COUNTIFS(data!D:D,data!$J$2,data!F:F,"&gt;="&amp;B840)</f>
        <v>382</v>
      </c>
      <c r="E840">
        <f>COUNTIFS(data!D:D,data!$J$2,data!F:F,"&lt;"&amp;B840)</f>
        <v>341</v>
      </c>
      <c r="F840">
        <f>COUNTIFS(data!D:D,data!$I$2,data!F:F,"&lt;"&amp;B840)</f>
        <v>77</v>
      </c>
      <c r="G840">
        <f t="shared" si="90"/>
        <v>0.52835408022130015</v>
      </c>
      <c r="H840">
        <f t="shared" si="91"/>
        <v>0.85580524344569286</v>
      </c>
      <c r="I840">
        <f t="shared" si="92"/>
        <v>1.1836863671447991E-3</v>
      </c>
      <c r="J840">
        <f t="shared" si="93"/>
        <v>0.54469606674612636</v>
      </c>
      <c r="K840">
        <f t="shared" si="94"/>
        <v>0.66569555717407136</v>
      </c>
      <c r="L840">
        <f>A840*COUNTIF(data!D:D,data!$I$2)/data!$L$2</f>
        <v>356.42482100238664</v>
      </c>
      <c r="M840" s="1">
        <f>A840/data!$L$2</f>
        <v>0.66746221161495622</v>
      </c>
      <c r="N840">
        <f t="shared" si="95"/>
        <v>1.28217782003723</v>
      </c>
    </row>
    <row r="841" spans="1:14" x14ac:dyDescent="0.2">
      <c r="A841">
        <v>840</v>
      </c>
      <c r="B841">
        <f>LARGE(data!F:F,A841)</f>
        <v>0.30035146400000001</v>
      </c>
      <c r="C841">
        <f>COUNTIFS(data!D:D,data!$I$2,data!F:F,"&gt;="&amp;B841)</f>
        <v>457</v>
      </c>
      <c r="D841">
        <f>COUNTIFS(data!D:D,data!$J$2,data!F:F,"&gt;="&amp;B841)</f>
        <v>383</v>
      </c>
      <c r="E841">
        <f>COUNTIFS(data!D:D,data!$J$2,data!F:F,"&lt;"&amp;B841)</f>
        <v>340</v>
      </c>
      <c r="F841">
        <f>COUNTIFS(data!D:D,data!$I$2,data!F:F,"&lt;"&amp;B841)</f>
        <v>77</v>
      </c>
      <c r="G841">
        <f t="shared" si="90"/>
        <v>0.52973720608575381</v>
      </c>
      <c r="H841">
        <f t="shared" si="91"/>
        <v>0.85580524344569286</v>
      </c>
      <c r="I841">
        <f t="shared" si="92"/>
        <v>1.1836863671447991E-3</v>
      </c>
      <c r="J841">
        <f t="shared" si="93"/>
        <v>0.544047619047619</v>
      </c>
      <c r="K841">
        <f t="shared" si="94"/>
        <v>0.66521106259097518</v>
      </c>
      <c r="L841">
        <f>A841*COUNTIF(data!D:D,data!$I$2)/data!$L$2</f>
        <v>356.84964200477327</v>
      </c>
      <c r="M841" s="1">
        <f>A841/data!$L$2</f>
        <v>0.66825775656324582</v>
      </c>
      <c r="N841">
        <f t="shared" si="95"/>
        <v>1.2806514178705191</v>
      </c>
    </row>
    <row r="842" spans="1:14" x14ac:dyDescent="0.2">
      <c r="A842">
        <v>841</v>
      </c>
      <c r="B842">
        <f>LARGE(data!F:F,A842)</f>
        <v>0.29951353219999999</v>
      </c>
      <c r="C842">
        <f>COUNTIFS(data!D:D,data!$I$2,data!F:F,"&gt;="&amp;B842)</f>
        <v>457</v>
      </c>
      <c r="D842">
        <f>COUNTIFS(data!D:D,data!$J$2,data!F:F,"&gt;="&amp;B842)</f>
        <v>384</v>
      </c>
      <c r="E842">
        <f>COUNTIFS(data!D:D,data!$J$2,data!F:F,"&lt;"&amp;B842)</f>
        <v>339</v>
      </c>
      <c r="F842">
        <f>COUNTIFS(data!D:D,data!$I$2,data!F:F,"&lt;"&amp;B842)</f>
        <v>77</v>
      </c>
      <c r="G842">
        <f t="shared" si="90"/>
        <v>0.53112033195020747</v>
      </c>
      <c r="H842">
        <f t="shared" si="91"/>
        <v>0.85580524344569286</v>
      </c>
      <c r="I842">
        <f t="shared" si="92"/>
        <v>1.1836863671447991E-3</v>
      </c>
      <c r="J842">
        <f t="shared" si="93"/>
        <v>0.5434007134363853</v>
      </c>
      <c r="K842">
        <f t="shared" si="94"/>
        <v>0.66472727272727272</v>
      </c>
      <c r="L842">
        <f>A842*COUNTIF(data!D:D,data!$I$2)/data!$L$2</f>
        <v>357.27446300715991</v>
      </c>
      <c r="M842" s="1">
        <f>A842/data!$L$2</f>
        <v>0.66905330151153541</v>
      </c>
      <c r="N842">
        <f t="shared" si="95"/>
        <v>1.2791286456732889</v>
      </c>
    </row>
    <row r="843" spans="1:14" x14ac:dyDescent="0.2">
      <c r="A843">
        <v>842</v>
      </c>
      <c r="B843">
        <f>LARGE(data!F:F,A843)</f>
        <v>0.2977582473</v>
      </c>
      <c r="C843">
        <f>COUNTIFS(data!D:D,data!$I$2,data!F:F,"&gt;="&amp;B843)</f>
        <v>457</v>
      </c>
      <c r="D843">
        <f>COUNTIFS(data!D:D,data!$J$2,data!F:F,"&gt;="&amp;B843)</f>
        <v>385</v>
      </c>
      <c r="E843">
        <f>COUNTIFS(data!D:D,data!$J$2,data!F:F,"&lt;"&amp;B843)</f>
        <v>338</v>
      </c>
      <c r="F843">
        <f>COUNTIFS(data!D:D,data!$I$2,data!F:F,"&lt;"&amp;B843)</f>
        <v>77</v>
      </c>
      <c r="G843">
        <f t="shared" si="90"/>
        <v>0.53250345781466113</v>
      </c>
      <c r="H843">
        <f t="shared" si="91"/>
        <v>0.85580524344569286</v>
      </c>
      <c r="I843">
        <f t="shared" si="92"/>
        <v>1.1836863671447991E-3</v>
      </c>
      <c r="J843">
        <f t="shared" si="93"/>
        <v>0.54275534441805229</v>
      </c>
      <c r="K843">
        <f t="shared" si="94"/>
        <v>0.6642441860465117</v>
      </c>
      <c r="L843">
        <f>A843*COUNTIF(data!D:D,data!$I$2)/data!$L$2</f>
        <v>357.69928400954655</v>
      </c>
      <c r="M843" s="1">
        <f>A843/data!$L$2</f>
        <v>0.66984884645982501</v>
      </c>
      <c r="N843">
        <f t="shared" si="95"/>
        <v>1.2776094905121567</v>
      </c>
    </row>
    <row r="844" spans="1:14" x14ac:dyDescent="0.2">
      <c r="A844">
        <v>843</v>
      </c>
      <c r="B844">
        <f>LARGE(data!F:F,A844)</f>
        <v>0.2972829125</v>
      </c>
      <c r="C844">
        <f>COUNTIFS(data!D:D,data!$I$2,data!F:F,"&gt;="&amp;B844)</f>
        <v>458</v>
      </c>
      <c r="D844">
        <f>COUNTIFS(data!D:D,data!$J$2,data!F:F,"&gt;="&amp;B844)</f>
        <v>385</v>
      </c>
      <c r="E844">
        <f>COUNTIFS(data!D:D,data!$J$2,data!F:F,"&lt;"&amp;B844)</f>
        <v>338</v>
      </c>
      <c r="F844">
        <f>COUNTIFS(data!D:D,data!$I$2,data!F:F,"&lt;"&amp;B844)</f>
        <v>76</v>
      </c>
      <c r="G844">
        <f t="shared" si="90"/>
        <v>0.53250345781466113</v>
      </c>
      <c r="H844">
        <f t="shared" si="91"/>
        <v>0.85767790262172283</v>
      </c>
      <c r="I844">
        <f t="shared" si="92"/>
        <v>0</v>
      </c>
      <c r="J844">
        <f t="shared" si="93"/>
        <v>0.54329774614472126</v>
      </c>
      <c r="K844">
        <f t="shared" si="94"/>
        <v>0.66521423384168488</v>
      </c>
      <c r="L844">
        <f>A844*COUNTIF(data!D:D,data!$I$2)/data!$L$2</f>
        <v>358.12410501193318</v>
      </c>
      <c r="M844" s="1">
        <f>A844/data!$L$2</f>
        <v>0.6706443914081146</v>
      </c>
      <c r="N844">
        <f t="shared" si="95"/>
        <v>1.278886267610327</v>
      </c>
    </row>
    <row r="845" spans="1:14" x14ac:dyDescent="0.2">
      <c r="A845">
        <v>844</v>
      </c>
      <c r="B845">
        <f>LARGE(data!F:F,A845)</f>
        <v>0.29683506980000002</v>
      </c>
      <c r="C845">
        <f>COUNTIFS(data!D:D,data!$I$2,data!F:F,"&gt;="&amp;B845)</f>
        <v>459</v>
      </c>
      <c r="D845">
        <f>COUNTIFS(data!D:D,data!$J$2,data!F:F,"&gt;="&amp;B845)</f>
        <v>385</v>
      </c>
      <c r="E845">
        <f>COUNTIFS(data!D:D,data!$J$2,data!F:F,"&lt;"&amp;B845)</f>
        <v>338</v>
      </c>
      <c r="F845">
        <f>COUNTIFS(data!D:D,data!$I$2,data!F:F,"&lt;"&amp;B845)</f>
        <v>75</v>
      </c>
      <c r="G845">
        <f t="shared" si="90"/>
        <v>0.53250345781466113</v>
      </c>
      <c r="H845">
        <f t="shared" si="91"/>
        <v>0.8595505617977528</v>
      </c>
      <c r="I845">
        <f t="shared" si="92"/>
        <v>0</v>
      </c>
      <c r="J845">
        <f t="shared" si="93"/>
        <v>0.54383886255924174</v>
      </c>
      <c r="K845">
        <f t="shared" si="94"/>
        <v>0.66618287373004359</v>
      </c>
      <c r="L845">
        <f>A845*COUNTIF(data!D:D,data!$I$2)/data!$L$2</f>
        <v>358.54892601431982</v>
      </c>
      <c r="M845" s="1">
        <f>A845/data!$L$2</f>
        <v>0.67143993635640409</v>
      </c>
      <c r="N845">
        <f t="shared" si="95"/>
        <v>1.2801600191703497</v>
      </c>
    </row>
    <row r="846" spans="1:14" x14ac:dyDescent="0.2">
      <c r="A846">
        <v>845</v>
      </c>
      <c r="B846">
        <f>LARGE(data!F:F,A846)</f>
        <v>0.2964542409</v>
      </c>
      <c r="C846">
        <f>COUNTIFS(data!D:D,data!$I$2,data!F:F,"&gt;="&amp;B846)</f>
        <v>459</v>
      </c>
      <c r="D846">
        <f>COUNTIFS(data!D:D,data!$J$2,data!F:F,"&gt;="&amp;B846)</f>
        <v>386</v>
      </c>
      <c r="E846">
        <f>COUNTIFS(data!D:D,data!$J$2,data!F:F,"&lt;"&amp;B846)</f>
        <v>337</v>
      </c>
      <c r="F846">
        <f>COUNTIFS(data!D:D,data!$I$2,data!F:F,"&lt;"&amp;B846)</f>
        <v>75</v>
      </c>
      <c r="G846">
        <f t="shared" si="90"/>
        <v>0.53388658367911479</v>
      </c>
      <c r="H846">
        <f t="shared" si="91"/>
        <v>0.8595505617977528</v>
      </c>
      <c r="I846">
        <f t="shared" si="92"/>
        <v>1.1888666138281463E-3</v>
      </c>
      <c r="J846">
        <f t="shared" si="93"/>
        <v>0.54319526627218939</v>
      </c>
      <c r="K846">
        <f t="shared" si="94"/>
        <v>0.66569978245105155</v>
      </c>
      <c r="L846">
        <f>A846*COUNTIF(data!D:D,data!$I$2)/data!$L$2</f>
        <v>358.97374701670645</v>
      </c>
      <c r="M846" s="1">
        <f>A846/data!$L$2</f>
        <v>0.67223548130469368</v>
      </c>
      <c r="N846">
        <f t="shared" si="95"/>
        <v>1.2786450368991422</v>
      </c>
    </row>
    <row r="847" spans="1:14" x14ac:dyDescent="0.2">
      <c r="A847">
        <v>846</v>
      </c>
      <c r="B847">
        <f>LARGE(data!F:F,A847)</f>
        <v>0.2959568494</v>
      </c>
      <c r="C847">
        <f>COUNTIFS(data!D:D,data!$I$2,data!F:F,"&gt;="&amp;B847)</f>
        <v>459</v>
      </c>
      <c r="D847">
        <f>COUNTIFS(data!D:D,data!$J$2,data!F:F,"&gt;="&amp;B847)</f>
        <v>387</v>
      </c>
      <c r="E847">
        <f>COUNTIFS(data!D:D,data!$J$2,data!F:F,"&lt;"&amp;B847)</f>
        <v>336</v>
      </c>
      <c r="F847">
        <f>COUNTIFS(data!D:D,data!$I$2,data!F:F,"&lt;"&amp;B847)</f>
        <v>75</v>
      </c>
      <c r="G847">
        <f t="shared" si="90"/>
        <v>0.53526970954356845</v>
      </c>
      <c r="H847">
        <f t="shared" si="91"/>
        <v>0.8595505617977528</v>
      </c>
      <c r="I847">
        <f t="shared" si="92"/>
        <v>1.1888666138281463E-3</v>
      </c>
      <c r="J847">
        <f t="shared" si="93"/>
        <v>0.54255319148936165</v>
      </c>
      <c r="K847">
        <f t="shared" si="94"/>
        <v>0.66521739130434776</v>
      </c>
      <c r="L847">
        <f>A847*COUNTIF(data!D:D,data!$I$2)/data!$L$2</f>
        <v>359.39856801909309</v>
      </c>
      <c r="M847" s="1">
        <f>A847/data!$L$2</f>
        <v>0.67303102625298328</v>
      </c>
      <c r="N847">
        <f t="shared" si="95"/>
        <v>1.2771336361463064</v>
      </c>
    </row>
    <row r="848" spans="1:14" x14ac:dyDescent="0.2">
      <c r="A848">
        <v>847</v>
      </c>
      <c r="B848">
        <f>LARGE(data!F:F,A848)</f>
        <v>0.29591419670000002</v>
      </c>
      <c r="C848">
        <f>COUNTIFS(data!D:D,data!$I$2,data!F:F,"&gt;="&amp;B848)</f>
        <v>460</v>
      </c>
      <c r="D848">
        <f>COUNTIFS(data!D:D,data!$J$2,data!F:F,"&gt;="&amp;B848)</f>
        <v>387</v>
      </c>
      <c r="E848">
        <f>COUNTIFS(data!D:D,data!$J$2,data!F:F,"&lt;"&amp;B848)</f>
        <v>336</v>
      </c>
      <c r="F848">
        <f>COUNTIFS(data!D:D,data!$I$2,data!F:F,"&lt;"&amp;B848)</f>
        <v>74</v>
      </c>
      <c r="G848">
        <f t="shared" si="90"/>
        <v>0.53526970954356845</v>
      </c>
      <c r="H848">
        <f t="shared" si="91"/>
        <v>0.86142322097378277</v>
      </c>
      <c r="I848">
        <f t="shared" si="92"/>
        <v>0</v>
      </c>
      <c r="J848">
        <f t="shared" si="93"/>
        <v>0.54309327036599764</v>
      </c>
      <c r="K848">
        <f t="shared" si="94"/>
        <v>0.66618392469225196</v>
      </c>
      <c r="L848">
        <f>A848*COUNTIF(data!D:D,data!$I$2)/data!$L$2</f>
        <v>359.82338902147973</v>
      </c>
      <c r="M848" s="1">
        <f>A848/data!$L$2</f>
        <v>0.67382657120127287</v>
      </c>
      <c r="N848">
        <f t="shared" si="95"/>
        <v>1.2784049454120956</v>
      </c>
    </row>
    <row r="849" spans="1:14" x14ac:dyDescent="0.2">
      <c r="A849">
        <v>848</v>
      </c>
      <c r="B849">
        <f>LARGE(data!F:F,A849)</f>
        <v>0.2944902197</v>
      </c>
      <c r="C849">
        <f>COUNTIFS(data!D:D,data!$I$2,data!F:F,"&gt;="&amp;B849)</f>
        <v>461</v>
      </c>
      <c r="D849">
        <f>COUNTIFS(data!D:D,data!$J$2,data!F:F,"&gt;="&amp;B849)</f>
        <v>387</v>
      </c>
      <c r="E849">
        <f>COUNTIFS(data!D:D,data!$J$2,data!F:F,"&lt;"&amp;B849)</f>
        <v>336</v>
      </c>
      <c r="F849">
        <f>COUNTIFS(data!D:D,data!$I$2,data!F:F,"&lt;"&amp;B849)</f>
        <v>73</v>
      </c>
      <c r="G849">
        <f t="shared" si="90"/>
        <v>0.53526970954356845</v>
      </c>
      <c r="H849">
        <f t="shared" si="91"/>
        <v>0.86329588014981273</v>
      </c>
      <c r="I849">
        <f t="shared" si="92"/>
        <v>0</v>
      </c>
      <c r="J849">
        <f t="shared" si="93"/>
        <v>0.54363207547169812</v>
      </c>
      <c r="K849">
        <f t="shared" si="94"/>
        <v>0.66714905933429813</v>
      </c>
      <c r="L849">
        <f>A849*COUNTIF(data!D:D,data!$I$2)/data!$L$2</f>
        <v>360.24821002386636</v>
      </c>
      <c r="M849" s="1">
        <f>A849/data!$L$2</f>
        <v>0.67462211614956247</v>
      </c>
      <c r="N849">
        <f t="shared" si="95"/>
        <v>1.2796732563069748</v>
      </c>
    </row>
    <row r="850" spans="1:14" x14ac:dyDescent="0.2">
      <c r="A850">
        <v>849</v>
      </c>
      <c r="B850">
        <f>LARGE(data!F:F,A850)</f>
        <v>0.29390597660000001</v>
      </c>
      <c r="C850">
        <f>COUNTIFS(data!D:D,data!$I$2,data!F:F,"&gt;="&amp;B850)</f>
        <v>461</v>
      </c>
      <c r="D850">
        <f>COUNTIFS(data!D:D,data!$J$2,data!F:F,"&gt;="&amp;B850)</f>
        <v>388</v>
      </c>
      <c r="E850">
        <f>COUNTIFS(data!D:D,data!$J$2,data!F:F,"&lt;"&amp;B850)</f>
        <v>335</v>
      </c>
      <c r="F850">
        <f>COUNTIFS(data!D:D,data!$I$2,data!F:F,"&lt;"&amp;B850)</f>
        <v>73</v>
      </c>
      <c r="G850">
        <f t="shared" si="90"/>
        <v>0.53665283540802211</v>
      </c>
      <c r="H850">
        <f t="shared" si="91"/>
        <v>0.86329588014981273</v>
      </c>
      <c r="I850">
        <f t="shared" si="92"/>
        <v>1.1940468605114933E-3</v>
      </c>
      <c r="J850">
        <f t="shared" si="93"/>
        <v>0.54299175500588925</v>
      </c>
      <c r="K850">
        <f t="shared" si="94"/>
        <v>0.66666666666666652</v>
      </c>
      <c r="L850">
        <f>A850*COUNTIF(data!D:D,data!$I$2)/data!$L$2</f>
        <v>360.673031026253</v>
      </c>
      <c r="M850" s="1">
        <f>A850/data!$L$2</f>
        <v>0.67541766109785206</v>
      </c>
      <c r="N850">
        <f t="shared" si="95"/>
        <v>1.2781659850981326</v>
      </c>
    </row>
    <row r="851" spans="1:14" x14ac:dyDescent="0.2">
      <c r="A851">
        <v>850</v>
      </c>
      <c r="B851">
        <f>LARGE(data!F:F,A851)</f>
        <v>0.29383371689999999</v>
      </c>
      <c r="C851">
        <f>COUNTIFS(data!D:D,data!$I$2,data!F:F,"&gt;="&amp;B851)</f>
        <v>461</v>
      </c>
      <c r="D851">
        <f>COUNTIFS(data!D:D,data!$J$2,data!F:F,"&gt;="&amp;B851)</f>
        <v>389</v>
      </c>
      <c r="E851">
        <f>COUNTIFS(data!D:D,data!$J$2,data!F:F,"&lt;"&amp;B851)</f>
        <v>334</v>
      </c>
      <c r="F851">
        <f>COUNTIFS(data!D:D,data!$I$2,data!F:F,"&lt;"&amp;B851)</f>
        <v>73</v>
      </c>
      <c r="G851">
        <f t="shared" si="90"/>
        <v>0.53803596127247577</v>
      </c>
      <c r="H851">
        <f t="shared" si="91"/>
        <v>0.86329588014981273</v>
      </c>
      <c r="I851">
        <f t="shared" si="92"/>
        <v>1.1940468605114933E-3</v>
      </c>
      <c r="J851">
        <f t="shared" si="93"/>
        <v>0.54235294117647059</v>
      </c>
      <c r="K851">
        <f t="shared" si="94"/>
        <v>0.66618497109826591</v>
      </c>
      <c r="L851">
        <f>A851*COUNTIF(data!D:D,data!$I$2)/data!$L$2</f>
        <v>361.09785202863964</v>
      </c>
      <c r="M851" s="1">
        <f>A851/data!$L$2</f>
        <v>0.67621320604614166</v>
      </c>
      <c r="N851">
        <f t="shared" si="95"/>
        <v>1.2766622604097819</v>
      </c>
    </row>
    <row r="852" spans="1:14" x14ac:dyDescent="0.2">
      <c r="A852">
        <v>851</v>
      </c>
      <c r="B852">
        <f>LARGE(data!F:F,A852)</f>
        <v>0.29267610080000001</v>
      </c>
      <c r="C852">
        <f>COUNTIFS(data!D:D,data!$I$2,data!F:F,"&gt;="&amp;B852)</f>
        <v>461</v>
      </c>
      <c r="D852">
        <f>COUNTIFS(data!D:D,data!$J$2,data!F:F,"&gt;="&amp;B852)</f>
        <v>390</v>
      </c>
      <c r="E852">
        <f>COUNTIFS(data!D:D,data!$J$2,data!F:F,"&lt;"&amp;B852)</f>
        <v>333</v>
      </c>
      <c r="F852">
        <f>COUNTIFS(data!D:D,data!$I$2,data!F:F,"&lt;"&amp;B852)</f>
        <v>73</v>
      </c>
      <c r="G852">
        <f t="shared" si="90"/>
        <v>0.53941908713692943</v>
      </c>
      <c r="H852">
        <f t="shared" si="91"/>
        <v>0.86329588014981273</v>
      </c>
      <c r="I852">
        <f t="shared" si="92"/>
        <v>1.1940468605114933E-3</v>
      </c>
      <c r="J852">
        <f t="shared" si="93"/>
        <v>0.5417156286721504</v>
      </c>
      <c r="K852">
        <f t="shared" si="94"/>
        <v>0.66570397111913349</v>
      </c>
      <c r="L852">
        <f>A852*COUNTIF(data!D:D,data!$I$2)/data!$L$2</f>
        <v>361.52267303102627</v>
      </c>
      <c r="M852" s="1">
        <f>A852/data!$L$2</f>
        <v>0.67700875099443114</v>
      </c>
      <c r="N852">
        <f t="shared" si="95"/>
        <v>1.2751620697395001</v>
      </c>
    </row>
    <row r="853" spans="1:14" x14ac:dyDescent="0.2">
      <c r="A853">
        <v>852</v>
      </c>
      <c r="B853">
        <f>LARGE(data!F:F,A853)</f>
        <v>0.29196068590000002</v>
      </c>
      <c r="C853">
        <f>COUNTIFS(data!D:D,data!$I$2,data!F:F,"&gt;="&amp;B853)</f>
        <v>463</v>
      </c>
      <c r="D853">
        <f>COUNTIFS(data!D:D,data!$J$2,data!F:F,"&gt;="&amp;B853)</f>
        <v>390</v>
      </c>
      <c r="E853">
        <f>COUNTIFS(data!D:D,data!$J$2,data!F:F,"&lt;"&amp;B853)</f>
        <v>333</v>
      </c>
      <c r="F853">
        <f>COUNTIFS(data!D:D,data!$I$2,data!F:F,"&lt;"&amp;B853)</f>
        <v>71</v>
      </c>
      <c r="G853">
        <f t="shared" si="90"/>
        <v>0.53941908713692943</v>
      </c>
      <c r="H853">
        <f t="shared" si="91"/>
        <v>0.86704119850187267</v>
      </c>
      <c r="I853">
        <f t="shared" si="92"/>
        <v>0</v>
      </c>
      <c r="J853">
        <f t="shared" si="93"/>
        <v>0.54279015240328254</v>
      </c>
      <c r="K853">
        <f t="shared" si="94"/>
        <v>0.66762797404470087</v>
      </c>
      <c r="L853">
        <f>A853*COUNTIF(data!D:D,data!$I$2)/data!$L$2</f>
        <v>361.94749403341291</v>
      </c>
      <c r="M853" s="1">
        <f>A853/data!$L$2</f>
        <v>0.67780429594272074</v>
      </c>
      <c r="N853">
        <f t="shared" si="95"/>
        <v>1.2791910639869177</v>
      </c>
    </row>
    <row r="854" spans="1:14" x14ac:dyDescent="0.2">
      <c r="A854">
        <v>853</v>
      </c>
      <c r="B854">
        <f>LARGE(data!F:F,A854)</f>
        <v>0.29196068590000002</v>
      </c>
      <c r="C854">
        <f>COUNTIFS(data!D:D,data!$I$2,data!F:F,"&gt;="&amp;B854)</f>
        <v>463</v>
      </c>
      <c r="D854">
        <f>COUNTIFS(data!D:D,data!$J$2,data!F:F,"&gt;="&amp;B854)</f>
        <v>390</v>
      </c>
      <c r="E854">
        <f>COUNTIFS(data!D:D,data!$J$2,data!F:F,"&lt;"&amp;B854)</f>
        <v>333</v>
      </c>
      <c r="F854">
        <f>COUNTIFS(data!D:D,data!$I$2,data!F:F,"&lt;"&amp;B854)</f>
        <v>71</v>
      </c>
      <c r="G854">
        <f t="shared" si="90"/>
        <v>0.53941908713692943</v>
      </c>
      <c r="H854">
        <f t="shared" si="91"/>
        <v>0.86704119850187267</v>
      </c>
      <c r="I854">
        <f t="shared" si="92"/>
        <v>0</v>
      </c>
      <c r="J854">
        <f t="shared" si="93"/>
        <v>0.54279015240328254</v>
      </c>
      <c r="K854">
        <f t="shared" si="94"/>
        <v>0.66762797404470087</v>
      </c>
      <c r="L854">
        <f>A854*COUNTIF(data!D:D,data!$I$2)/data!$L$2</f>
        <v>362.37231503579955</v>
      </c>
      <c r="M854" s="1">
        <f>A854/data!$L$2</f>
        <v>0.67859984089101033</v>
      </c>
      <c r="N854">
        <f t="shared" si="95"/>
        <v>1.277691426162783</v>
      </c>
    </row>
    <row r="855" spans="1:14" x14ac:dyDescent="0.2">
      <c r="A855">
        <v>854</v>
      </c>
      <c r="B855">
        <f>LARGE(data!F:F,A855)</f>
        <v>0.29174082680000002</v>
      </c>
      <c r="C855">
        <f>COUNTIFS(data!D:D,data!$I$2,data!F:F,"&gt;="&amp;B855)</f>
        <v>463</v>
      </c>
      <c r="D855">
        <f>COUNTIFS(data!D:D,data!$J$2,data!F:F,"&gt;="&amp;B855)</f>
        <v>391</v>
      </c>
      <c r="E855">
        <f>COUNTIFS(data!D:D,data!$J$2,data!F:F,"&lt;"&amp;B855)</f>
        <v>332</v>
      </c>
      <c r="F855">
        <f>COUNTIFS(data!D:D,data!$I$2,data!F:F,"&lt;"&amp;B855)</f>
        <v>71</v>
      </c>
      <c r="G855">
        <f t="shared" si="90"/>
        <v>0.54080221300138309</v>
      </c>
      <c r="H855">
        <f t="shared" si="91"/>
        <v>0.86704119850187267</v>
      </c>
      <c r="I855">
        <f t="shared" si="92"/>
        <v>1.1992271071948404E-3</v>
      </c>
      <c r="J855">
        <f t="shared" si="93"/>
        <v>0.54215456674473073</v>
      </c>
      <c r="K855">
        <f t="shared" si="94"/>
        <v>0.66714697406340062</v>
      </c>
      <c r="L855">
        <f>A855*COUNTIF(data!D:D,data!$I$2)/data!$L$2</f>
        <v>362.79713603818618</v>
      </c>
      <c r="M855" s="1">
        <f>A855/data!$L$2</f>
        <v>0.67939538583929993</v>
      </c>
      <c r="N855">
        <f t="shared" si="95"/>
        <v>1.2761953003710234</v>
      </c>
    </row>
    <row r="856" spans="1:14" x14ac:dyDescent="0.2">
      <c r="A856">
        <v>855</v>
      </c>
      <c r="B856">
        <f>LARGE(data!F:F,A856)</f>
        <v>0.29169511529999997</v>
      </c>
      <c r="C856">
        <f>COUNTIFS(data!D:D,data!$I$2,data!F:F,"&gt;="&amp;B856)</f>
        <v>463</v>
      </c>
      <c r="D856">
        <f>COUNTIFS(data!D:D,data!$J$2,data!F:F,"&gt;="&amp;B856)</f>
        <v>392</v>
      </c>
      <c r="E856">
        <f>COUNTIFS(data!D:D,data!$J$2,data!F:F,"&lt;"&amp;B856)</f>
        <v>331</v>
      </c>
      <c r="F856">
        <f>COUNTIFS(data!D:D,data!$I$2,data!F:F,"&lt;"&amp;B856)</f>
        <v>71</v>
      </c>
      <c r="G856">
        <f t="shared" si="90"/>
        <v>0.54218533886583675</v>
      </c>
      <c r="H856">
        <f t="shared" si="91"/>
        <v>0.86704119850187267</v>
      </c>
      <c r="I856">
        <f t="shared" si="92"/>
        <v>1.1992271071948404E-3</v>
      </c>
      <c r="J856">
        <f t="shared" si="93"/>
        <v>0.54152046783625729</v>
      </c>
      <c r="K856">
        <f t="shared" si="94"/>
        <v>0.66666666666666663</v>
      </c>
      <c r="L856">
        <f>A856*COUNTIF(data!D:D,data!$I$2)/data!$L$2</f>
        <v>363.22195704057282</v>
      </c>
      <c r="M856" s="1">
        <f>A856/data!$L$2</f>
        <v>0.68019093078758952</v>
      </c>
      <c r="N856">
        <f t="shared" si="95"/>
        <v>1.274702674288718</v>
      </c>
    </row>
    <row r="857" spans="1:14" x14ac:dyDescent="0.2">
      <c r="A857">
        <v>856</v>
      </c>
      <c r="B857">
        <f>LARGE(data!F:F,A857)</f>
        <v>0.29144775750000002</v>
      </c>
      <c r="C857">
        <f>COUNTIFS(data!D:D,data!$I$2,data!F:F,"&gt;="&amp;B857)</f>
        <v>463</v>
      </c>
      <c r="D857">
        <f>COUNTIFS(data!D:D,data!$J$2,data!F:F,"&gt;="&amp;B857)</f>
        <v>393</v>
      </c>
      <c r="E857">
        <f>COUNTIFS(data!D:D,data!$J$2,data!F:F,"&lt;"&amp;B857)</f>
        <v>330</v>
      </c>
      <c r="F857">
        <f>COUNTIFS(data!D:D,data!$I$2,data!F:F,"&lt;"&amp;B857)</f>
        <v>71</v>
      </c>
      <c r="G857">
        <f t="shared" si="90"/>
        <v>0.54356846473029041</v>
      </c>
      <c r="H857">
        <f t="shared" si="91"/>
        <v>0.86704119850187267</v>
      </c>
      <c r="I857">
        <f t="shared" si="92"/>
        <v>1.1992271071948404E-3</v>
      </c>
      <c r="J857">
        <f t="shared" si="93"/>
        <v>0.54088785046728971</v>
      </c>
      <c r="K857">
        <f t="shared" si="94"/>
        <v>0.66618705035971226</v>
      </c>
      <c r="L857">
        <f>A857*COUNTIF(data!D:D,data!$I$2)/data!$L$2</f>
        <v>363.64677804295945</v>
      </c>
      <c r="M857" s="1">
        <f>A857/data!$L$2</f>
        <v>0.68098647573587912</v>
      </c>
      <c r="N857">
        <f t="shared" si="95"/>
        <v>1.2732135356505303</v>
      </c>
    </row>
    <row r="858" spans="1:14" x14ac:dyDescent="0.2">
      <c r="A858">
        <v>857</v>
      </c>
      <c r="B858">
        <f>LARGE(data!F:F,A858)</f>
        <v>0.29091376000000002</v>
      </c>
      <c r="C858">
        <f>COUNTIFS(data!D:D,data!$I$2,data!F:F,"&gt;="&amp;B858)</f>
        <v>463</v>
      </c>
      <c r="D858">
        <f>COUNTIFS(data!D:D,data!$J$2,data!F:F,"&gt;="&amp;B858)</f>
        <v>394</v>
      </c>
      <c r="E858">
        <f>COUNTIFS(data!D:D,data!$J$2,data!F:F,"&lt;"&amp;B858)</f>
        <v>329</v>
      </c>
      <c r="F858">
        <f>COUNTIFS(data!D:D,data!$I$2,data!F:F,"&lt;"&amp;B858)</f>
        <v>71</v>
      </c>
      <c r="G858">
        <f t="shared" si="90"/>
        <v>0.54495159059474407</v>
      </c>
      <c r="H858">
        <f t="shared" si="91"/>
        <v>0.86704119850187267</v>
      </c>
      <c r="I858">
        <f t="shared" si="92"/>
        <v>1.1992271071948404E-3</v>
      </c>
      <c r="J858">
        <f t="shared" si="93"/>
        <v>0.54025670945157522</v>
      </c>
      <c r="K858">
        <f t="shared" si="94"/>
        <v>0.6657081236520489</v>
      </c>
      <c r="L858">
        <f>A858*COUNTIF(data!D:D,data!$I$2)/data!$L$2</f>
        <v>364.07159904534609</v>
      </c>
      <c r="M858" s="1">
        <f>A858/data!$L$2</f>
        <v>0.68178202068416871</v>
      </c>
      <c r="N858">
        <f t="shared" si="95"/>
        <v>1.2717278722483709</v>
      </c>
    </row>
    <row r="859" spans="1:14" x14ac:dyDescent="0.2">
      <c r="A859">
        <v>858</v>
      </c>
      <c r="B859">
        <f>LARGE(data!F:F,A859)</f>
        <v>0.28927300169999998</v>
      </c>
      <c r="C859">
        <f>COUNTIFS(data!D:D,data!$I$2,data!F:F,"&gt;="&amp;B859)</f>
        <v>463</v>
      </c>
      <c r="D859">
        <f>COUNTIFS(data!D:D,data!$J$2,data!F:F,"&gt;="&amp;B859)</f>
        <v>395</v>
      </c>
      <c r="E859">
        <f>COUNTIFS(data!D:D,data!$J$2,data!F:F,"&lt;"&amp;B859)</f>
        <v>328</v>
      </c>
      <c r="F859">
        <f>COUNTIFS(data!D:D,data!$I$2,data!F:F,"&lt;"&amp;B859)</f>
        <v>71</v>
      </c>
      <c r="G859">
        <f t="shared" ref="G859:G922" si="96">D859/(E859+D859)</f>
        <v>0.54633471645919773</v>
      </c>
      <c r="H859">
        <f t="shared" ref="H859:H922" si="97">C859/(C859+F859)</f>
        <v>0.86704119850187267</v>
      </c>
      <c r="I859">
        <f t="shared" ref="I859:I922" si="98">(G859-G858)*(H859+H858)*0.5</f>
        <v>1.1992271071948404E-3</v>
      </c>
      <c r="J859">
        <f t="shared" ref="J859:J922" si="99">C859/(C859+D859)</f>
        <v>0.53962703962703962</v>
      </c>
      <c r="K859">
        <f t="shared" ref="K859:K922" si="100">2*J859*H859/(J859+H859)</f>
        <v>0.66522988505747116</v>
      </c>
      <c r="L859">
        <f>A859*COUNTIF(data!D:D,data!$I$2)/data!$L$2</f>
        <v>364.49642004773267</v>
      </c>
      <c r="M859" s="1">
        <f>A859/data!$L$2</f>
        <v>0.68257756563245819</v>
      </c>
      <c r="N859">
        <f t="shared" ref="N859:N922" si="101">C859/L859</f>
        <v>1.2702456719310653</v>
      </c>
    </row>
    <row r="860" spans="1:14" x14ac:dyDescent="0.2">
      <c r="A860">
        <v>859</v>
      </c>
      <c r="B860">
        <f>LARGE(data!F:F,A860)</f>
        <v>0.28924138970000002</v>
      </c>
      <c r="C860">
        <f>COUNTIFS(data!D:D,data!$I$2,data!F:F,"&gt;="&amp;B860)</f>
        <v>463</v>
      </c>
      <c r="D860">
        <f>COUNTIFS(data!D:D,data!$J$2,data!F:F,"&gt;="&amp;B860)</f>
        <v>396</v>
      </c>
      <c r="E860">
        <f>COUNTIFS(data!D:D,data!$J$2,data!F:F,"&lt;"&amp;B860)</f>
        <v>327</v>
      </c>
      <c r="F860">
        <f>COUNTIFS(data!D:D,data!$I$2,data!F:F,"&lt;"&amp;B860)</f>
        <v>71</v>
      </c>
      <c r="G860">
        <f t="shared" si="96"/>
        <v>0.5477178423236515</v>
      </c>
      <c r="H860">
        <f t="shared" si="97"/>
        <v>0.86704119850187267</v>
      </c>
      <c r="I860">
        <f t="shared" si="98"/>
        <v>1.1992271071949367E-3</v>
      </c>
      <c r="J860">
        <f t="shared" si="99"/>
        <v>0.53899883585564612</v>
      </c>
      <c r="K860">
        <f t="shared" si="100"/>
        <v>0.66475233309404158</v>
      </c>
      <c r="L860">
        <f>A860*COUNTIF(data!D:D,data!$I$2)/data!$L$2</f>
        <v>364.92124105011931</v>
      </c>
      <c r="M860" s="1">
        <f>A860/data!$L$2</f>
        <v>0.68337311058074779</v>
      </c>
      <c r="N860">
        <f t="shared" si="101"/>
        <v>1.268766922604021</v>
      </c>
    </row>
    <row r="861" spans="1:14" x14ac:dyDescent="0.2">
      <c r="A861">
        <v>860</v>
      </c>
      <c r="B861">
        <f>LARGE(data!F:F,A861)</f>
        <v>0.28781050499999999</v>
      </c>
      <c r="C861">
        <f>COUNTIFS(data!D:D,data!$I$2,data!F:F,"&gt;="&amp;B861)</f>
        <v>464</v>
      </c>
      <c r="D861">
        <f>COUNTIFS(data!D:D,data!$J$2,data!F:F,"&gt;="&amp;B861)</f>
        <v>396</v>
      </c>
      <c r="E861">
        <f>COUNTIFS(data!D:D,data!$J$2,data!F:F,"&lt;"&amp;B861)</f>
        <v>327</v>
      </c>
      <c r="F861">
        <f>COUNTIFS(data!D:D,data!$I$2,data!F:F,"&lt;"&amp;B861)</f>
        <v>70</v>
      </c>
      <c r="G861">
        <f t="shared" si="96"/>
        <v>0.5477178423236515</v>
      </c>
      <c r="H861">
        <f t="shared" si="97"/>
        <v>0.86891385767790263</v>
      </c>
      <c r="I861">
        <f t="shared" si="98"/>
        <v>0</v>
      </c>
      <c r="J861">
        <f t="shared" si="99"/>
        <v>0.53953488372093028</v>
      </c>
      <c r="K861">
        <f t="shared" si="100"/>
        <v>0.6657101865136299</v>
      </c>
      <c r="L861">
        <f>A861*COUNTIF(data!D:D,data!$I$2)/data!$L$2</f>
        <v>365.34606205250594</v>
      </c>
      <c r="M861" s="1">
        <f>A861/data!$L$2</f>
        <v>0.68416865552903738</v>
      </c>
      <c r="N861">
        <f t="shared" si="101"/>
        <v>1.2700287431408415</v>
      </c>
    </row>
    <row r="862" spans="1:14" x14ac:dyDescent="0.2">
      <c r="A862">
        <v>861</v>
      </c>
      <c r="B862">
        <f>LARGE(data!F:F,A862)</f>
        <v>0.28634949469999998</v>
      </c>
      <c r="C862">
        <f>COUNTIFS(data!D:D,data!$I$2,data!F:F,"&gt;="&amp;B862)</f>
        <v>464</v>
      </c>
      <c r="D862">
        <f>COUNTIFS(data!D:D,data!$J$2,data!F:F,"&gt;="&amp;B862)</f>
        <v>397</v>
      </c>
      <c r="E862">
        <f>COUNTIFS(data!D:D,data!$J$2,data!F:F,"&lt;"&amp;B862)</f>
        <v>326</v>
      </c>
      <c r="F862">
        <f>COUNTIFS(data!D:D,data!$I$2,data!F:F,"&lt;"&amp;B862)</f>
        <v>70</v>
      </c>
      <c r="G862">
        <f t="shared" si="96"/>
        <v>0.54910096818810517</v>
      </c>
      <c r="H862">
        <f t="shared" si="97"/>
        <v>0.86891385767790263</v>
      </c>
      <c r="I862">
        <f t="shared" si="98"/>
        <v>1.2018172305365139E-3</v>
      </c>
      <c r="J862">
        <f t="shared" si="99"/>
        <v>0.53890824622531941</v>
      </c>
      <c r="K862">
        <f t="shared" si="100"/>
        <v>0.66523297491039435</v>
      </c>
      <c r="L862">
        <f>A862*COUNTIF(data!D:D,data!$I$2)/data!$L$2</f>
        <v>365.77088305489258</v>
      </c>
      <c r="M862" s="1">
        <f>A862/data!$L$2</f>
        <v>0.68496420047732698</v>
      </c>
      <c r="N862">
        <f t="shared" si="101"/>
        <v>1.268553680721398</v>
      </c>
    </row>
    <row r="863" spans="1:14" x14ac:dyDescent="0.2">
      <c r="A863">
        <v>862</v>
      </c>
      <c r="B863">
        <f>LARGE(data!F:F,A863)</f>
        <v>0.2845326077</v>
      </c>
      <c r="C863">
        <f>COUNTIFS(data!D:D,data!$I$2,data!F:F,"&gt;="&amp;B863)</f>
        <v>465</v>
      </c>
      <c r="D863">
        <f>COUNTIFS(data!D:D,data!$J$2,data!F:F,"&gt;="&amp;B863)</f>
        <v>397</v>
      </c>
      <c r="E863">
        <f>COUNTIFS(data!D:D,data!$J$2,data!F:F,"&lt;"&amp;B863)</f>
        <v>326</v>
      </c>
      <c r="F863">
        <f>COUNTIFS(data!D:D,data!$I$2,data!F:F,"&lt;"&amp;B863)</f>
        <v>69</v>
      </c>
      <c r="G863">
        <f t="shared" si="96"/>
        <v>0.54910096818810517</v>
      </c>
      <c r="H863">
        <f t="shared" si="97"/>
        <v>0.8707865168539326</v>
      </c>
      <c r="I863">
        <f t="shared" si="98"/>
        <v>0</v>
      </c>
      <c r="J863">
        <f t="shared" si="99"/>
        <v>0.53944315545243615</v>
      </c>
      <c r="K863">
        <f t="shared" si="100"/>
        <v>0.666189111747851</v>
      </c>
      <c r="L863">
        <f>A863*COUNTIF(data!D:D,data!$I$2)/data!$L$2</f>
        <v>366.19570405727922</v>
      </c>
      <c r="M863" s="1">
        <f>A863/data!$L$2</f>
        <v>0.68575974542561657</v>
      </c>
      <c r="N863">
        <f t="shared" si="101"/>
        <v>1.2698128209807347</v>
      </c>
    </row>
    <row r="864" spans="1:14" x14ac:dyDescent="0.2">
      <c r="A864">
        <v>863</v>
      </c>
      <c r="B864">
        <f>LARGE(data!F:F,A864)</f>
        <v>0.28344885120000002</v>
      </c>
      <c r="C864">
        <f>COUNTIFS(data!D:D,data!$I$2,data!F:F,"&gt;="&amp;B864)</f>
        <v>465</v>
      </c>
      <c r="D864">
        <f>COUNTIFS(data!D:D,data!$J$2,data!F:F,"&gt;="&amp;B864)</f>
        <v>398</v>
      </c>
      <c r="E864">
        <f>COUNTIFS(data!D:D,data!$J$2,data!F:F,"&lt;"&amp;B864)</f>
        <v>325</v>
      </c>
      <c r="F864">
        <f>COUNTIFS(data!D:D,data!$I$2,data!F:F,"&lt;"&amp;B864)</f>
        <v>69</v>
      </c>
      <c r="G864">
        <f t="shared" si="96"/>
        <v>0.55048409405255883</v>
      </c>
      <c r="H864">
        <f t="shared" si="97"/>
        <v>0.8707865168539326</v>
      </c>
      <c r="I864">
        <f t="shared" si="98"/>
        <v>1.2044073538781874E-3</v>
      </c>
      <c r="J864">
        <f t="shared" si="99"/>
        <v>0.53881807647740443</v>
      </c>
      <c r="K864">
        <f t="shared" si="100"/>
        <v>0.66571224051539013</v>
      </c>
      <c r="L864">
        <f>A864*COUNTIF(data!D:D,data!$I$2)/data!$L$2</f>
        <v>366.62052505966585</v>
      </c>
      <c r="M864" s="1">
        <f>A864/data!$L$2</f>
        <v>0.68655529037390617</v>
      </c>
      <c r="N864">
        <f t="shared" si="101"/>
        <v>1.2683414272136655</v>
      </c>
    </row>
    <row r="865" spans="1:14" x14ac:dyDescent="0.2">
      <c r="A865">
        <v>864</v>
      </c>
      <c r="B865">
        <f>LARGE(data!F:F,A865)</f>
        <v>0.2834300112</v>
      </c>
      <c r="C865">
        <f>COUNTIFS(data!D:D,data!$I$2,data!F:F,"&gt;="&amp;B865)</f>
        <v>465</v>
      </c>
      <c r="D865">
        <f>COUNTIFS(data!D:D,data!$J$2,data!F:F,"&gt;="&amp;B865)</f>
        <v>399</v>
      </c>
      <c r="E865">
        <f>COUNTIFS(data!D:D,data!$J$2,data!F:F,"&lt;"&amp;B865)</f>
        <v>324</v>
      </c>
      <c r="F865">
        <f>COUNTIFS(data!D:D,data!$I$2,data!F:F,"&lt;"&amp;B865)</f>
        <v>69</v>
      </c>
      <c r="G865">
        <f t="shared" si="96"/>
        <v>0.55186721991701249</v>
      </c>
      <c r="H865">
        <f t="shared" si="97"/>
        <v>0.8707865168539326</v>
      </c>
      <c r="I865">
        <f t="shared" si="98"/>
        <v>1.2044073538781874E-3</v>
      </c>
      <c r="J865">
        <f t="shared" si="99"/>
        <v>0.53819444444444442</v>
      </c>
      <c r="K865">
        <f t="shared" si="100"/>
        <v>0.66523605150214593</v>
      </c>
      <c r="L865">
        <f>A865*COUNTIF(data!D:D,data!$I$2)/data!$L$2</f>
        <v>367.04534606205249</v>
      </c>
      <c r="M865" s="1">
        <f>A865/data!$L$2</f>
        <v>0.68735083532219565</v>
      </c>
      <c r="N865">
        <f t="shared" si="101"/>
        <v>1.2668734394506866</v>
      </c>
    </row>
    <row r="866" spans="1:14" x14ac:dyDescent="0.2">
      <c r="A866">
        <v>865</v>
      </c>
      <c r="B866">
        <f>LARGE(data!F:F,A866)</f>
        <v>0.2832765578</v>
      </c>
      <c r="C866">
        <f>COUNTIFS(data!D:D,data!$I$2,data!F:F,"&gt;="&amp;B866)</f>
        <v>465</v>
      </c>
      <c r="D866">
        <f>COUNTIFS(data!D:D,data!$J$2,data!F:F,"&gt;="&amp;B866)</f>
        <v>400</v>
      </c>
      <c r="E866">
        <f>COUNTIFS(data!D:D,data!$J$2,data!F:F,"&lt;"&amp;B866)</f>
        <v>323</v>
      </c>
      <c r="F866">
        <f>COUNTIFS(data!D:D,data!$I$2,data!F:F,"&lt;"&amp;B866)</f>
        <v>69</v>
      </c>
      <c r="G866">
        <f t="shared" si="96"/>
        <v>0.55325034578146615</v>
      </c>
      <c r="H866">
        <f t="shared" si="97"/>
        <v>0.8707865168539326</v>
      </c>
      <c r="I866">
        <f t="shared" si="98"/>
        <v>1.2044073538781874E-3</v>
      </c>
      <c r="J866">
        <f t="shared" si="99"/>
        <v>0.53757225433526012</v>
      </c>
      <c r="K866">
        <f t="shared" si="100"/>
        <v>0.6647605432451752</v>
      </c>
      <c r="L866">
        <f>A866*COUNTIF(data!D:D,data!$I$2)/data!$L$2</f>
        <v>367.47016706443912</v>
      </c>
      <c r="M866" s="1">
        <f>A866/data!$L$2</f>
        <v>0.68814638027048525</v>
      </c>
      <c r="N866">
        <f t="shared" si="101"/>
        <v>1.2654088458790673</v>
      </c>
    </row>
    <row r="867" spans="1:14" x14ac:dyDescent="0.2">
      <c r="A867">
        <v>866</v>
      </c>
      <c r="B867">
        <f>LARGE(data!F:F,A867)</f>
        <v>0.28269849279999998</v>
      </c>
      <c r="C867">
        <f>COUNTIFS(data!D:D,data!$I$2,data!F:F,"&gt;="&amp;B867)</f>
        <v>465</v>
      </c>
      <c r="D867">
        <f>COUNTIFS(data!D:D,data!$J$2,data!F:F,"&gt;="&amp;B867)</f>
        <v>401</v>
      </c>
      <c r="E867">
        <f>COUNTIFS(data!D:D,data!$J$2,data!F:F,"&lt;"&amp;B867)</f>
        <v>322</v>
      </c>
      <c r="F867">
        <f>COUNTIFS(data!D:D,data!$I$2,data!F:F,"&lt;"&amp;B867)</f>
        <v>69</v>
      </c>
      <c r="G867">
        <f t="shared" si="96"/>
        <v>0.55463347164591981</v>
      </c>
      <c r="H867">
        <f t="shared" si="97"/>
        <v>0.8707865168539326</v>
      </c>
      <c r="I867">
        <f t="shared" si="98"/>
        <v>1.2044073538781874E-3</v>
      </c>
      <c r="J867">
        <f t="shared" si="99"/>
        <v>0.53695150115473445</v>
      </c>
      <c r="K867">
        <f t="shared" si="100"/>
        <v>0.66428571428571426</v>
      </c>
      <c r="L867">
        <f>A867*COUNTIF(data!D:D,data!$I$2)/data!$L$2</f>
        <v>367.89498806682576</v>
      </c>
      <c r="M867" s="1">
        <f>A867/data!$L$2</f>
        <v>0.68894192521877484</v>
      </c>
      <c r="N867">
        <f t="shared" si="101"/>
        <v>1.2639476347406389</v>
      </c>
    </row>
    <row r="868" spans="1:14" x14ac:dyDescent="0.2">
      <c r="A868">
        <v>867</v>
      </c>
      <c r="B868">
        <f>LARGE(data!F:F,A868)</f>
        <v>0.28141999649999999</v>
      </c>
      <c r="C868">
        <f>COUNTIFS(data!D:D,data!$I$2,data!F:F,"&gt;="&amp;B868)</f>
        <v>465</v>
      </c>
      <c r="D868">
        <f>COUNTIFS(data!D:D,data!$J$2,data!F:F,"&gt;="&amp;B868)</f>
        <v>402</v>
      </c>
      <c r="E868">
        <f>COUNTIFS(data!D:D,data!$J$2,data!F:F,"&lt;"&amp;B868)</f>
        <v>321</v>
      </c>
      <c r="F868">
        <f>COUNTIFS(data!D:D,data!$I$2,data!F:F,"&lt;"&amp;B868)</f>
        <v>69</v>
      </c>
      <c r="G868">
        <f t="shared" si="96"/>
        <v>0.55601659751037347</v>
      </c>
      <c r="H868">
        <f t="shared" si="97"/>
        <v>0.8707865168539326</v>
      </c>
      <c r="I868">
        <f t="shared" si="98"/>
        <v>1.2044073538781874E-3</v>
      </c>
      <c r="J868">
        <f t="shared" si="99"/>
        <v>0.53633217993079585</v>
      </c>
      <c r="K868">
        <f t="shared" si="100"/>
        <v>0.6638115631691649</v>
      </c>
      <c r="L868">
        <f>A868*COUNTIF(data!D:D,data!$I$2)/data!$L$2</f>
        <v>368.3198090692124</v>
      </c>
      <c r="M868" s="1">
        <f>A868/data!$L$2</f>
        <v>0.68973747016706444</v>
      </c>
      <c r="N868">
        <f t="shared" si="101"/>
        <v>1.2624897943314801</v>
      </c>
    </row>
    <row r="869" spans="1:14" x14ac:dyDescent="0.2">
      <c r="A869">
        <v>868</v>
      </c>
      <c r="B869">
        <f>LARGE(data!F:F,A869)</f>
        <v>0.28136956130000002</v>
      </c>
      <c r="C869">
        <f>COUNTIFS(data!D:D,data!$I$2,data!F:F,"&gt;="&amp;B869)</f>
        <v>465</v>
      </c>
      <c r="D869">
        <f>COUNTIFS(data!D:D,data!$J$2,data!F:F,"&gt;="&amp;B869)</f>
        <v>403</v>
      </c>
      <c r="E869">
        <f>COUNTIFS(data!D:D,data!$J$2,data!F:F,"&lt;"&amp;B869)</f>
        <v>320</v>
      </c>
      <c r="F869">
        <f>COUNTIFS(data!D:D,data!$I$2,data!F:F,"&lt;"&amp;B869)</f>
        <v>69</v>
      </c>
      <c r="G869">
        <f t="shared" si="96"/>
        <v>0.55739972337482713</v>
      </c>
      <c r="H869">
        <f t="shared" si="97"/>
        <v>0.8707865168539326</v>
      </c>
      <c r="I869">
        <f t="shared" si="98"/>
        <v>1.2044073538781874E-3</v>
      </c>
      <c r="J869">
        <f t="shared" si="99"/>
        <v>0.5357142857142857</v>
      </c>
      <c r="K869">
        <f t="shared" si="100"/>
        <v>0.66333808844507836</v>
      </c>
      <c r="L869">
        <f>A869*COUNTIF(data!D:D,data!$I$2)/data!$L$2</f>
        <v>368.74463007159903</v>
      </c>
      <c r="M869" s="1">
        <f>A869/data!$L$2</f>
        <v>0.69053301511535403</v>
      </c>
      <c r="N869">
        <f t="shared" si="101"/>
        <v>1.2610353130016052</v>
      </c>
    </row>
    <row r="870" spans="1:14" x14ac:dyDescent="0.2">
      <c r="A870">
        <v>869</v>
      </c>
      <c r="B870">
        <f>LARGE(data!F:F,A870)</f>
        <v>0.28109373209999999</v>
      </c>
      <c r="C870">
        <f>COUNTIFS(data!D:D,data!$I$2,data!F:F,"&gt;="&amp;B870)</f>
        <v>465</v>
      </c>
      <c r="D870">
        <f>COUNTIFS(data!D:D,data!$J$2,data!F:F,"&gt;="&amp;B870)</f>
        <v>404</v>
      </c>
      <c r="E870">
        <f>COUNTIFS(data!D:D,data!$J$2,data!F:F,"&lt;"&amp;B870)</f>
        <v>319</v>
      </c>
      <c r="F870">
        <f>COUNTIFS(data!D:D,data!$I$2,data!F:F,"&lt;"&amp;B870)</f>
        <v>69</v>
      </c>
      <c r="G870">
        <f t="shared" si="96"/>
        <v>0.55878284923928079</v>
      </c>
      <c r="H870">
        <f t="shared" si="97"/>
        <v>0.8707865168539326</v>
      </c>
      <c r="I870">
        <f t="shared" si="98"/>
        <v>1.2044073538781874E-3</v>
      </c>
      <c r="J870">
        <f t="shared" si="99"/>
        <v>0.53509781357882624</v>
      </c>
      <c r="K870">
        <f t="shared" si="100"/>
        <v>0.66286528866714189</v>
      </c>
      <c r="L870">
        <f>A870*COUNTIF(data!D:D,data!$I$2)/data!$L$2</f>
        <v>369.16945107398567</v>
      </c>
      <c r="M870" s="1">
        <f>A870/data!$L$2</f>
        <v>0.69132856006364363</v>
      </c>
      <c r="N870">
        <f t="shared" si="101"/>
        <v>1.2595841791546527</v>
      </c>
    </row>
    <row r="871" spans="1:14" x14ac:dyDescent="0.2">
      <c r="A871">
        <v>870</v>
      </c>
      <c r="B871">
        <f>LARGE(data!F:F,A871)</f>
        <v>0.27941964809999997</v>
      </c>
      <c r="C871">
        <f>COUNTIFS(data!D:D,data!$I$2,data!F:F,"&gt;="&amp;B871)</f>
        <v>465</v>
      </c>
      <c r="D871">
        <f>COUNTIFS(data!D:D,data!$J$2,data!F:F,"&gt;="&amp;B871)</f>
        <v>405</v>
      </c>
      <c r="E871">
        <f>COUNTIFS(data!D:D,data!$J$2,data!F:F,"&lt;"&amp;B871)</f>
        <v>318</v>
      </c>
      <c r="F871">
        <f>COUNTIFS(data!D:D,data!$I$2,data!F:F,"&lt;"&amp;B871)</f>
        <v>69</v>
      </c>
      <c r="G871">
        <f t="shared" si="96"/>
        <v>0.56016597510373445</v>
      </c>
      <c r="H871">
        <f t="shared" si="97"/>
        <v>0.8707865168539326</v>
      </c>
      <c r="I871">
        <f t="shared" si="98"/>
        <v>1.2044073538781874E-3</v>
      </c>
      <c r="J871">
        <f t="shared" si="99"/>
        <v>0.53448275862068961</v>
      </c>
      <c r="K871">
        <f t="shared" si="100"/>
        <v>0.66239316239316237</v>
      </c>
      <c r="L871">
        <f>A871*COUNTIF(data!D:D,data!$I$2)/data!$L$2</f>
        <v>369.59427207637231</v>
      </c>
      <c r="M871" s="1">
        <f>A871/data!$L$2</f>
        <v>0.69212410501193322</v>
      </c>
      <c r="N871">
        <f t="shared" si="101"/>
        <v>1.2581363812475785</v>
      </c>
    </row>
    <row r="872" spans="1:14" x14ac:dyDescent="0.2">
      <c r="A872">
        <v>871</v>
      </c>
      <c r="B872">
        <f>LARGE(data!F:F,A872)</f>
        <v>0.27893665940000001</v>
      </c>
      <c r="C872">
        <f>COUNTIFS(data!D:D,data!$I$2,data!F:F,"&gt;="&amp;B872)</f>
        <v>465</v>
      </c>
      <c r="D872">
        <f>COUNTIFS(data!D:D,data!$J$2,data!F:F,"&gt;="&amp;B872)</f>
        <v>406</v>
      </c>
      <c r="E872">
        <f>COUNTIFS(data!D:D,data!$J$2,data!F:F,"&lt;"&amp;B872)</f>
        <v>317</v>
      </c>
      <c r="F872">
        <f>COUNTIFS(data!D:D,data!$I$2,data!F:F,"&lt;"&amp;B872)</f>
        <v>69</v>
      </c>
      <c r="G872">
        <f t="shared" si="96"/>
        <v>0.56154910096818811</v>
      </c>
      <c r="H872">
        <f t="shared" si="97"/>
        <v>0.8707865168539326</v>
      </c>
      <c r="I872">
        <f t="shared" si="98"/>
        <v>1.2044073538781874E-3</v>
      </c>
      <c r="J872">
        <f t="shared" si="99"/>
        <v>0.53386911595866815</v>
      </c>
      <c r="K872">
        <f t="shared" si="100"/>
        <v>0.66192170818505336</v>
      </c>
      <c r="L872">
        <f>A872*COUNTIF(data!D:D,data!$I$2)/data!$L$2</f>
        <v>370.01909307875894</v>
      </c>
      <c r="M872" s="1">
        <f>A872/data!$L$2</f>
        <v>0.69291964996022271</v>
      </c>
      <c r="N872">
        <f t="shared" si="101"/>
        <v>1.2566919077903482</v>
      </c>
    </row>
    <row r="873" spans="1:14" x14ac:dyDescent="0.2">
      <c r="A873">
        <v>872</v>
      </c>
      <c r="B873">
        <f>LARGE(data!F:F,A873)</f>
        <v>0.27852329980000001</v>
      </c>
      <c r="C873">
        <f>COUNTIFS(data!D:D,data!$I$2,data!F:F,"&gt;="&amp;B873)</f>
        <v>465</v>
      </c>
      <c r="D873">
        <f>COUNTIFS(data!D:D,data!$J$2,data!F:F,"&gt;="&amp;B873)</f>
        <v>407</v>
      </c>
      <c r="E873">
        <f>COUNTIFS(data!D:D,data!$J$2,data!F:F,"&lt;"&amp;B873)</f>
        <v>316</v>
      </c>
      <c r="F873">
        <f>COUNTIFS(data!D:D,data!$I$2,data!F:F,"&lt;"&amp;B873)</f>
        <v>69</v>
      </c>
      <c r="G873">
        <f t="shared" si="96"/>
        <v>0.56293222683264177</v>
      </c>
      <c r="H873">
        <f t="shared" si="97"/>
        <v>0.8707865168539326</v>
      </c>
      <c r="I873">
        <f t="shared" si="98"/>
        <v>1.2044073538781874E-3</v>
      </c>
      <c r="J873">
        <f t="shared" si="99"/>
        <v>0.53325688073394495</v>
      </c>
      <c r="K873">
        <f t="shared" si="100"/>
        <v>0.66145092460881938</v>
      </c>
      <c r="L873">
        <f>A873*COUNTIF(data!D:D,data!$I$2)/data!$L$2</f>
        <v>370.44391408114558</v>
      </c>
      <c r="M873" s="1">
        <f>A873/data!$L$2</f>
        <v>0.6937151949085123</v>
      </c>
      <c r="N873">
        <f t="shared" si="101"/>
        <v>1.2552507473456345</v>
      </c>
    </row>
    <row r="874" spans="1:14" x14ac:dyDescent="0.2">
      <c r="A874">
        <v>873</v>
      </c>
      <c r="B874">
        <f>LARGE(data!F:F,A874)</f>
        <v>0.27786715270000001</v>
      </c>
      <c r="C874">
        <f>COUNTIFS(data!D:D,data!$I$2,data!F:F,"&gt;="&amp;B874)</f>
        <v>465</v>
      </c>
      <c r="D874">
        <f>COUNTIFS(data!D:D,data!$J$2,data!F:F,"&gt;="&amp;B874)</f>
        <v>408</v>
      </c>
      <c r="E874">
        <f>COUNTIFS(data!D:D,data!$J$2,data!F:F,"&lt;"&amp;B874)</f>
        <v>315</v>
      </c>
      <c r="F874">
        <f>COUNTIFS(data!D:D,data!$I$2,data!F:F,"&lt;"&amp;B874)</f>
        <v>69</v>
      </c>
      <c r="G874">
        <f t="shared" si="96"/>
        <v>0.56431535269709543</v>
      </c>
      <c r="H874">
        <f t="shared" si="97"/>
        <v>0.8707865168539326</v>
      </c>
      <c r="I874">
        <f t="shared" si="98"/>
        <v>1.2044073538781874E-3</v>
      </c>
      <c r="J874">
        <f t="shared" si="99"/>
        <v>0.53264604810996563</v>
      </c>
      <c r="K874">
        <f t="shared" si="100"/>
        <v>0.66098081023454158</v>
      </c>
      <c r="L874">
        <f>A874*COUNTIF(data!D:D,data!$I$2)/data!$L$2</f>
        <v>370.86873508353221</v>
      </c>
      <c r="M874" s="1">
        <f>A874/data!$L$2</f>
        <v>0.6945107398568019</v>
      </c>
      <c r="N874">
        <f t="shared" si="101"/>
        <v>1.2538128885285147</v>
      </c>
    </row>
    <row r="875" spans="1:14" x14ac:dyDescent="0.2">
      <c r="A875">
        <v>874</v>
      </c>
      <c r="B875">
        <f>LARGE(data!F:F,A875)</f>
        <v>0.27628339439999999</v>
      </c>
      <c r="C875">
        <f>COUNTIFS(data!D:D,data!$I$2,data!F:F,"&gt;="&amp;B875)</f>
        <v>466</v>
      </c>
      <c r="D875">
        <f>COUNTIFS(data!D:D,data!$J$2,data!F:F,"&gt;="&amp;B875)</f>
        <v>408</v>
      </c>
      <c r="E875">
        <f>COUNTIFS(data!D:D,data!$J$2,data!F:F,"&lt;"&amp;B875)</f>
        <v>315</v>
      </c>
      <c r="F875">
        <f>COUNTIFS(data!D:D,data!$I$2,data!F:F,"&lt;"&amp;B875)</f>
        <v>68</v>
      </c>
      <c r="G875">
        <f t="shared" si="96"/>
        <v>0.56431535269709543</v>
      </c>
      <c r="H875">
        <f t="shared" si="97"/>
        <v>0.87265917602996257</v>
      </c>
      <c r="I875">
        <f t="shared" si="98"/>
        <v>0</v>
      </c>
      <c r="J875">
        <f t="shared" si="99"/>
        <v>0.53318077803203656</v>
      </c>
      <c r="K875">
        <f t="shared" si="100"/>
        <v>0.66193181818181823</v>
      </c>
      <c r="L875">
        <f>A875*COUNTIF(data!D:D,data!$I$2)/data!$L$2</f>
        <v>371.29355608591885</v>
      </c>
      <c r="M875" s="1">
        <f>A875/data!$L$2</f>
        <v>0.69530628480509149</v>
      </c>
      <c r="N875">
        <f t="shared" si="101"/>
        <v>1.2550716067158614</v>
      </c>
    </row>
    <row r="876" spans="1:14" x14ac:dyDescent="0.2">
      <c r="A876">
        <v>875</v>
      </c>
      <c r="B876">
        <f>LARGE(data!F:F,A876)</f>
        <v>0.27560189149999997</v>
      </c>
      <c r="C876">
        <f>COUNTIFS(data!D:D,data!$I$2,data!F:F,"&gt;="&amp;B876)</f>
        <v>466</v>
      </c>
      <c r="D876">
        <f>COUNTIFS(data!D:D,data!$J$2,data!F:F,"&gt;="&amp;B876)</f>
        <v>409</v>
      </c>
      <c r="E876">
        <f>COUNTIFS(data!D:D,data!$J$2,data!F:F,"&lt;"&amp;B876)</f>
        <v>314</v>
      </c>
      <c r="F876">
        <f>COUNTIFS(data!D:D,data!$I$2,data!F:F,"&lt;"&amp;B876)</f>
        <v>68</v>
      </c>
      <c r="G876">
        <f t="shared" si="96"/>
        <v>0.56569847856154909</v>
      </c>
      <c r="H876">
        <f t="shared" si="97"/>
        <v>0.87265917602996257</v>
      </c>
      <c r="I876">
        <f t="shared" si="98"/>
        <v>1.2069974772198609E-3</v>
      </c>
      <c r="J876">
        <f t="shared" si="99"/>
        <v>0.53257142857142858</v>
      </c>
      <c r="K876">
        <f t="shared" si="100"/>
        <v>0.66146202980837476</v>
      </c>
      <c r="L876">
        <f>A876*COUNTIF(data!D:D,data!$I$2)/data!$L$2</f>
        <v>371.71837708830549</v>
      </c>
      <c r="M876" s="1">
        <f>A876/data!$L$2</f>
        <v>0.69610182975338109</v>
      </c>
      <c r="N876">
        <f t="shared" si="101"/>
        <v>1.253637239165329</v>
      </c>
    </row>
    <row r="877" spans="1:14" x14ac:dyDescent="0.2">
      <c r="A877">
        <v>876</v>
      </c>
      <c r="B877">
        <f>LARGE(data!F:F,A877)</f>
        <v>0.27532065880000001</v>
      </c>
      <c r="C877">
        <f>COUNTIFS(data!D:D,data!$I$2,data!F:F,"&gt;="&amp;B877)</f>
        <v>466</v>
      </c>
      <c r="D877">
        <f>COUNTIFS(data!D:D,data!$J$2,data!F:F,"&gt;="&amp;B877)</f>
        <v>410</v>
      </c>
      <c r="E877">
        <f>COUNTIFS(data!D:D,data!$J$2,data!F:F,"&lt;"&amp;B877)</f>
        <v>313</v>
      </c>
      <c r="F877">
        <f>COUNTIFS(data!D:D,data!$I$2,data!F:F,"&lt;"&amp;B877)</f>
        <v>68</v>
      </c>
      <c r="G877">
        <f t="shared" si="96"/>
        <v>0.56708160442600275</v>
      </c>
      <c r="H877">
        <f t="shared" si="97"/>
        <v>0.87265917602996257</v>
      </c>
      <c r="I877">
        <f t="shared" si="98"/>
        <v>1.2069974772198609E-3</v>
      </c>
      <c r="J877">
        <f t="shared" si="99"/>
        <v>0.53196347031963476</v>
      </c>
      <c r="K877">
        <f t="shared" si="100"/>
        <v>0.66099290780141851</v>
      </c>
      <c r="L877">
        <f>A877*COUNTIF(data!D:D,data!$I$2)/data!$L$2</f>
        <v>372.14319809069212</v>
      </c>
      <c r="M877" s="1">
        <f>A877/data!$L$2</f>
        <v>0.69689737470167068</v>
      </c>
      <c r="N877">
        <f t="shared" si="101"/>
        <v>1.2522061464265559</v>
      </c>
    </row>
    <row r="878" spans="1:14" x14ac:dyDescent="0.2">
      <c r="A878">
        <v>877</v>
      </c>
      <c r="B878">
        <f>LARGE(data!F:F,A878)</f>
        <v>0.27518827229999998</v>
      </c>
      <c r="C878">
        <f>COUNTIFS(data!D:D,data!$I$2,data!F:F,"&gt;="&amp;B878)</f>
        <v>466</v>
      </c>
      <c r="D878">
        <f>COUNTIFS(data!D:D,data!$J$2,data!F:F,"&gt;="&amp;B878)</f>
        <v>411</v>
      </c>
      <c r="E878">
        <f>COUNTIFS(data!D:D,data!$J$2,data!F:F,"&lt;"&amp;B878)</f>
        <v>312</v>
      </c>
      <c r="F878">
        <f>COUNTIFS(data!D:D,data!$I$2,data!F:F,"&lt;"&amp;B878)</f>
        <v>68</v>
      </c>
      <c r="G878">
        <f t="shared" si="96"/>
        <v>0.56846473029045641</v>
      </c>
      <c r="H878">
        <f t="shared" si="97"/>
        <v>0.87265917602996257</v>
      </c>
      <c r="I878">
        <f t="shared" si="98"/>
        <v>1.2069974772198609E-3</v>
      </c>
      <c r="J878">
        <f t="shared" si="99"/>
        <v>0.53135689851767387</v>
      </c>
      <c r="K878">
        <f t="shared" si="100"/>
        <v>0.660524450744153</v>
      </c>
      <c r="L878">
        <f>A878*COUNTIF(data!D:D,data!$I$2)/data!$L$2</f>
        <v>372.56801909307876</v>
      </c>
      <c r="M878" s="1">
        <f>A878/data!$L$2</f>
        <v>0.69769291964996027</v>
      </c>
      <c r="N878">
        <f t="shared" si="101"/>
        <v>1.2507783172972211</v>
      </c>
    </row>
    <row r="879" spans="1:14" x14ac:dyDescent="0.2">
      <c r="A879">
        <v>878</v>
      </c>
      <c r="B879">
        <f>LARGE(data!F:F,A879)</f>
        <v>0.27470123359999998</v>
      </c>
      <c r="C879">
        <f>COUNTIFS(data!D:D,data!$I$2,data!F:F,"&gt;="&amp;B879)</f>
        <v>466</v>
      </c>
      <c r="D879">
        <f>COUNTIFS(data!D:D,data!$J$2,data!F:F,"&gt;="&amp;B879)</f>
        <v>412</v>
      </c>
      <c r="E879">
        <f>COUNTIFS(data!D:D,data!$J$2,data!F:F,"&lt;"&amp;B879)</f>
        <v>311</v>
      </c>
      <c r="F879">
        <f>COUNTIFS(data!D:D,data!$I$2,data!F:F,"&lt;"&amp;B879)</f>
        <v>68</v>
      </c>
      <c r="G879">
        <f t="shared" si="96"/>
        <v>0.56984785615491007</v>
      </c>
      <c r="H879">
        <f t="shared" si="97"/>
        <v>0.87265917602996257</v>
      </c>
      <c r="I879">
        <f t="shared" si="98"/>
        <v>1.2069974772198609E-3</v>
      </c>
      <c r="J879">
        <f t="shared" si="99"/>
        <v>0.53075170842824604</v>
      </c>
      <c r="K879">
        <f t="shared" si="100"/>
        <v>0.66005665722379614</v>
      </c>
      <c r="L879">
        <f>A879*COUNTIF(data!D:D,data!$I$2)/data!$L$2</f>
        <v>372.9928400954654</v>
      </c>
      <c r="M879" s="1">
        <f>A879/data!$L$2</f>
        <v>0.69848846459824976</v>
      </c>
      <c r="N879">
        <f t="shared" si="101"/>
        <v>1.2493537406260398</v>
      </c>
    </row>
    <row r="880" spans="1:14" x14ac:dyDescent="0.2">
      <c r="A880">
        <v>879</v>
      </c>
      <c r="B880">
        <f>LARGE(data!F:F,A880)</f>
        <v>0.274536267</v>
      </c>
      <c r="C880">
        <f>COUNTIFS(data!D:D,data!$I$2,data!F:F,"&gt;="&amp;B880)</f>
        <v>467</v>
      </c>
      <c r="D880">
        <f>COUNTIFS(data!D:D,data!$J$2,data!F:F,"&gt;="&amp;B880)</f>
        <v>412</v>
      </c>
      <c r="E880">
        <f>COUNTIFS(data!D:D,data!$J$2,data!F:F,"&lt;"&amp;B880)</f>
        <v>311</v>
      </c>
      <c r="F880">
        <f>COUNTIFS(data!D:D,data!$I$2,data!F:F,"&lt;"&amp;B880)</f>
        <v>67</v>
      </c>
      <c r="G880">
        <f t="shared" si="96"/>
        <v>0.56984785615491007</v>
      </c>
      <c r="H880">
        <f t="shared" si="97"/>
        <v>0.87453183520599254</v>
      </c>
      <c r="I880">
        <f t="shared" si="98"/>
        <v>0</v>
      </c>
      <c r="J880">
        <f t="shared" si="99"/>
        <v>0.53128555176336745</v>
      </c>
      <c r="K880">
        <f t="shared" si="100"/>
        <v>0.6610049539985845</v>
      </c>
      <c r="L880">
        <f>A880*COUNTIF(data!D:D,data!$I$2)/data!$L$2</f>
        <v>373.41766109785203</v>
      </c>
      <c r="M880" s="1">
        <f>A880/data!$L$2</f>
        <v>0.69928400954653935</v>
      </c>
      <c r="N880">
        <f t="shared" si="101"/>
        <v>1.2506103718474773</v>
      </c>
    </row>
    <row r="881" spans="1:14" x14ac:dyDescent="0.2">
      <c r="A881">
        <v>880</v>
      </c>
      <c r="B881">
        <f>LARGE(data!F:F,A881)</f>
        <v>0.27431706119999999</v>
      </c>
      <c r="C881">
        <f>COUNTIFS(data!D:D,data!$I$2,data!F:F,"&gt;="&amp;B881)</f>
        <v>467</v>
      </c>
      <c r="D881">
        <f>COUNTIFS(data!D:D,data!$J$2,data!F:F,"&gt;="&amp;B881)</f>
        <v>413</v>
      </c>
      <c r="E881">
        <f>COUNTIFS(data!D:D,data!$J$2,data!F:F,"&lt;"&amp;B881)</f>
        <v>310</v>
      </c>
      <c r="F881">
        <f>COUNTIFS(data!D:D,data!$I$2,data!F:F,"&lt;"&amp;B881)</f>
        <v>67</v>
      </c>
      <c r="G881">
        <f t="shared" si="96"/>
        <v>0.57123098201936373</v>
      </c>
      <c r="H881">
        <f t="shared" si="97"/>
        <v>0.87453183520599254</v>
      </c>
      <c r="I881">
        <f t="shared" si="98"/>
        <v>1.2095876005615346E-3</v>
      </c>
      <c r="J881">
        <f t="shared" si="99"/>
        <v>0.53068181818181814</v>
      </c>
      <c r="K881">
        <f t="shared" si="100"/>
        <v>0.66053748231966047</v>
      </c>
      <c r="L881">
        <f>A881*COUNTIF(data!D:D,data!$I$2)/data!$L$2</f>
        <v>373.84248210023867</v>
      </c>
      <c r="M881" s="1">
        <f>A881/data!$L$2</f>
        <v>0.70007955449482895</v>
      </c>
      <c r="N881">
        <f t="shared" si="101"/>
        <v>1.2491892236976507</v>
      </c>
    </row>
    <row r="882" spans="1:14" x14ac:dyDescent="0.2">
      <c r="A882">
        <v>881</v>
      </c>
      <c r="B882">
        <f>LARGE(data!F:F,A882)</f>
        <v>0.27392777289999998</v>
      </c>
      <c r="C882">
        <f>COUNTIFS(data!D:D,data!$I$2,data!F:F,"&gt;="&amp;B882)</f>
        <v>467</v>
      </c>
      <c r="D882">
        <f>COUNTIFS(data!D:D,data!$J$2,data!F:F,"&gt;="&amp;B882)</f>
        <v>414</v>
      </c>
      <c r="E882">
        <f>COUNTIFS(data!D:D,data!$J$2,data!F:F,"&lt;"&amp;B882)</f>
        <v>309</v>
      </c>
      <c r="F882">
        <f>COUNTIFS(data!D:D,data!$I$2,data!F:F,"&lt;"&amp;B882)</f>
        <v>67</v>
      </c>
      <c r="G882">
        <f t="shared" si="96"/>
        <v>0.57261410788381739</v>
      </c>
      <c r="H882">
        <f t="shared" si="97"/>
        <v>0.87453183520599254</v>
      </c>
      <c r="I882">
        <f t="shared" si="98"/>
        <v>1.2095876005615346E-3</v>
      </c>
      <c r="J882">
        <f t="shared" si="99"/>
        <v>0.53007945516458566</v>
      </c>
      <c r="K882">
        <f t="shared" si="100"/>
        <v>0.66007067137809172</v>
      </c>
      <c r="L882">
        <f>A882*COUNTIF(data!D:D,data!$I$2)/data!$L$2</f>
        <v>374.26730310262531</v>
      </c>
      <c r="M882" s="1">
        <f>A882/data!$L$2</f>
        <v>0.70087509944311854</v>
      </c>
      <c r="N882">
        <f t="shared" si="101"/>
        <v>1.2477713017638281</v>
      </c>
    </row>
    <row r="883" spans="1:14" x14ac:dyDescent="0.2">
      <c r="A883">
        <v>882</v>
      </c>
      <c r="B883">
        <f>LARGE(data!F:F,A883)</f>
        <v>0.27302161200000002</v>
      </c>
      <c r="C883">
        <f>COUNTIFS(data!D:D,data!$I$2,data!F:F,"&gt;="&amp;B883)</f>
        <v>468</v>
      </c>
      <c r="D883">
        <f>COUNTIFS(data!D:D,data!$J$2,data!F:F,"&gt;="&amp;B883)</f>
        <v>414</v>
      </c>
      <c r="E883">
        <f>COUNTIFS(data!D:D,data!$J$2,data!F:F,"&lt;"&amp;B883)</f>
        <v>309</v>
      </c>
      <c r="F883">
        <f>COUNTIFS(data!D:D,data!$I$2,data!F:F,"&lt;"&amp;B883)</f>
        <v>66</v>
      </c>
      <c r="G883">
        <f t="shared" si="96"/>
        <v>0.57261410788381739</v>
      </c>
      <c r="H883">
        <f t="shared" si="97"/>
        <v>0.8764044943820225</v>
      </c>
      <c r="I883">
        <f t="shared" si="98"/>
        <v>0</v>
      </c>
      <c r="J883">
        <f t="shared" si="99"/>
        <v>0.53061224489795922</v>
      </c>
      <c r="K883">
        <f t="shared" si="100"/>
        <v>0.66101694915254239</v>
      </c>
      <c r="L883">
        <f>A883*COUNTIF(data!D:D,data!$I$2)/data!$L$2</f>
        <v>374.69212410501194</v>
      </c>
      <c r="M883" s="1">
        <f>A883/data!$L$2</f>
        <v>0.70167064439140814</v>
      </c>
      <c r="N883">
        <f t="shared" si="101"/>
        <v>1.2490254528777802</v>
      </c>
    </row>
    <row r="884" spans="1:14" x14ac:dyDescent="0.2">
      <c r="A884">
        <v>883</v>
      </c>
      <c r="B884">
        <f>LARGE(data!F:F,A884)</f>
        <v>0.27253556639999998</v>
      </c>
      <c r="C884">
        <f>COUNTIFS(data!D:D,data!$I$2,data!F:F,"&gt;="&amp;B884)</f>
        <v>470</v>
      </c>
      <c r="D884">
        <f>COUNTIFS(data!D:D,data!$J$2,data!F:F,"&gt;="&amp;B884)</f>
        <v>414</v>
      </c>
      <c r="E884">
        <f>COUNTIFS(data!D:D,data!$J$2,data!F:F,"&lt;"&amp;B884)</f>
        <v>309</v>
      </c>
      <c r="F884">
        <f>COUNTIFS(data!D:D,data!$I$2,data!F:F,"&lt;"&amp;B884)</f>
        <v>64</v>
      </c>
      <c r="G884">
        <f t="shared" si="96"/>
        <v>0.57261410788381739</v>
      </c>
      <c r="H884">
        <f t="shared" si="97"/>
        <v>0.88014981273408244</v>
      </c>
      <c r="I884">
        <f t="shared" si="98"/>
        <v>0</v>
      </c>
      <c r="J884">
        <f t="shared" si="99"/>
        <v>0.53167420814479638</v>
      </c>
      <c r="K884">
        <f t="shared" si="100"/>
        <v>0.66290550070521859</v>
      </c>
      <c r="L884">
        <f>A884*COUNTIF(data!D:D,data!$I$2)/data!$L$2</f>
        <v>375.11694510739858</v>
      </c>
      <c r="M884" s="1">
        <f>A884/data!$L$2</f>
        <v>0.70246618933969773</v>
      </c>
      <c r="N884">
        <f t="shared" si="101"/>
        <v>1.2529425986486313</v>
      </c>
    </row>
    <row r="885" spans="1:14" x14ac:dyDescent="0.2">
      <c r="A885">
        <v>884</v>
      </c>
      <c r="B885">
        <f>LARGE(data!F:F,A885)</f>
        <v>0.27253556639999998</v>
      </c>
      <c r="C885">
        <f>COUNTIFS(data!D:D,data!$I$2,data!F:F,"&gt;="&amp;B885)</f>
        <v>470</v>
      </c>
      <c r="D885">
        <f>COUNTIFS(data!D:D,data!$J$2,data!F:F,"&gt;="&amp;B885)</f>
        <v>414</v>
      </c>
      <c r="E885">
        <f>COUNTIFS(data!D:D,data!$J$2,data!F:F,"&lt;"&amp;B885)</f>
        <v>309</v>
      </c>
      <c r="F885">
        <f>COUNTIFS(data!D:D,data!$I$2,data!F:F,"&lt;"&amp;B885)</f>
        <v>64</v>
      </c>
      <c r="G885">
        <f t="shared" si="96"/>
        <v>0.57261410788381739</v>
      </c>
      <c r="H885">
        <f t="shared" si="97"/>
        <v>0.88014981273408244</v>
      </c>
      <c r="I885">
        <f t="shared" si="98"/>
        <v>0</v>
      </c>
      <c r="J885">
        <f t="shared" si="99"/>
        <v>0.53167420814479638</v>
      </c>
      <c r="K885">
        <f t="shared" si="100"/>
        <v>0.66290550070521859</v>
      </c>
      <c r="L885">
        <f>A885*COUNTIF(data!D:D,data!$I$2)/data!$L$2</f>
        <v>375.54176610978521</v>
      </c>
      <c r="M885" s="1">
        <f>A885/data!$L$2</f>
        <v>0.70326173428798722</v>
      </c>
      <c r="N885">
        <f t="shared" si="101"/>
        <v>1.2515252427678072</v>
      </c>
    </row>
    <row r="886" spans="1:14" x14ac:dyDescent="0.2">
      <c r="A886">
        <v>885</v>
      </c>
      <c r="B886">
        <f>LARGE(data!F:F,A886)</f>
        <v>0.27245282739999999</v>
      </c>
      <c r="C886">
        <f>COUNTIFS(data!D:D,data!$I$2,data!F:F,"&gt;="&amp;B886)</f>
        <v>470</v>
      </c>
      <c r="D886">
        <f>COUNTIFS(data!D:D,data!$J$2,data!F:F,"&gt;="&amp;B886)</f>
        <v>415</v>
      </c>
      <c r="E886">
        <f>COUNTIFS(data!D:D,data!$J$2,data!F:F,"&lt;"&amp;B886)</f>
        <v>308</v>
      </c>
      <c r="F886">
        <f>COUNTIFS(data!D:D,data!$I$2,data!F:F,"&lt;"&amp;B886)</f>
        <v>64</v>
      </c>
      <c r="G886">
        <f t="shared" si="96"/>
        <v>0.57399723374827105</v>
      </c>
      <c r="H886">
        <f t="shared" si="97"/>
        <v>0.88014981273408244</v>
      </c>
      <c r="I886">
        <f t="shared" si="98"/>
        <v>1.217357970586555E-3</v>
      </c>
      <c r="J886">
        <f t="shared" si="99"/>
        <v>0.53107344632768361</v>
      </c>
      <c r="K886">
        <f t="shared" si="100"/>
        <v>0.66243833685694165</v>
      </c>
      <c r="L886">
        <f>A886*COUNTIF(data!D:D,data!$I$2)/data!$L$2</f>
        <v>375.96658711217185</v>
      </c>
      <c r="M886" s="1">
        <f>A886/data!$L$2</f>
        <v>0.70405727923627681</v>
      </c>
      <c r="N886">
        <f t="shared" si="101"/>
        <v>1.2501110899511203</v>
      </c>
    </row>
    <row r="887" spans="1:14" x14ac:dyDescent="0.2">
      <c r="A887">
        <v>886</v>
      </c>
      <c r="B887">
        <f>LARGE(data!F:F,A887)</f>
        <v>0.27087835970000002</v>
      </c>
      <c r="C887">
        <f>COUNTIFS(data!D:D,data!$I$2,data!F:F,"&gt;="&amp;B887)</f>
        <v>470</v>
      </c>
      <c r="D887">
        <f>COUNTIFS(data!D:D,data!$J$2,data!F:F,"&gt;="&amp;B887)</f>
        <v>416</v>
      </c>
      <c r="E887">
        <f>COUNTIFS(data!D:D,data!$J$2,data!F:F,"&lt;"&amp;B887)</f>
        <v>307</v>
      </c>
      <c r="F887">
        <f>COUNTIFS(data!D:D,data!$I$2,data!F:F,"&lt;"&amp;B887)</f>
        <v>64</v>
      </c>
      <c r="G887">
        <f t="shared" si="96"/>
        <v>0.57538035961272471</v>
      </c>
      <c r="H887">
        <f t="shared" si="97"/>
        <v>0.88014981273408244</v>
      </c>
      <c r="I887">
        <f t="shared" si="98"/>
        <v>1.217357970586555E-3</v>
      </c>
      <c r="J887">
        <f t="shared" si="99"/>
        <v>0.53047404063205417</v>
      </c>
      <c r="K887">
        <f t="shared" si="100"/>
        <v>0.6619718309859155</v>
      </c>
      <c r="L887">
        <f>A887*COUNTIF(data!D:D,data!$I$2)/data!$L$2</f>
        <v>376.39140811455849</v>
      </c>
      <c r="M887" s="1">
        <f>A887/data!$L$2</f>
        <v>0.70485282418456641</v>
      </c>
      <c r="N887">
        <f t="shared" si="101"/>
        <v>1.2487001293529814</v>
      </c>
    </row>
    <row r="888" spans="1:14" x14ac:dyDescent="0.2">
      <c r="A888">
        <v>887</v>
      </c>
      <c r="B888">
        <f>LARGE(data!F:F,A888)</f>
        <v>0.27080026419999997</v>
      </c>
      <c r="C888">
        <f>COUNTIFS(data!D:D,data!$I$2,data!F:F,"&gt;="&amp;B888)</f>
        <v>470</v>
      </c>
      <c r="D888">
        <f>COUNTIFS(data!D:D,data!$J$2,data!F:F,"&gt;="&amp;B888)</f>
        <v>417</v>
      </c>
      <c r="E888">
        <f>COUNTIFS(data!D:D,data!$J$2,data!F:F,"&lt;"&amp;B888)</f>
        <v>306</v>
      </c>
      <c r="F888">
        <f>COUNTIFS(data!D:D,data!$I$2,data!F:F,"&lt;"&amp;B888)</f>
        <v>64</v>
      </c>
      <c r="G888">
        <f t="shared" si="96"/>
        <v>0.57676348547717837</v>
      </c>
      <c r="H888">
        <f t="shared" si="97"/>
        <v>0.88014981273408244</v>
      </c>
      <c r="I888">
        <f t="shared" si="98"/>
        <v>1.217357970586555E-3</v>
      </c>
      <c r="J888">
        <f t="shared" si="99"/>
        <v>0.52987598647125145</v>
      </c>
      <c r="K888">
        <f t="shared" si="100"/>
        <v>0.66150598170302599</v>
      </c>
      <c r="L888">
        <f>A888*COUNTIF(data!D:D,data!$I$2)/data!$L$2</f>
        <v>376.81622911694512</v>
      </c>
      <c r="M888" s="1">
        <f>A888/data!$L$2</f>
        <v>0.705648369132856</v>
      </c>
      <c r="N888">
        <f t="shared" si="101"/>
        <v>1.2472923501767097</v>
      </c>
    </row>
    <row r="889" spans="1:14" x14ac:dyDescent="0.2">
      <c r="A889">
        <v>888</v>
      </c>
      <c r="B889">
        <f>LARGE(data!F:F,A889)</f>
        <v>0.26763869359999998</v>
      </c>
      <c r="C889">
        <f>COUNTIFS(data!D:D,data!$I$2,data!F:F,"&gt;="&amp;B889)</f>
        <v>470</v>
      </c>
      <c r="D889">
        <f>COUNTIFS(data!D:D,data!$J$2,data!F:F,"&gt;="&amp;B889)</f>
        <v>418</v>
      </c>
      <c r="E889">
        <f>COUNTIFS(data!D:D,data!$J$2,data!F:F,"&lt;"&amp;B889)</f>
        <v>305</v>
      </c>
      <c r="F889">
        <f>COUNTIFS(data!D:D,data!$I$2,data!F:F,"&lt;"&amp;B889)</f>
        <v>64</v>
      </c>
      <c r="G889">
        <f t="shared" si="96"/>
        <v>0.57814661134163214</v>
      </c>
      <c r="H889">
        <f t="shared" si="97"/>
        <v>0.88014981273408244</v>
      </c>
      <c r="I889">
        <f t="shared" si="98"/>
        <v>1.2173579705866528E-3</v>
      </c>
      <c r="J889">
        <f t="shared" si="99"/>
        <v>0.52927927927927931</v>
      </c>
      <c r="K889">
        <f t="shared" si="100"/>
        <v>0.66104078762306617</v>
      </c>
      <c r="L889">
        <f>A889*COUNTIF(data!D:D,data!$I$2)/data!$L$2</f>
        <v>377.24105011933176</v>
      </c>
      <c r="M889" s="1">
        <f>A889/data!$L$2</f>
        <v>0.7064439140811456</v>
      </c>
      <c r="N889">
        <f t="shared" si="101"/>
        <v>1.2458877416742584</v>
      </c>
    </row>
    <row r="890" spans="1:14" x14ac:dyDescent="0.2">
      <c r="A890">
        <v>889</v>
      </c>
      <c r="B890">
        <f>LARGE(data!F:F,A890)</f>
        <v>0.2671970172</v>
      </c>
      <c r="C890">
        <f>COUNTIFS(data!D:D,data!$I$2,data!F:F,"&gt;="&amp;B890)</f>
        <v>471</v>
      </c>
      <c r="D890">
        <f>COUNTIFS(data!D:D,data!$J$2,data!F:F,"&gt;="&amp;B890)</f>
        <v>418</v>
      </c>
      <c r="E890">
        <f>COUNTIFS(data!D:D,data!$J$2,data!F:F,"&lt;"&amp;B890)</f>
        <v>305</v>
      </c>
      <c r="F890">
        <f>COUNTIFS(data!D:D,data!$I$2,data!F:F,"&lt;"&amp;B890)</f>
        <v>63</v>
      </c>
      <c r="G890">
        <f t="shared" si="96"/>
        <v>0.57814661134163214</v>
      </c>
      <c r="H890">
        <f t="shared" si="97"/>
        <v>0.8820224719101124</v>
      </c>
      <c r="I890">
        <f t="shared" si="98"/>
        <v>0</v>
      </c>
      <c r="J890">
        <f t="shared" si="99"/>
        <v>0.52980877390326209</v>
      </c>
      <c r="K890">
        <f t="shared" si="100"/>
        <v>0.66198172874209416</v>
      </c>
      <c r="L890">
        <f>A890*COUNTIF(data!D:D,data!$I$2)/data!$L$2</f>
        <v>377.6658711217184</v>
      </c>
      <c r="M890" s="1">
        <f>A890/data!$L$2</f>
        <v>0.70723945902943519</v>
      </c>
      <c r="N890">
        <f t="shared" si="101"/>
        <v>1.2471341363228472</v>
      </c>
    </row>
    <row r="891" spans="1:14" x14ac:dyDescent="0.2">
      <c r="A891">
        <v>890</v>
      </c>
      <c r="B891">
        <f>LARGE(data!F:F,A891)</f>
        <v>0.26661269479999999</v>
      </c>
      <c r="C891">
        <f>COUNTIFS(data!D:D,data!$I$2,data!F:F,"&gt;="&amp;B891)</f>
        <v>471</v>
      </c>
      <c r="D891">
        <f>COUNTIFS(data!D:D,data!$J$2,data!F:F,"&gt;="&amp;B891)</f>
        <v>419</v>
      </c>
      <c r="E891">
        <f>COUNTIFS(data!D:D,data!$J$2,data!F:F,"&lt;"&amp;B891)</f>
        <v>304</v>
      </c>
      <c r="F891">
        <f>COUNTIFS(data!D:D,data!$I$2,data!F:F,"&lt;"&amp;B891)</f>
        <v>63</v>
      </c>
      <c r="G891">
        <f t="shared" si="96"/>
        <v>0.5795297372060858</v>
      </c>
      <c r="H891">
        <f t="shared" si="97"/>
        <v>0.8820224719101124</v>
      </c>
      <c r="I891">
        <f t="shared" si="98"/>
        <v>1.2199480939282287E-3</v>
      </c>
      <c r="J891">
        <f t="shared" si="99"/>
        <v>0.52921348314606742</v>
      </c>
      <c r="K891">
        <f t="shared" si="100"/>
        <v>0.6615168539325843</v>
      </c>
      <c r="L891">
        <f>A891*COUNTIF(data!D:D,data!$I$2)/data!$L$2</f>
        <v>378.09069212410503</v>
      </c>
      <c r="M891" s="1">
        <f>A891/data!$L$2</f>
        <v>0.70803500397772479</v>
      </c>
      <c r="N891">
        <f t="shared" si="101"/>
        <v>1.2457328620123722</v>
      </c>
    </row>
    <row r="892" spans="1:14" x14ac:dyDescent="0.2">
      <c r="A892">
        <v>891</v>
      </c>
      <c r="B892">
        <f>LARGE(data!F:F,A892)</f>
        <v>0.2664949814</v>
      </c>
      <c r="C892">
        <f>COUNTIFS(data!D:D,data!$I$2,data!F:F,"&gt;="&amp;B892)</f>
        <v>471</v>
      </c>
      <c r="D892">
        <f>COUNTIFS(data!D:D,data!$J$2,data!F:F,"&gt;="&amp;B892)</f>
        <v>420</v>
      </c>
      <c r="E892">
        <f>COUNTIFS(data!D:D,data!$J$2,data!F:F,"&lt;"&amp;B892)</f>
        <v>303</v>
      </c>
      <c r="F892">
        <f>COUNTIFS(data!D:D,data!$I$2,data!F:F,"&lt;"&amp;B892)</f>
        <v>63</v>
      </c>
      <c r="G892">
        <f t="shared" si="96"/>
        <v>0.58091286307053946</v>
      </c>
      <c r="H892">
        <f t="shared" si="97"/>
        <v>0.8820224719101124</v>
      </c>
      <c r="I892">
        <f t="shared" si="98"/>
        <v>1.2199480939282287E-3</v>
      </c>
      <c r="J892">
        <f t="shared" si="99"/>
        <v>0.52861952861952866</v>
      </c>
      <c r="K892">
        <f t="shared" si="100"/>
        <v>0.66105263157894745</v>
      </c>
      <c r="L892">
        <f>A892*COUNTIF(data!D:D,data!$I$2)/data!$L$2</f>
        <v>378.51551312649167</v>
      </c>
      <c r="M892" s="1">
        <f>A892/data!$L$2</f>
        <v>0.70883054892601427</v>
      </c>
      <c r="N892">
        <f t="shared" si="101"/>
        <v>1.244334733098778</v>
      </c>
    </row>
    <row r="893" spans="1:14" x14ac:dyDescent="0.2">
      <c r="A893">
        <v>892</v>
      </c>
      <c r="B893">
        <f>LARGE(data!F:F,A893)</f>
        <v>0.26572408289999999</v>
      </c>
      <c r="C893">
        <f>COUNTIFS(data!D:D,data!$I$2,data!F:F,"&gt;="&amp;B893)</f>
        <v>471</v>
      </c>
      <c r="D893">
        <f>COUNTIFS(data!D:D,data!$J$2,data!F:F,"&gt;="&amp;B893)</f>
        <v>421</v>
      </c>
      <c r="E893">
        <f>COUNTIFS(data!D:D,data!$J$2,data!F:F,"&lt;"&amp;B893)</f>
        <v>302</v>
      </c>
      <c r="F893">
        <f>COUNTIFS(data!D:D,data!$I$2,data!F:F,"&lt;"&amp;B893)</f>
        <v>63</v>
      </c>
      <c r="G893">
        <f t="shared" si="96"/>
        <v>0.58229598893499313</v>
      </c>
      <c r="H893">
        <f t="shared" si="97"/>
        <v>0.8820224719101124</v>
      </c>
      <c r="I893">
        <f t="shared" si="98"/>
        <v>1.2199480939282287E-3</v>
      </c>
      <c r="J893">
        <f t="shared" si="99"/>
        <v>0.52802690582959644</v>
      </c>
      <c r="K893">
        <f t="shared" si="100"/>
        <v>0.66058906030855546</v>
      </c>
      <c r="L893">
        <f>A893*COUNTIF(data!D:D,data!$I$2)/data!$L$2</f>
        <v>378.94033412887831</v>
      </c>
      <c r="M893" s="1">
        <f>A893/data!$L$2</f>
        <v>0.70962609387430386</v>
      </c>
      <c r="N893">
        <f t="shared" si="101"/>
        <v>1.2429397390033758</v>
      </c>
    </row>
    <row r="894" spans="1:14" x14ac:dyDescent="0.2">
      <c r="A894">
        <v>893</v>
      </c>
      <c r="B894">
        <f>LARGE(data!F:F,A894)</f>
        <v>0.26540982730000001</v>
      </c>
      <c r="C894">
        <f>COUNTIFS(data!D:D,data!$I$2,data!F:F,"&gt;="&amp;B894)</f>
        <v>471</v>
      </c>
      <c r="D894">
        <f>COUNTIFS(data!D:D,data!$J$2,data!F:F,"&gt;="&amp;B894)</f>
        <v>422</v>
      </c>
      <c r="E894">
        <f>COUNTIFS(data!D:D,data!$J$2,data!F:F,"&lt;"&amp;B894)</f>
        <v>301</v>
      </c>
      <c r="F894">
        <f>COUNTIFS(data!D:D,data!$I$2,data!F:F,"&lt;"&amp;B894)</f>
        <v>63</v>
      </c>
      <c r="G894">
        <f t="shared" si="96"/>
        <v>0.58367911479944679</v>
      </c>
      <c r="H894">
        <f t="shared" si="97"/>
        <v>0.8820224719101124</v>
      </c>
      <c r="I894">
        <f t="shared" si="98"/>
        <v>1.2199480939282287E-3</v>
      </c>
      <c r="J894">
        <f t="shared" si="99"/>
        <v>0.52743561030235164</v>
      </c>
      <c r="K894">
        <f t="shared" si="100"/>
        <v>0.66012613875262793</v>
      </c>
      <c r="L894">
        <f>A894*COUNTIF(data!D:D,data!$I$2)/data!$L$2</f>
        <v>379.36515513126494</v>
      </c>
      <c r="M894" s="1">
        <f>A894/data!$L$2</f>
        <v>0.71042163882259346</v>
      </c>
      <c r="N894">
        <f t="shared" si="101"/>
        <v>1.2415478691948614</v>
      </c>
    </row>
    <row r="895" spans="1:14" x14ac:dyDescent="0.2">
      <c r="A895">
        <v>894</v>
      </c>
      <c r="B895">
        <f>LARGE(data!F:F,A895)</f>
        <v>0.26502441339999999</v>
      </c>
      <c r="C895">
        <f>COUNTIFS(data!D:D,data!$I$2,data!F:F,"&gt;="&amp;B895)</f>
        <v>471</v>
      </c>
      <c r="D895">
        <f>COUNTIFS(data!D:D,data!$J$2,data!F:F,"&gt;="&amp;B895)</f>
        <v>423</v>
      </c>
      <c r="E895">
        <f>COUNTIFS(data!D:D,data!$J$2,data!F:F,"&lt;"&amp;B895)</f>
        <v>300</v>
      </c>
      <c r="F895">
        <f>COUNTIFS(data!D:D,data!$I$2,data!F:F,"&lt;"&amp;B895)</f>
        <v>63</v>
      </c>
      <c r="G895">
        <f t="shared" si="96"/>
        <v>0.58506224066390045</v>
      </c>
      <c r="H895">
        <f t="shared" si="97"/>
        <v>0.8820224719101124</v>
      </c>
      <c r="I895">
        <f t="shared" si="98"/>
        <v>1.2199480939282287E-3</v>
      </c>
      <c r="J895">
        <f t="shared" si="99"/>
        <v>0.52684563758389258</v>
      </c>
      <c r="K895">
        <f t="shared" si="100"/>
        <v>0.65966386554621848</v>
      </c>
      <c r="L895">
        <f>A895*COUNTIF(data!D:D,data!$I$2)/data!$L$2</f>
        <v>379.78997613365158</v>
      </c>
      <c r="M895" s="1">
        <f>A895/data!$L$2</f>
        <v>0.71121718377088305</v>
      </c>
      <c r="N895">
        <f t="shared" si="101"/>
        <v>1.2401591131890506</v>
      </c>
    </row>
    <row r="896" spans="1:14" x14ac:dyDescent="0.2">
      <c r="A896">
        <v>895</v>
      </c>
      <c r="B896">
        <f>LARGE(data!F:F,A896)</f>
        <v>0.26491461220000001</v>
      </c>
      <c r="C896">
        <f>COUNTIFS(data!D:D,data!$I$2,data!F:F,"&gt;="&amp;B896)</f>
        <v>471</v>
      </c>
      <c r="D896">
        <f>COUNTIFS(data!D:D,data!$J$2,data!F:F,"&gt;="&amp;B896)</f>
        <v>424</v>
      </c>
      <c r="E896">
        <f>COUNTIFS(data!D:D,data!$J$2,data!F:F,"&lt;"&amp;B896)</f>
        <v>299</v>
      </c>
      <c r="F896">
        <f>COUNTIFS(data!D:D,data!$I$2,data!F:F,"&lt;"&amp;B896)</f>
        <v>63</v>
      </c>
      <c r="G896">
        <f t="shared" si="96"/>
        <v>0.58644536652835411</v>
      </c>
      <c r="H896">
        <f t="shared" si="97"/>
        <v>0.8820224719101124</v>
      </c>
      <c r="I896">
        <f t="shared" si="98"/>
        <v>1.2199480939282287E-3</v>
      </c>
      <c r="J896">
        <f t="shared" si="99"/>
        <v>0.52625698324022341</v>
      </c>
      <c r="K896">
        <f t="shared" si="100"/>
        <v>0.65920223932820143</v>
      </c>
      <c r="L896">
        <f>A896*COUNTIF(data!D:D,data!$I$2)/data!$L$2</f>
        <v>380.21479713603821</v>
      </c>
      <c r="M896" s="1">
        <f>A896/data!$L$2</f>
        <v>0.71201272871917265</v>
      </c>
      <c r="N896">
        <f t="shared" si="101"/>
        <v>1.2387734605486158</v>
      </c>
    </row>
    <row r="897" spans="1:14" x14ac:dyDescent="0.2">
      <c r="A897">
        <v>896</v>
      </c>
      <c r="B897">
        <f>LARGE(data!F:F,A897)</f>
        <v>0.26448482099999998</v>
      </c>
      <c r="C897">
        <f>COUNTIFS(data!D:D,data!$I$2,data!F:F,"&gt;="&amp;B897)</f>
        <v>471</v>
      </c>
      <c r="D897">
        <f>COUNTIFS(data!D:D,data!$J$2,data!F:F,"&gt;="&amp;B897)</f>
        <v>425</v>
      </c>
      <c r="E897">
        <f>COUNTIFS(data!D:D,data!$J$2,data!F:F,"&lt;"&amp;B897)</f>
        <v>298</v>
      </c>
      <c r="F897">
        <f>COUNTIFS(data!D:D,data!$I$2,data!F:F,"&lt;"&amp;B897)</f>
        <v>63</v>
      </c>
      <c r="G897">
        <f t="shared" si="96"/>
        <v>0.58782849239280777</v>
      </c>
      <c r="H897">
        <f t="shared" si="97"/>
        <v>0.8820224719101124</v>
      </c>
      <c r="I897">
        <f t="shared" si="98"/>
        <v>1.2199480939282287E-3</v>
      </c>
      <c r="J897">
        <f t="shared" si="99"/>
        <v>0.5256696428571429</v>
      </c>
      <c r="K897">
        <f t="shared" si="100"/>
        <v>0.65874125874125888</v>
      </c>
      <c r="L897">
        <f>A897*COUNTIF(data!D:D,data!$I$2)/data!$L$2</f>
        <v>380.63961813842479</v>
      </c>
      <c r="M897" s="1">
        <f>A897/data!$L$2</f>
        <v>0.71280827366746224</v>
      </c>
      <c r="N897">
        <f t="shared" si="101"/>
        <v>1.2373909008828252</v>
      </c>
    </row>
    <row r="898" spans="1:14" x14ac:dyDescent="0.2">
      <c r="A898">
        <v>897</v>
      </c>
      <c r="B898">
        <f>LARGE(data!F:F,A898)</f>
        <v>0.26390258550000001</v>
      </c>
      <c r="C898">
        <f>COUNTIFS(data!D:D,data!$I$2,data!F:F,"&gt;="&amp;B898)</f>
        <v>472</v>
      </c>
      <c r="D898">
        <f>COUNTIFS(data!D:D,data!$J$2,data!F:F,"&gt;="&amp;B898)</f>
        <v>425</v>
      </c>
      <c r="E898">
        <f>COUNTIFS(data!D:D,data!$J$2,data!F:F,"&lt;"&amp;B898)</f>
        <v>298</v>
      </c>
      <c r="F898">
        <f>COUNTIFS(data!D:D,data!$I$2,data!F:F,"&lt;"&amp;B898)</f>
        <v>62</v>
      </c>
      <c r="G898">
        <f t="shared" si="96"/>
        <v>0.58782849239280777</v>
      </c>
      <c r="H898">
        <f t="shared" si="97"/>
        <v>0.88389513108614237</v>
      </c>
      <c r="I898">
        <f t="shared" si="98"/>
        <v>0</v>
      </c>
      <c r="J898">
        <f t="shared" si="99"/>
        <v>0.52619843924191745</v>
      </c>
      <c r="K898">
        <f t="shared" si="100"/>
        <v>0.65967854647099933</v>
      </c>
      <c r="L898">
        <f>A898*COUNTIF(data!D:D,data!$I$2)/data!$L$2</f>
        <v>381.06443914081143</v>
      </c>
      <c r="M898" s="1">
        <f>A898/data!$L$2</f>
        <v>0.71360381861575184</v>
      </c>
      <c r="N898">
        <f t="shared" si="101"/>
        <v>1.2386356519233901</v>
      </c>
    </row>
    <row r="899" spans="1:14" x14ac:dyDescent="0.2">
      <c r="A899">
        <v>898</v>
      </c>
      <c r="B899">
        <f>LARGE(data!F:F,A899)</f>
        <v>0.26340155209999999</v>
      </c>
      <c r="C899">
        <f>COUNTIFS(data!D:D,data!$I$2,data!F:F,"&gt;="&amp;B899)</f>
        <v>472</v>
      </c>
      <c r="D899">
        <f>COUNTIFS(data!D:D,data!$J$2,data!F:F,"&gt;="&amp;B899)</f>
        <v>426</v>
      </c>
      <c r="E899">
        <f>COUNTIFS(data!D:D,data!$J$2,data!F:F,"&lt;"&amp;B899)</f>
        <v>297</v>
      </c>
      <c r="F899">
        <f>COUNTIFS(data!D:D,data!$I$2,data!F:F,"&lt;"&amp;B899)</f>
        <v>62</v>
      </c>
      <c r="G899">
        <f t="shared" si="96"/>
        <v>0.58921161825726143</v>
      </c>
      <c r="H899">
        <f t="shared" si="97"/>
        <v>0.88389513108614237</v>
      </c>
      <c r="I899">
        <f t="shared" si="98"/>
        <v>1.2225382172699022E-3</v>
      </c>
      <c r="J899">
        <f t="shared" si="99"/>
        <v>0.52561247216035634</v>
      </c>
      <c r="K899">
        <f t="shared" si="100"/>
        <v>0.65921787709497215</v>
      </c>
      <c r="L899">
        <f>A899*COUNTIF(data!D:D,data!$I$2)/data!$L$2</f>
        <v>381.48926014319807</v>
      </c>
      <c r="M899" s="1">
        <f>A899/data!$L$2</f>
        <v>0.71439936356404132</v>
      </c>
      <c r="N899">
        <f t="shared" si="101"/>
        <v>1.237256324916794</v>
      </c>
    </row>
    <row r="900" spans="1:14" x14ac:dyDescent="0.2">
      <c r="A900">
        <v>899</v>
      </c>
      <c r="B900">
        <f>LARGE(data!F:F,A900)</f>
        <v>0.26340089329999999</v>
      </c>
      <c r="C900">
        <f>COUNTIFS(data!D:D,data!$I$2,data!F:F,"&gt;="&amp;B900)</f>
        <v>472</v>
      </c>
      <c r="D900">
        <f>COUNTIFS(data!D:D,data!$J$2,data!F:F,"&gt;="&amp;B900)</f>
        <v>427</v>
      </c>
      <c r="E900">
        <f>COUNTIFS(data!D:D,data!$J$2,data!F:F,"&lt;"&amp;B900)</f>
        <v>296</v>
      </c>
      <c r="F900">
        <f>COUNTIFS(data!D:D,data!$I$2,data!F:F,"&lt;"&amp;B900)</f>
        <v>62</v>
      </c>
      <c r="G900">
        <f t="shared" si="96"/>
        <v>0.59059474412171509</v>
      </c>
      <c r="H900">
        <f t="shared" si="97"/>
        <v>0.88389513108614237</v>
      </c>
      <c r="I900">
        <f t="shared" si="98"/>
        <v>1.2225382172699022E-3</v>
      </c>
      <c r="J900">
        <f t="shared" si="99"/>
        <v>0.52502780867630705</v>
      </c>
      <c r="K900">
        <f t="shared" si="100"/>
        <v>0.6587578506629449</v>
      </c>
      <c r="L900">
        <f>A900*COUNTIF(data!D:D,data!$I$2)/data!$L$2</f>
        <v>381.9140811455847</v>
      </c>
      <c r="M900" s="1">
        <f>A900/data!$L$2</f>
        <v>0.71519490851233092</v>
      </c>
      <c r="N900">
        <f t="shared" si="101"/>
        <v>1.2358800664908576</v>
      </c>
    </row>
    <row r="901" spans="1:14" x14ac:dyDescent="0.2">
      <c r="A901">
        <v>900</v>
      </c>
      <c r="B901">
        <f>LARGE(data!F:F,A901)</f>
        <v>0.26274616629999997</v>
      </c>
      <c r="C901">
        <f>COUNTIFS(data!D:D,data!$I$2,data!F:F,"&gt;="&amp;B901)</f>
        <v>472</v>
      </c>
      <c r="D901">
        <f>COUNTIFS(data!D:D,data!$J$2,data!F:F,"&gt;="&amp;B901)</f>
        <v>428</v>
      </c>
      <c r="E901">
        <f>COUNTIFS(data!D:D,data!$J$2,data!F:F,"&lt;"&amp;B901)</f>
        <v>295</v>
      </c>
      <c r="F901">
        <f>COUNTIFS(data!D:D,data!$I$2,data!F:F,"&lt;"&amp;B901)</f>
        <v>62</v>
      </c>
      <c r="G901">
        <f t="shared" si="96"/>
        <v>0.59197786998616875</v>
      </c>
      <c r="H901">
        <f t="shared" si="97"/>
        <v>0.88389513108614237</v>
      </c>
      <c r="I901">
        <f t="shared" si="98"/>
        <v>1.2225382172699022E-3</v>
      </c>
      <c r="J901">
        <f t="shared" si="99"/>
        <v>0.52444444444444449</v>
      </c>
      <c r="K901">
        <f t="shared" si="100"/>
        <v>0.65829846582984652</v>
      </c>
      <c r="L901">
        <f>A901*COUNTIF(data!D:D,data!$I$2)/data!$L$2</f>
        <v>382.33890214797134</v>
      </c>
      <c r="M901" s="1">
        <f>A901/data!$L$2</f>
        <v>0.71599045346062051</v>
      </c>
      <c r="N901">
        <f t="shared" si="101"/>
        <v>1.2345068664169789</v>
      </c>
    </row>
    <row r="902" spans="1:14" x14ac:dyDescent="0.2">
      <c r="A902">
        <v>901</v>
      </c>
      <c r="B902">
        <f>LARGE(data!F:F,A902)</f>
        <v>0.26261608710000001</v>
      </c>
      <c r="C902">
        <f>COUNTIFS(data!D:D,data!$I$2,data!F:F,"&gt;="&amp;B902)</f>
        <v>472</v>
      </c>
      <c r="D902">
        <f>COUNTIFS(data!D:D,data!$J$2,data!F:F,"&gt;="&amp;B902)</f>
        <v>429</v>
      </c>
      <c r="E902">
        <f>COUNTIFS(data!D:D,data!$J$2,data!F:F,"&lt;"&amp;B902)</f>
        <v>294</v>
      </c>
      <c r="F902">
        <f>COUNTIFS(data!D:D,data!$I$2,data!F:F,"&lt;"&amp;B902)</f>
        <v>62</v>
      </c>
      <c r="G902">
        <f t="shared" si="96"/>
        <v>0.59336099585062241</v>
      </c>
      <c r="H902">
        <f t="shared" si="97"/>
        <v>0.88389513108614237</v>
      </c>
      <c r="I902">
        <f t="shared" si="98"/>
        <v>1.2225382172699022E-3</v>
      </c>
      <c r="J902">
        <f t="shared" si="99"/>
        <v>0.52386237513873479</v>
      </c>
      <c r="K902">
        <f t="shared" si="100"/>
        <v>0.65783972125435541</v>
      </c>
      <c r="L902">
        <f>A902*COUNTIF(data!D:D,data!$I$2)/data!$L$2</f>
        <v>382.76372315035798</v>
      </c>
      <c r="M902" s="1">
        <f>A902/data!$L$2</f>
        <v>0.71678599840891011</v>
      </c>
      <c r="N902">
        <f t="shared" si="101"/>
        <v>1.2331367145119656</v>
      </c>
    </row>
    <row r="903" spans="1:14" x14ac:dyDescent="0.2">
      <c r="A903">
        <v>902</v>
      </c>
      <c r="B903">
        <f>LARGE(data!F:F,A903)</f>
        <v>0.26215225739999998</v>
      </c>
      <c r="C903">
        <f>COUNTIFS(data!D:D,data!$I$2,data!F:F,"&gt;="&amp;B903)</f>
        <v>472</v>
      </c>
      <c r="D903">
        <f>COUNTIFS(data!D:D,data!$J$2,data!F:F,"&gt;="&amp;B903)</f>
        <v>430</v>
      </c>
      <c r="E903">
        <f>COUNTIFS(data!D:D,data!$J$2,data!F:F,"&lt;"&amp;B903)</f>
        <v>293</v>
      </c>
      <c r="F903">
        <f>COUNTIFS(data!D:D,data!$I$2,data!F:F,"&lt;"&amp;B903)</f>
        <v>62</v>
      </c>
      <c r="G903">
        <f t="shared" si="96"/>
        <v>0.59474412171507607</v>
      </c>
      <c r="H903">
        <f t="shared" si="97"/>
        <v>0.88389513108614237</v>
      </c>
      <c r="I903">
        <f t="shared" si="98"/>
        <v>1.2225382172699022E-3</v>
      </c>
      <c r="J903">
        <f t="shared" si="99"/>
        <v>0.52328159645232819</v>
      </c>
      <c r="K903">
        <f t="shared" si="100"/>
        <v>0.65738161559888586</v>
      </c>
      <c r="L903">
        <f>A903*COUNTIF(data!D:D,data!$I$2)/data!$L$2</f>
        <v>383.18854415274461</v>
      </c>
      <c r="M903" s="1">
        <f>A903/data!$L$2</f>
        <v>0.7175815433571997</v>
      </c>
      <c r="N903">
        <f t="shared" si="101"/>
        <v>1.2317696006377838</v>
      </c>
    </row>
    <row r="904" spans="1:14" x14ac:dyDescent="0.2">
      <c r="A904">
        <v>903</v>
      </c>
      <c r="B904">
        <f>LARGE(data!F:F,A904)</f>
        <v>0.26208809329999999</v>
      </c>
      <c r="C904">
        <f>COUNTIFS(data!D:D,data!$I$2,data!F:F,"&gt;="&amp;B904)</f>
        <v>473</v>
      </c>
      <c r="D904">
        <f>COUNTIFS(data!D:D,data!$J$2,data!F:F,"&gt;="&amp;B904)</f>
        <v>430</v>
      </c>
      <c r="E904">
        <f>COUNTIFS(data!D:D,data!$J$2,data!F:F,"&lt;"&amp;B904)</f>
        <v>293</v>
      </c>
      <c r="F904">
        <f>COUNTIFS(data!D:D,data!$I$2,data!F:F,"&lt;"&amp;B904)</f>
        <v>61</v>
      </c>
      <c r="G904">
        <f t="shared" si="96"/>
        <v>0.59474412171507607</v>
      </c>
      <c r="H904">
        <f t="shared" si="97"/>
        <v>0.88576779026217234</v>
      </c>
      <c r="I904">
        <f t="shared" si="98"/>
        <v>0</v>
      </c>
      <c r="J904">
        <f t="shared" si="99"/>
        <v>0.52380952380952384</v>
      </c>
      <c r="K904">
        <f t="shared" si="100"/>
        <v>0.65831593597773141</v>
      </c>
      <c r="L904">
        <f>A904*COUNTIF(data!D:D,data!$I$2)/data!$L$2</f>
        <v>383.61336515513125</v>
      </c>
      <c r="M904" s="1">
        <f>A904/data!$L$2</f>
        <v>0.7183770883054893</v>
      </c>
      <c r="N904">
        <f t="shared" si="101"/>
        <v>1.2330123060460139</v>
      </c>
    </row>
    <row r="905" spans="1:14" x14ac:dyDescent="0.2">
      <c r="A905">
        <v>904</v>
      </c>
      <c r="B905">
        <f>LARGE(data!F:F,A905)</f>
        <v>0.26140937149999999</v>
      </c>
      <c r="C905">
        <f>COUNTIFS(data!D:D,data!$I$2,data!F:F,"&gt;="&amp;B905)</f>
        <v>473</v>
      </c>
      <c r="D905">
        <f>COUNTIFS(data!D:D,data!$J$2,data!F:F,"&gt;="&amp;B905)</f>
        <v>431</v>
      </c>
      <c r="E905">
        <f>COUNTIFS(data!D:D,data!$J$2,data!F:F,"&lt;"&amp;B905)</f>
        <v>292</v>
      </c>
      <c r="F905">
        <f>COUNTIFS(data!D:D,data!$I$2,data!F:F,"&lt;"&amp;B905)</f>
        <v>61</v>
      </c>
      <c r="G905">
        <f t="shared" si="96"/>
        <v>0.59612724757952973</v>
      </c>
      <c r="H905">
        <f t="shared" si="97"/>
        <v>0.88576779026217234</v>
      </c>
      <c r="I905">
        <f t="shared" si="98"/>
        <v>1.2251283406115756E-3</v>
      </c>
      <c r="J905">
        <f t="shared" si="99"/>
        <v>0.52323008849557517</v>
      </c>
      <c r="K905">
        <f t="shared" si="100"/>
        <v>0.65785813630041723</v>
      </c>
      <c r="L905">
        <f>A905*COUNTIF(data!D:D,data!$I$2)/data!$L$2</f>
        <v>384.03818615751788</v>
      </c>
      <c r="M905" s="1">
        <f>A905/data!$L$2</f>
        <v>0.71917263325377889</v>
      </c>
      <c r="N905">
        <f t="shared" si="101"/>
        <v>1.2316483543800338</v>
      </c>
    </row>
    <row r="906" spans="1:14" x14ac:dyDescent="0.2">
      <c r="A906">
        <v>905</v>
      </c>
      <c r="B906">
        <f>LARGE(data!F:F,A906)</f>
        <v>0.26106772449999999</v>
      </c>
      <c r="C906">
        <f>COUNTIFS(data!D:D,data!$I$2,data!F:F,"&gt;="&amp;B906)</f>
        <v>473</v>
      </c>
      <c r="D906">
        <f>COUNTIFS(data!D:D,data!$J$2,data!F:F,"&gt;="&amp;B906)</f>
        <v>432</v>
      </c>
      <c r="E906">
        <f>COUNTIFS(data!D:D,data!$J$2,data!F:F,"&lt;"&amp;B906)</f>
        <v>291</v>
      </c>
      <c r="F906">
        <f>COUNTIFS(data!D:D,data!$I$2,data!F:F,"&lt;"&amp;B906)</f>
        <v>61</v>
      </c>
      <c r="G906">
        <f t="shared" si="96"/>
        <v>0.59751037344398339</v>
      </c>
      <c r="H906">
        <f t="shared" si="97"/>
        <v>0.88576779026217234</v>
      </c>
      <c r="I906">
        <f t="shared" si="98"/>
        <v>1.2251283406115756E-3</v>
      </c>
      <c r="J906">
        <f t="shared" si="99"/>
        <v>0.52265193370165741</v>
      </c>
      <c r="K906">
        <f t="shared" si="100"/>
        <v>0.65740097289784571</v>
      </c>
      <c r="L906">
        <f>A906*COUNTIF(data!D:D,data!$I$2)/data!$L$2</f>
        <v>384.46300715990452</v>
      </c>
      <c r="M906" s="1">
        <f>A906/data!$L$2</f>
        <v>0.71996817820206838</v>
      </c>
      <c r="N906">
        <f t="shared" si="101"/>
        <v>1.2302874169718792</v>
      </c>
    </row>
    <row r="907" spans="1:14" x14ac:dyDescent="0.2">
      <c r="A907">
        <v>906</v>
      </c>
      <c r="B907">
        <f>LARGE(data!F:F,A907)</f>
        <v>0.260960478</v>
      </c>
      <c r="C907">
        <f>COUNTIFS(data!D:D,data!$I$2,data!F:F,"&gt;="&amp;B907)</f>
        <v>473</v>
      </c>
      <c r="D907">
        <f>COUNTIFS(data!D:D,data!$J$2,data!F:F,"&gt;="&amp;B907)</f>
        <v>433</v>
      </c>
      <c r="E907">
        <f>COUNTIFS(data!D:D,data!$J$2,data!F:F,"&lt;"&amp;B907)</f>
        <v>290</v>
      </c>
      <c r="F907">
        <f>COUNTIFS(data!D:D,data!$I$2,data!F:F,"&lt;"&amp;B907)</f>
        <v>61</v>
      </c>
      <c r="G907">
        <f t="shared" si="96"/>
        <v>0.59889349930843705</v>
      </c>
      <c r="H907">
        <f t="shared" si="97"/>
        <v>0.88576779026217234</v>
      </c>
      <c r="I907">
        <f t="shared" si="98"/>
        <v>1.2251283406115756E-3</v>
      </c>
      <c r="J907">
        <f t="shared" si="99"/>
        <v>0.52207505518763797</v>
      </c>
      <c r="K907">
        <f t="shared" si="100"/>
        <v>0.65694444444444455</v>
      </c>
      <c r="L907">
        <f>A907*COUNTIF(data!D:D,data!$I$2)/data!$L$2</f>
        <v>384.88782816229116</v>
      </c>
      <c r="M907" s="1">
        <f>A907/data!$L$2</f>
        <v>0.72076372315035797</v>
      </c>
      <c r="N907">
        <f t="shared" si="101"/>
        <v>1.2289294838405636</v>
      </c>
    </row>
    <row r="908" spans="1:14" x14ac:dyDescent="0.2">
      <c r="A908">
        <v>907</v>
      </c>
      <c r="B908">
        <f>LARGE(data!F:F,A908)</f>
        <v>0.25982472779999999</v>
      </c>
      <c r="C908">
        <f>COUNTIFS(data!D:D,data!$I$2,data!F:F,"&gt;="&amp;B908)</f>
        <v>474</v>
      </c>
      <c r="D908">
        <f>COUNTIFS(data!D:D,data!$J$2,data!F:F,"&gt;="&amp;B908)</f>
        <v>433</v>
      </c>
      <c r="E908">
        <f>COUNTIFS(data!D:D,data!$J$2,data!F:F,"&lt;"&amp;B908)</f>
        <v>290</v>
      </c>
      <c r="F908">
        <f>COUNTIFS(data!D:D,data!$I$2,data!F:F,"&lt;"&amp;B908)</f>
        <v>60</v>
      </c>
      <c r="G908">
        <f t="shared" si="96"/>
        <v>0.59889349930843705</v>
      </c>
      <c r="H908">
        <f t="shared" si="97"/>
        <v>0.88764044943820219</v>
      </c>
      <c r="I908">
        <f t="shared" si="98"/>
        <v>0</v>
      </c>
      <c r="J908">
        <f t="shared" si="99"/>
        <v>0.52260198456449836</v>
      </c>
      <c r="K908">
        <f t="shared" si="100"/>
        <v>0.65787647467036781</v>
      </c>
      <c r="L908">
        <f>A908*COUNTIF(data!D:D,data!$I$2)/data!$L$2</f>
        <v>385.31264916467779</v>
      </c>
      <c r="M908" s="1">
        <f>A908/data!$L$2</f>
        <v>0.72155926809864757</v>
      </c>
      <c r="N908">
        <f t="shared" si="101"/>
        <v>1.2301698400703642</v>
      </c>
    </row>
    <row r="909" spans="1:14" x14ac:dyDescent="0.2">
      <c r="A909">
        <v>908</v>
      </c>
      <c r="B909">
        <f>LARGE(data!F:F,A909)</f>
        <v>0.25886087819999998</v>
      </c>
      <c r="C909">
        <f>COUNTIFS(data!D:D,data!$I$2,data!F:F,"&gt;="&amp;B909)</f>
        <v>474</v>
      </c>
      <c r="D909">
        <f>COUNTIFS(data!D:D,data!$J$2,data!F:F,"&gt;="&amp;B909)</f>
        <v>434</v>
      </c>
      <c r="E909">
        <f>COUNTIFS(data!D:D,data!$J$2,data!F:F,"&lt;"&amp;B909)</f>
        <v>289</v>
      </c>
      <c r="F909">
        <f>COUNTIFS(data!D:D,data!$I$2,data!F:F,"&lt;"&amp;B909)</f>
        <v>60</v>
      </c>
      <c r="G909">
        <f t="shared" si="96"/>
        <v>0.60027662517289071</v>
      </c>
      <c r="H909">
        <f t="shared" si="97"/>
        <v>0.88764044943820219</v>
      </c>
      <c r="I909">
        <f t="shared" si="98"/>
        <v>1.2277184639532491E-3</v>
      </c>
      <c r="J909">
        <f t="shared" si="99"/>
        <v>0.52202643171806162</v>
      </c>
      <c r="K909">
        <f t="shared" si="100"/>
        <v>0.65742024965325929</v>
      </c>
      <c r="L909">
        <f>A909*COUNTIF(data!D:D,data!$I$2)/data!$L$2</f>
        <v>385.73747016706443</v>
      </c>
      <c r="M909" s="1">
        <f>A909/data!$L$2</f>
        <v>0.72235481304693716</v>
      </c>
      <c r="N909">
        <f t="shared" si="101"/>
        <v>1.2288150274711678</v>
      </c>
    </row>
    <row r="910" spans="1:14" x14ac:dyDescent="0.2">
      <c r="A910">
        <v>909</v>
      </c>
      <c r="B910">
        <f>LARGE(data!F:F,A910)</f>
        <v>0.25871838120000001</v>
      </c>
      <c r="C910">
        <f>COUNTIFS(data!D:D,data!$I$2,data!F:F,"&gt;="&amp;B910)</f>
        <v>474</v>
      </c>
      <c r="D910">
        <f>COUNTIFS(data!D:D,data!$J$2,data!F:F,"&gt;="&amp;B910)</f>
        <v>435</v>
      </c>
      <c r="E910">
        <f>COUNTIFS(data!D:D,data!$J$2,data!F:F,"&lt;"&amp;B910)</f>
        <v>288</v>
      </c>
      <c r="F910">
        <f>COUNTIFS(data!D:D,data!$I$2,data!F:F,"&lt;"&amp;B910)</f>
        <v>60</v>
      </c>
      <c r="G910">
        <f t="shared" si="96"/>
        <v>0.60165975103734437</v>
      </c>
      <c r="H910">
        <f t="shared" si="97"/>
        <v>0.88764044943820219</v>
      </c>
      <c r="I910">
        <f t="shared" si="98"/>
        <v>1.2277184639532491E-3</v>
      </c>
      <c r="J910">
        <f t="shared" si="99"/>
        <v>0.52145214521452143</v>
      </c>
      <c r="K910">
        <f t="shared" si="100"/>
        <v>0.65696465696465689</v>
      </c>
      <c r="L910">
        <f>A910*COUNTIF(data!D:D,data!$I$2)/data!$L$2</f>
        <v>386.16229116945107</v>
      </c>
      <c r="M910" s="1">
        <f>A910/data!$L$2</f>
        <v>0.72315035799522676</v>
      </c>
      <c r="N910">
        <f t="shared" si="101"/>
        <v>1.227463195757778</v>
      </c>
    </row>
    <row r="911" spans="1:14" x14ac:dyDescent="0.2">
      <c r="A911">
        <v>910</v>
      </c>
      <c r="B911">
        <f>LARGE(data!F:F,A911)</f>
        <v>0.25847570450000001</v>
      </c>
      <c r="C911">
        <f>COUNTIFS(data!D:D,data!$I$2,data!F:F,"&gt;="&amp;B911)</f>
        <v>475</v>
      </c>
      <c r="D911">
        <f>COUNTIFS(data!D:D,data!$J$2,data!F:F,"&gt;="&amp;B911)</f>
        <v>435</v>
      </c>
      <c r="E911">
        <f>COUNTIFS(data!D:D,data!$J$2,data!F:F,"&lt;"&amp;B911)</f>
        <v>288</v>
      </c>
      <c r="F911">
        <f>COUNTIFS(data!D:D,data!$I$2,data!F:F,"&lt;"&amp;B911)</f>
        <v>59</v>
      </c>
      <c r="G911">
        <f t="shared" si="96"/>
        <v>0.60165975103734437</v>
      </c>
      <c r="H911">
        <f t="shared" si="97"/>
        <v>0.88951310861423216</v>
      </c>
      <c r="I911">
        <f t="shared" si="98"/>
        <v>0</v>
      </c>
      <c r="J911">
        <f t="shared" si="99"/>
        <v>0.52197802197802201</v>
      </c>
      <c r="K911">
        <f t="shared" si="100"/>
        <v>0.65789473684210531</v>
      </c>
      <c r="L911">
        <f>A911*COUNTIF(data!D:D,data!$I$2)/data!$L$2</f>
        <v>386.5871121718377</v>
      </c>
      <c r="M911" s="1">
        <f>A911/data!$L$2</f>
        <v>0.72394590294351635</v>
      </c>
      <c r="N911">
        <f t="shared" si="101"/>
        <v>1.2287010742066922</v>
      </c>
    </row>
    <row r="912" spans="1:14" x14ac:dyDescent="0.2">
      <c r="A912">
        <v>911</v>
      </c>
      <c r="B912">
        <f>LARGE(data!F:F,A912)</f>
        <v>0.25782584930000002</v>
      </c>
      <c r="C912">
        <f>COUNTIFS(data!D:D,data!$I$2,data!F:F,"&gt;="&amp;B912)</f>
        <v>475</v>
      </c>
      <c r="D912">
        <f>COUNTIFS(data!D:D,data!$J$2,data!F:F,"&gt;="&amp;B912)</f>
        <v>436</v>
      </c>
      <c r="E912">
        <f>COUNTIFS(data!D:D,data!$J$2,data!F:F,"&lt;"&amp;B912)</f>
        <v>287</v>
      </c>
      <c r="F912">
        <f>COUNTIFS(data!D:D,data!$I$2,data!F:F,"&lt;"&amp;B912)</f>
        <v>59</v>
      </c>
      <c r="G912">
        <f t="shared" si="96"/>
        <v>0.60304287690179803</v>
      </c>
      <c r="H912">
        <f t="shared" si="97"/>
        <v>0.88951310861423216</v>
      </c>
      <c r="I912">
        <f t="shared" si="98"/>
        <v>1.2303085872949226E-3</v>
      </c>
      <c r="J912">
        <f t="shared" si="99"/>
        <v>0.52140504939626786</v>
      </c>
      <c r="K912">
        <f t="shared" si="100"/>
        <v>0.65743944636678209</v>
      </c>
      <c r="L912">
        <f>A912*COUNTIF(data!D:D,data!$I$2)/data!$L$2</f>
        <v>387.01193317422434</v>
      </c>
      <c r="M912" s="1">
        <f>A912/data!$L$2</f>
        <v>0.72474144789180583</v>
      </c>
      <c r="N912">
        <f t="shared" si="101"/>
        <v>1.227352335376608</v>
      </c>
    </row>
    <row r="913" spans="1:14" x14ac:dyDescent="0.2">
      <c r="A913">
        <v>912</v>
      </c>
      <c r="B913">
        <f>LARGE(data!F:F,A913)</f>
        <v>0.25777650860000001</v>
      </c>
      <c r="C913">
        <f>COUNTIFS(data!D:D,data!$I$2,data!F:F,"&gt;="&amp;B913)</f>
        <v>476</v>
      </c>
      <c r="D913">
        <f>COUNTIFS(data!D:D,data!$J$2,data!F:F,"&gt;="&amp;B913)</f>
        <v>436</v>
      </c>
      <c r="E913">
        <f>COUNTIFS(data!D:D,data!$J$2,data!F:F,"&lt;"&amp;B913)</f>
        <v>287</v>
      </c>
      <c r="F913">
        <f>COUNTIFS(data!D:D,data!$I$2,data!F:F,"&lt;"&amp;B913)</f>
        <v>58</v>
      </c>
      <c r="G913">
        <f t="shared" si="96"/>
        <v>0.60304287690179803</v>
      </c>
      <c r="H913">
        <f t="shared" si="97"/>
        <v>0.89138576779026213</v>
      </c>
      <c r="I913">
        <f t="shared" si="98"/>
        <v>0</v>
      </c>
      <c r="J913">
        <f t="shared" si="99"/>
        <v>0.52192982456140347</v>
      </c>
      <c r="K913">
        <f t="shared" si="100"/>
        <v>0.65836791147994467</v>
      </c>
      <c r="L913">
        <f>A913*COUNTIF(data!D:D,data!$I$2)/data!$L$2</f>
        <v>387.43675417661098</v>
      </c>
      <c r="M913" s="1">
        <f>A913/data!$L$2</f>
        <v>0.72553699284009543</v>
      </c>
      <c r="N913">
        <f t="shared" si="101"/>
        <v>1.2285876207372364</v>
      </c>
    </row>
    <row r="914" spans="1:14" x14ac:dyDescent="0.2">
      <c r="A914">
        <v>913</v>
      </c>
      <c r="B914">
        <f>LARGE(data!F:F,A914)</f>
        <v>0.25669732150000002</v>
      </c>
      <c r="C914">
        <f>COUNTIFS(data!D:D,data!$I$2,data!F:F,"&gt;="&amp;B914)</f>
        <v>476</v>
      </c>
      <c r="D914">
        <f>COUNTIFS(data!D:D,data!$J$2,data!F:F,"&gt;="&amp;B914)</f>
        <v>437</v>
      </c>
      <c r="E914">
        <f>COUNTIFS(data!D:D,data!$J$2,data!F:F,"&lt;"&amp;B914)</f>
        <v>286</v>
      </c>
      <c r="F914">
        <f>COUNTIFS(data!D:D,data!$I$2,data!F:F,"&lt;"&amp;B914)</f>
        <v>58</v>
      </c>
      <c r="G914">
        <f t="shared" si="96"/>
        <v>0.60442600276625169</v>
      </c>
      <c r="H914">
        <f t="shared" si="97"/>
        <v>0.89138576779026213</v>
      </c>
      <c r="I914">
        <f t="shared" si="98"/>
        <v>1.2328987106365961E-3</v>
      </c>
      <c r="J914">
        <f t="shared" si="99"/>
        <v>0.52135815991237677</v>
      </c>
      <c r="K914">
        <f t="shared" si="100"/>
        <v>0.65791292328956452</v>
      </c>
      <c r="L914">
        <f>A914*COUNTIF(data!D:D,data!$I$2)/data!$L$2</f>
        <v>387.86157517899761</v>
      </c>
      <c r="M914" s="1">
        <f>A914/data!$L$2</f>
        <v>0.72633253778838502</v>
      </c>
      <c r="N914">
        <f t="shared" si="101"/>
        <v>1.2272419606926173</v>
      </c>
    </row>
    <row r="915" spans="1:14" x14ac:dyDescent="0.2">
      <c r="A915">
        <v>914</v>
      </c>
      <c r="B915">
        <f>LARGE(data!F:F,A915)</f>
        <v>0.2566892113</v>
      </c>
      <c r="C915">
        <f>COUNTIFS(data!D:D,data!$I$2,data!F:F,"&gt;="&amp;B915)</f>
        <v>479</v>
      </c>
      <c r="D915">
        <f>COUNTIFS(data!D:D,data!$J$2,data!F:F,"&gt;="&amp;B915)</f>
        <v>437</v>
      </c>
      <c r="E915">
        <f>COUNTIFS(data!D:D,data!$J$2,data!F:F,"&lt;"&amp;B915)</f>
        <v>286</v>
      </c>
      <c r="F915">
        <f>COUNTIFS(data!D:D,data!$I$2,data!F:F,"&lt;"&amp;B915)</f>
        <v>55</v>
      </c>
      <c r="G915">
        <f t="shared" si="96"/>
        <v>0.60442600276625169</v>
      </c>
      <c r="H915">
        <f t="shared" si="97"/>
        <v>0.89700374531835203</v>
      </c>
      <c r="I915">
        <f t="shared" si="98"/>
        <v>0</v>
      </c>
      <c r="J915">
        <f t="shared" si="99"/>
        <v>0.52292576419213976</v>
      </c>
      <c r="K915">
        <f t="shared" si="100"/>
        <v>0.66068965517241385</v>
      </c>
      <c r="L915">
        <f>A915*COUNTIF(data!D:D,data!$I$2)/data!$L$2</f>
        <v>388.28639618138425</v>
      </c>
      <c r="M915" s="1">
        <f>A915/data!$L$2</f>
        <v>0.72712808273667462</v>
      </c>
      <c r="N915">
        <f t="shared" si="101"/>
        <v>1.233625500946574</v>
      </c>
    </row>
    <row r="916" spans="1:14" x14ac:dyDescent="0.2">
      <c r="A916">
        <v>915</v>
      </c>
      <c r="B916">
        <f>LARGE(data!F:F,A916)</f>
        <v>0.2566892113</v>
      </c>
      <c r="C916">
        <f>COUNTIFS(data!D:D,data!$I$2,data!F:F,"&gt;="&amp;B916)</f>
        <v>479</v>
      </c>
      <c r="D916">
        <f>COUNTIFS(data!D:D,data!$J$2,data!F:F,"&gt;="&amp;B916)</f>
        <v>437</v>
      </c>
      <c r="E916">
        <f>COUNTIFS(data!D:D,data!$J$2,data!F:F,"&lt;"&amp;B916)</f>
        <v>286</v>
      </c>
      <c r="F916">
        <f>COUNTIFS(data!D:D,data!$I$2,data!F:F,"&lt;"&amp;B916)</f>
        <v>55</v>
      </c>
      <c r="G916">
        <f t="shared" si="96"/>
        <v>0.60442600276625169</v>
      </c>
      <c r="H916">
        <f t="shared" si="97"/>
        <v>0.89700374531835203</v>
      </c>
      <c r="I916">
        <f t="shared" si="98"/>
        <v>0</v>
      </c>
      <c r="J916">
        <f t="shared" si="99"/>
        <v>0.52292576419213976</v>
      </c>
      <c r="K916">
        <f t="shared" si="100"/>
        <v>0.66068965517241385</v>
      </c>
      <c r="L916">
        <f>A916*COUNTIF(data!D:D,data!$I$2)/data!$L$2</f>
        <v>388.71121718377088</v>
      </c>
      <c r="M916" s="1">
        <f>A916/data!$L$2</f>
        <v>0.72792362768496421</v>
      </c>
      <c r="N916">
        <f t="shared" si="101"/>
        <v>1.2322772763553755</v>
      </c>
    </row>
    <row r="917" spans="1:14" x14ac:dyDescent="0.2">
      <c r="A917">
        <v>916</v>
      </c>
      <c r="B917">
        <f>LARGE(data!F:F,A917)</f>
        <v>0.2566892113</v>
      </c>
      <c r="C917">
        <f>COUNTIFS(data!D:D,data!$I$2,data!F:F,"&gt;="&amp;B917)</f>
        <v>479</v>
      </c>
      <c r="D917">
        <f>COUNTIFS(data!D:D,data!$J$2,data!F:F,"&gt;="&amp;B917)</f>
        <v>437</v>
      </c>
      <c r="E917">
        <f>COUNTIFS(data!D:D,data!$J$2,data!F:F,"&lt;"&amp;B917)</f>
        <v>286</v>
      </c>
      <c r="F917">
        <f>COUNTIFS(data!D:D,data!$I$2,data!F:F,"&lt;"&amp;B917)</f>
        <v>55</v>
      </c>
      <c r="G917">
        <f t="shared" si="96"/>
        <v>0.60442600276625169</v>
      </c>
      <c r="H917">
        <f t="shared" si="97"/>
        <v>0.89700374531835203</v>
      </c>
      <c r="I917">
        <f t="shared" si="98"/>
        <v>0</v>
      </c>
      <c r="J917">
        <f t="shared" si="99"/>
        <v>0.52292576419213976</v>
      </c>
      <c r="K917">
        <f t="shared" si="100"/>
        <v>0.66068965517241385</v>
      </c>
      <c r="L917">
        <f>A917*COUNTIF(data!D:D,data!$I$2)/data!$L$2</f>
        <v>389.13603818615752</v>
      </c>
      <c r="M917" s="1">
        <f>A917/data!$L$2</f>
        <v>0.72871917263325381</v>
      </c>
      <c r="N917">
        <f t="shared" si="101"/>
        <v>1.2309319954859919</v>
      </c>
    </row>
    <row r="918" spans="1:14" x14ac:dyDescent="0.2">
      <c r="A918">
        <v>917</v>
      </c>
      <c r="B918">
        <f>LARGE(data!F:F,A918)</f>
        <v>0.25667691329999998</v>
      </c>
      <c r="C918">
        <f>COUNTIFS(data!D:D,data!$I$2,data!F:F,"&gt;="&amp;B918)</f>
        <v>479</v>
      </c>
      <c r="D918">
        <f>COUNTIFS(data!D:D,data!$J$2,data!F:F,"&gt;="&amp;B918)</f>
        <v>438</v>
      </c>
      <c r="E918">
        <f>COUNTIFS(data!D:D,data!$J$2,data!F:F,"&lt;"&amp;B918)</f>
        <v>285</v>
      </c>
      <c r="F918">
        <f>COUNTIFS(data!D:D,data!$I$2,data!F:F,"&lt;"&amp;B918)</f>
        <v>55</v>
      </c>
      <c r="G918">
        <f t="shared" si="96"/>
        <v>0.60580912863070535</v>
      </c>
      <c r="H918">
        <f t="shared" si="97"/>
        <v>0.89700374531835203</v>
      </c>
      <c r="I918">
        <f t="shared" si="98"/>
        <v>1.2406690806616167E-3</v>
      </c>
      <c r="J918">
        <f t="shared" si="99"/>
        <v>0.52235550708833156</v>
      </c>
      <c r="K918">
        <f t="shared" si="100"/>
        <v>0.66023432115782221</v>
      </c>
      <c r="L918">
        <f>A918*COUNTIF(data!D:D,data!$I$2)/data!$L$2</f>
        <v>389.56085918854416</v>
      </c>
      <c r="M918" s="1">
        <f>A918/data!$L$2</f>
        <v>0.7295147175815434</v>
      </c>
      <c r="N918">
        <f t="shared" si="101"/>
        <v>1.2295896487079265</v>
      </c>
    </row>
    <row r="919" spans="1:14" x14ac:dyDescent="0.2">
      <c r="A919">
        <v>918</v>
      </c>
      <c r="B919">
        <f>LARGE(data!F:F,A919)</f>
        <v>0.25632962180000002</v>
      </c>
      <c r="C919">
        <f>COUNTIFS(data!D:D,data!$I$2,data!F:F,"&gt;="&amp;B919)</f>
        <v>479</v>
      </c>
      <c r="D919">
        <f>COUNTIFS(data!D:D,data!$J$2,data!F:F,"&gt;="&amp;B919)</f>
        <v>439</v>
      </c>
      <c r="E919">
        <f>COUNTIFS(data!D:D,data!$J$2,data!F:F,"&lt;"&amp;B919)</f>
        <v>284</v>
      </c>
      <c r="F919">
        <f>COUNTIFS(data!D:D,data!$I$2,data!F:F,"&lt;"&amp;B919)</f>
        <v>55</v>
      </c>
      <c r="G919">
        <f t="shared" si="96"/>
        <v>0.60719225449515901</v>
      </c>
      <c r="H919">
        <f t="shared" si="97"/>
        <v>0.89700374531835203</v>
      </c>
      <c r="I919">
        <f t="shared" si="98"/>
        <v>1.2406690806616167E-3</v>
      </c>
      <c r="J919">
        <f t="shared" si="99"/>
        <v>0.52178649237472763</v>
      </c>
      <c r="K919">
        <f t="shared" si="100"/>
        <v>0.65977961432506882</v>
      </c>
      <c r="L919">
        <f>A919*COUNTIF(data!D:D,data!$I$2)/data!$L$2</f>
        <v>389.98568019093079</v>
      </c>
      <c r="M919" s="1">
        <f>A919/data!$L$2</f>
        <v>0.73031026252983289</v>
      </c>
      <c r="N919">
        <f t="shared" si="101"/>
        <v>1.2282502264326454</v>
      </c>
    </row>
    <row r="920" spans="1:14" x14ac:dyDescent="0.2">
      <c r="A920">
        <v>919</v>
      </c>
      <c r="B920">
        <f>LARGE(data!F:F,A920)</f>
        <v>0.2560023803</v>
      </c>
      <c r="C920">
        <f>COUNTIFS(data!D:D,data!$I$2,data!F:F,"&gt;="&amp;B920)</f>
        <v>480</v>
      </c>
      <c r="D920">
        <f>COUNTIFS(data!D:D,data!$J$2,data!F:F,"&gt;="&amp;B920)</f>
        <v>439</v>
      </c>
      <c r="E920">
        <f>COUNTIFS(data!D:D,data!$J$2,data!F:F,"&lt;"&amp;B920)</f>
        <v>284</v>
      </c>
      <c r="F920">
        <f>COUNTIFS(data!D:D,data!$I$2,data!F:F,"&lt;"&amp;B920)</f>
        <v>54</v>
      </c>
      <c r="G920">
        <f t="shared" si="96"/>
        <v>0.60719225449515901</v>
      </c>
      <c r="H920">
        <f t="shared" si="97"/>
        <v>0.898876404494382</v>
      </c>
      <c r="I920">
        <f t="shared" si="98"/>
        <v>0</v>
      </c>
      <c r="J920">
        <f t="shared" si="99"/>
        <v>0.52230685527747556</v>
      </c>
      <c r="K920">
        <f t="shared" si="100"/>
        <v>0.66070199587061262</v>
      </c>
      <c r="L920">
        <f>A920*COUNTIF(data!D:D,data!$I$2)/data!$L$2</f>
        <v>390.41050119331743</v>
      </c>
      <c r="M920" s="1">
        <f>A920/data!$L$2</f>
        <v>0.73110580747812248</v>
      </c>
      <c r="N920">
        <f t="shared" si="101"/>
        <v>1.2294751256250687</v>
      </c>
    </row>
    <row r="921" spans="1:14" x14ac:dyDescent="0.2">
      <c r="A921">
        <v>920</v>
      </c>
      <c r="B921">
        <f>LARGE(data!F:F,A921)</f>
        <v>0.25590299049999998</v>
      </c>
      <c r="C921">
        <f>COUNTIFS(data!D:D,data!$I$2,data!F:F,"&gt;="&amp;B921)</f>
        <v>480</v>
      </c>
      <c r="D921">
        <f>COUNTIFS(data!D:D,data!$J$2,data!F:F,"&gt;="&amp;B921)</f>
        <v>440</v>
      </c>
      <c r="E921">
        <f>COUNTIFS(data!D:D,data!$J$2,data!F:F,"&lt;"&amp;B921)</f>
        <v>283</v>
      </c>
      <c r="F921">
        <f>COUNTIFS(data!D:D,data!$I$2,data!F:F,"&lt;"&amp;B921)</f>
        <v>54</v>
      </c>
      <c r="G921">
        <f t="shared" si="96"/>
        <v>0.60857538035961267</v>
      </c>
      <c r="H921">
        <f t="shared" si="97"/>
        <v>0.898876404494382</v>
      </c>
      <c r="I921">
        <f t="shared" si="98"/>
        <v>1.2432592040032902E-3</v>
      </c>
      <c r="J921">
        <f t="shared" si="99"/>
        <v>0.52173913043478259</v>
      </c>
      <c r="K921">
        <f t="shared" si="100"/>
        <v>0.66024759284731771</v>
      </c>
      <c r="L921">
        <f>A921*COUNTIF(data!D:D,data!$I$2)/data!$L$2</f>
        <v>390.83532219570407</v>
      </c>
      <c r="M921" s="1">
        <f>A921/data!$L$2</f>
        <v>0.73190135242641208</v>
      </c>
      <c r="N921">
        <f t="shared" si="101"/>
        <v>1.2281387396189545</v>
      </c>
    </row>
    <row r="922" spans="1:14" x14ac:dyDescent="0.2">
      <c r="A922">
        <v>921</v>
      </c>
      <c r="B922">
        <f>LARGE(data!F:F,A922)</f>
        <v>0.255820936</v>
      </c>
      <c r="C922">
        <f>COUNTIFS(data!D:D,data!$I$2,data!F:F,"&gt;="&amp;B922)</f>
        <v>480</v>
      </c>
      <c r="D922">
        <f>COUNTIFS(data!D:D,data!$J$2,data!F:F,"&gt;="&amp;B922)</f>
        <v>441</v>
      </c>
      <c r="E922">
        <f>COUNTIFS(data!D:D,data!$J$2,data!F:F,"&lt;"&amp;B922)</f>
        <v>282</v>
      </c>
      <c r="F922">
        <f>COUNTIFS(data!D:D,data!$I$2,data!F:F,"&lt;"&amp;B922)</f>
        <v>54</v>
      </c>
      <c r="G922">
        <f t="shared" si="96"/>
        <v>0.60995850622406644</v>
      </c>
      <c r="H922">
        <f t="shared" si="97"/>
        <v>0.898876404494382</v>
      </c>
      <c r="I922">
        <f t="shared" si="98"/>
        <v>1.2432592040033899E-3</v>
      </c>
      <c r="J922">
        <f t="shared" si="99"/>
        <v>0.52117263843648209</v>
      </c>
      <c r="K922">
        <f t="shared" si="100"/>
        <v>0.65979381443298968</v>
      </c>
      <c r="L922">
        <f>A922*COUNTIF(data!D:D,data!$I$2)/data!$L$2</f>
        <v>391.2601431980907</v>
      </c>
      <c r="M922" s="1">
        <f>A922/data!$L$2</f>
        <v>0.73269689737470167</v>
      </c>
      <c r="N922">
        <f t="shared" si="101"/>
        <v>1.226805255645427</v>
      </c>
    </row>
    <row r="923" spans="1:14" x14ac:dyDescent="0.2">
      <c r="A923">
        <v>922</v>
      </c>
      <c r="B923">
        <f>LARGE(data!F:F,A923)</f>
        <v>0.25552002280000002</v>
      </c>
      <c r="C923">
        <f>COUNTIFS(data!D:D,data!$I$2,data!F:F,"&gt;="&amp;B923)</f>
        <v>480</v>
      </c>
      <c r="D923">
        <f>COUNTIFS(data!D:D,data!$J$2,data!F:F,"&gt;="&amp;B923)</f>
        <v>442</v>
      </c>
      <c r="E923">
        <f>COUNTIFS(data!D:D,data!$J$2,data!F:F,"&lt;"&amp;B923)</f>
        <v>281</v>
      </c>
      <c r="F923">
        <f>COUNTIFS(data!D:D,data!$I$2,data!F:F,"&lt;"&amp;B923)</f>
        <v>54</v>
      </c>
      <c r="G923">
        <f t="shared" ref="G923:G986" si="102">D923/(E923+D923)</f>
        <v>0.6113416320885201</v>
      </c>
      <c r="H923">
        <f t="shared" ref="H923:H986" si="103">C923/(C923+F923)</f>
        <v>0.898876404494382</v>
      </c>
      <c r="I923">
        <f t="shared" ref="I923:I986" si="104">(G923-G922)*(H923+H922)*0.5</f>
        <v>1.2432592040032902E-3</v>
      </c>
      <c r="J923">
        <f t="shared" ref="J923:J986" si="105">C923/(C923+D923)</f>
        <v>0.52060737527114964</v>
      </c>
      <c r="K923">
        <f t="shared" ref="K923:K986" si="106">2*J923*H923/(J923+H923)</f>
        <v>0.65934065934065922</v>
      </c>
      <c r="L923">
        <f>A923*COUNTIF(data!D:D,data!$I$2)/data!$L$2</f>
        <v>391.68496420047734</v>
      </c>
      <c r="M923" s="1">
        <f>A923/data!$L$2</f>
        <v>0.73349244232299127</v>
      </c>
      <c r="N923">
        <f t="shared" ref="N923:N986" si="107">C923/L923</f>
        <v>1.2254746642618635</v>
      </c>
    </row>
    <row r="924" spans="1:14" x14ac:dyDescent="0.2">
      <c r="A924">
        <v>923</v>
      </c>
      <c r="B924">
        <f>LARGE(data!F:F,A924)</f>
        <v>0.2548685034</v>
      </c>
      <c r="C924">
        <f>COUNTIFS(data!D:D,data!$I$2,data!F:F,"&gt;="&amp;B924)</f>
        <v>482</v>
      </c>
      <c r="D924">
        <f>COUNTIFS(data!D:D,data!$J$2,data!F:F,"&gt;="&amp;B924)</f>
        <v>442</v>
      </c>
      <c r="E924">
        <f>COUNTIFS(data!D:D,data!$J$2,data!F:F,"&lt;"&amp;B924)</f>
        <v>281</v>
      </c>
      <c r="F924">
        <f>COUNTIFS(data!D:D,data!$I$2,data!F:F,"&lt;"&amp;B924)</f>
        <v>52</v>
      </c>
      <c r="G924">
        <f t="shared" si="102"/>
        <v>0.6113416320885201</v>
      </c>
      <c r="H924">
        <f t="shared" si="103"/>
        <v>0.90262172284644193</v>
      </c>
      <c r="I924">
        <f t="shared" si="104"/>
        <v>0</v>
      </c>
      <c r="J924">
        <f t="shared" si="105"/>
        <v>0.52164502164502169</v>
      </c>
      <c r="K924">
        <f t="shared" si="106"/>
        <v>0.66117969821673528</v>
      </c>
      <c r="L924">
        <f>A924*COUNTIF(data!D:D,data!$I$2)/data!$L$2</f>
        <v>392.10978520286397</v>
      </c>
      <c r="M924" s="1">
        <f>A924/data!$L$2</f>
        <v>0.73428798727128086</v>
      </c>
      <c r="N924">
        <f t="shared" si="107"/>
        <v>1.2292475683835076</v>
      </c>
    </row>
    <row r="925" spans="1:14" x14ac:dyDescent="0.2">
      <c r="A925">
        <v>924</v>
      </c>
      <c r="B925">
        <f>LARGE(data!F:F,A925)</f>
        <v>0.2548685034</v>
      </c>
      <c r="C925">
        <f>COUNTIFS(data!D:D,data!$I$2,data!F:F,"&gt;="&amp;B925)</f>
        <v>482</v>
      </c>
      <c r="D925">
        <f>COUNTIFS(data!D:D,data!$J$2,data!F:F,"&gt;="&amp;B925)</f>
        <v>442</v>
      </c>
      <c r="E925">
        <f>COUNTIFS(data!D:D,data!$J$2,data!F:F,"&lt;"&amp;B925)</f>
        <v>281</v>
      </c>
      <c r="F925">
        <f>COUNTIFS(data!D:D,data!$I$2,data!F:F,"&lt;"&amp;B925)</f>
        <v>52</v>
      </c>
      <c r="G925">
        <f t="shared" si="102"/>
        <v>0.6113416320885201</v>
      </c>
      <c r="H925">
        <f t="shared" si="103"/>
        <v>0.90262172284644193</v>
      </c>
      <c r="I925">
        <f t="shared" si="104"/>
        <v>0</v>
      </c>
      <c r="J925">
        <f t="shared" si="105"/>
        <v>0.52164502164502169</v>
      </c>
      <c r="K925">
        <f t="shared" si="106"/>
        <v>0.66117969821673528</v>
      </c>
      <c r="L925">
        <f>A925*COUNTIF(data!D:D,data!$I$2)/data!$L$2</f>
        <v>392.53460620525061</v>
      </c>
      <c r="M925" s="1">
        <f>A925/data!$L$2</f>
        <v>0.73508353221957046</v>
      </c>
      <c r="N925">
        <f t="shared" si="107"/>
        <v>1.22791721387227</v>
      </c>
    </row>
    <row r="926" spans="1:14" x14ac:dyDescent="0.2">
      <c r="A926">
        <v>925</v>
      </c>
      <c r="B926">
        <f>LARGE(data!F:F,A926)</f>
        <v>0.25401397730000003</v>
      </c>
      <c r="C926">
        <f>COUNTIFS(data!D:D,data!$I$2,data!F:F,"&gt;="&amp;B926)</f>
        <v>483</v>
      </c>
      <c r="D926">
        <f>COUNTIFS(data!D:D,data!$J$2,data!F:F,"&gt;="&amp;B926)</f>
        <v>442</v>
      </c>
      <c r="E926">
        <f>COUNTIFS(data!D:D,data!$J$2,data!F:F,"&lt;"&amp;B926)</f>
        <v>281</v>
      </c>
      <c r="F926">
        <f>COUNTIFS(data!D:D,data!$I$2,data!F:F,"&lt;"&amp;B926)</f>
        <v>51</v>
      </c>
      <c r="G926">
        <f t="shared" si="102"/>
        <v>0.6113416320885201</v>
      </c>
      <c r="H926">
        <f t="shared" si="103"/>
        <v>0.9044943820224719</v>
      </c>
      <c r="I926">
        <f t="shared" si="104"/>
        <v>0</v>
      </c>
      <c r="J926">
        <f t="shared" si="105"/>
        <v>0.52216216216216216</v>
      </c>
      <c r="K926">
        <f t="shared" si="106"/>
        <v>0.66209732693625767</v>
      </c>
      <c r="L926">
        <f>A926*COUNTIF(data!D:D,data!$I$2)/data!$L$2</f>
        <v>392.95942720763725</v>
      </c>
      <c r="M926" s="1">
        <f>A926/data!$L$2</f>
        <v>0.73587907716785994</v>
      </c>
      <c r="N926">
        <f t="shared" si="107"/>
        <v>1.2291345277862131</v>
      </c>
    </row>
    <row r="927" spans="1:14" x14ac:dyDescent="0.2">
      <c r="A927">
        <v>926</v>
      </c>
      <c r="B927">
        <f>LARGE(data!F:F,A927)</f>
        <v>0.25271935950000002</v>
      </c>
      <c r="C927">
        <f>COUNTIFS(data!D:D,data!$I$2,data!F:F,"&gt;="&amp;B927)</f>
        <v>483</v>
      </c>
      <c r="D927">
        <f>COUNTIFS(data!D:D,data!$J$2,data!F:F,"&gt;="&amp;B927)</f>
        <v>443</v>
      </c>
      <c r="E927">
        <f>COUNTIFS(data!D:D,data!$J$2,data!F:F,"&lt;"&amp;B927)</f>
        <v>280</v>
      </c>
      <c r="F927">
        <f>COUNTIFS(data!D:D,data!$I$2,data!F:F,"&lt;"&amp;B927)</f>
        <v>51</v>
      </c>
      <c r="G927">
        <f t="shared" si="102"/>
        <v>0.61272475795297376</v>
      </c>
      <c r="H927">
        <f t="shared" si="103"/>
        <v>0.9044943820224719</v>
      </c>
      <c r="I927">
        <f t="shared" si="104"/>
        <v>1.2510295740283109E-3</v>
      </c>
      <c r="J927">
        <f t="shared" si="105"/>
        <v>0.52159827213822896</v>
      </c>
      <c r="K927">
        <f t="shared" si="106"/>
        <v>0.66164383561643836</v>
      </c>
      <c r="L927">
        <f>A927*COUNTIF(data!D:D,data!$I$2)/data!$L$2</f>
        <v>393.38424821002388</v>
      </c>
      <c r="M927" s="1">
        <f>A927/data!$L$2</f>
        <v>0.73667462211614954</v>
      </c>
      <c r="N927">
        <f t="shared" si="107"/>
        <v>1.2278071686849321</v>
      </c>
    </row>
    <row r="928" spans="1:14" x14ac:dyDescent="0.2">
      <c r="A928">
        <v>927</v>
      </c>
      <c r="B928">
        <f>LARGE(data!F:F,A928)</f>
        <v>0.25234200880000002</v>
      </c>
      <c r="C928">
        <f>COUNTIFS(data!D:D,data!$I$2,data!F:F,"&gt;="&amp;B928)</f>
        <v>487</v>
      </c>
      <c r="D928">
        <f>COUNTIFS(data!D:D,data!$J$2,data!F:F,"&gt;="&amp;B928)</f>
        <v>443</v>
      </c>
      <c r="E928">
        <f>COUNTIFS(data!D:D,data!$J$2,data!F:F,"&lt;"&amp;B928)</f>
        <v>280</v>
      </c>
      <c r="F928">
        <f>COUNTIFS(data!D:D,data!$I$2,data!F:F,"&lt;"&amp;B928)</f>
        <v>47</v>
      </c>
      <c r="G928">
        <f t="shared" si="102"/>
        <v>0.61272475795297376</v>
      </c>
      <c r="H928">
        <f t="shared" si="103"/>
        <v>0.91198501872659177</v>
      </c>
      <c r="I928">
        <f t="shared" si="104"/>
        <v>0</v>
      </c>
      <c r="J928">
        <f t="shared" si="105"/>
        <v>0.52365591397849465</v>
      </c>
      <c r="K928">
        <f t="shared" si="106"/>
        <v>0.66530054644808745</v>
      </c>
      <c r="L928">
        <f>A928*COUNTIF(data!D:D,data!$I$2)/data!$L$2</f>
        <v>393.80906921241052</v>
      </c>
      <c r="M928" s="1">
        <f>A928/data!$L$2</f>
        <v>0.73747016706443913</v>
      </c>
      <c r="N928">
        <f t="shared" si="107"/>
        <v>1.236639879761948</v>
      </c>
    </row>
    <row r="929" spans="1:14" x14ac:dyDescent="0.2">
      <c r="A929">
        <v>928</v>
      </c>
      <c r="B929">
        <f>LARGE(data!F:F,A929)</f>
        <v>0.25234200880000002</v>
      </c>
      <c r="C929">
        <f>COUNTIFS(data!D:D,data!$I$2,data!F:F,"&gt;="&amp;B929)</f>
        <v>487</v>
      </c>
      <c r="D929">
        <f>COUNTIFS(data!D:D,data!$J$2,data!F:F,"&gt;="&amp;B929)</f>
        <v>443</v>
      </c>
      <c r="E929">
        <f>COUNTIFS(data!D:D,data!$J$2,data!F:F,"&lt;"&amp;B929)</f>
        <v>280</v>
      </c>
      <c r="F929">
        <f>COUNTIFS(data!D:D,data!$I$2,data!F:F,"&lt;"&amp;B929)</f>
        <v>47</v>
      </c>
      <c r="G929">
        <f t="shared" si="102"/>
        <v>0.61272475795297376</v>
      </c>
      <c r="H929">
        <f t="shared" si="103"/>
        <v>0.91198501872659177</v>
      </c>
      <c r="I929">
        <f t="shared" si="104"/>
        <v>0</v>
      </c>
      <c r="J929">
        <f t="shared" si="105"/>
        <v>0.52365591397849465</v>
      </c>
      <c r="K929">
        <f t="shared" si="106"/>
        <v>0.66530054644808745</v>
      </c>
      <c r="L929">
        <f>A929*COUNTIF(data!D:D,data!$I$2)/data!$L$2</f>
        <v>394.23389021479716</v>
      </c>
      <c r="M929" s="1">
        <f>A929/data!$L$2</f>
        <v>0.73826571201272873</v>
      </c>
      <c r="N929">
        <f t="shared" si="107"/>
        <v>1.2353072936846183</v>
      </c>
    </row>
    <row r="930" spans="1:14" x14ac:dyDescent="0.2">
      <c r="A930">
        <v>929</v>
      </c>
      <c r="B930">
        <f>LARGE(data!F:F,A930)</f>
        <v>0.25234200880000002</v>
      </c>
      <c r="C930">
        <f>COUNTIFS(data!D:D,data!$I$2,data!F:F,"&gt;="&amp;B930)</f>
        <v>487</v>
      </c>
      <c r="D930">
        <f>COUNTIFS(data!D:D,data!$J$2,data!F:F,"&gt;="&amp;B930)</f>
        <v>443</v>
      </c>
      <c r="E930">
        <f>COUNTIFS(data!D:D,data!$J$2,data!F:F,"&lt;"&amp;B930)</f>
        <v>280</v>
      </c>
      <c r="F930">
        <f>COUNTIFS(data!D:D,data!$I$2,data!F:F,"&lt;"&amp;B930)</f>
        <v>47</v>
      </c>
      <c r="G930">
        <f t="shared" si="102"/>
        <v>0.61272475795297376</v>
      </c>
      <c r="H930">
        <f t="shared" si="103"/>
        <v>0.91198501872659177</v>
      </c>
      <c r="I930">
        <f t="shared" si="104"/>
        <v>0</v>
      </c>
      <c r="J930">
        <f t="shared" si="105"/>
        <v>0.52365591397849465</v>
      </c>
      <c r="K930">
        <f t="shared" si="106"/>
        <v>0.66530054644808745</v>
      </c>
      <c r="L930">
        <f>A930*COUNTIF(data!D:D,data!$I$2)/data!$L$2</f>
        <v>394.65871121718379</v>
      </c>
      <c r="M930" s="1">
        <f>A930/data!$L$2</f>
        <v>0.73906125696101832</v>
      </c>
      <c r="N930">
        <f t="shared" si="107"/>
        <v>1.2339775764685961</v>
      </c>
    </row>
    <row r="931" spans="1:14" x14ac:dyDescent="0.2">
      <c r="A931">
        <v>930</v>
      </c>
      <c r="B931">
        <f>LARGE(data!F:F,A931)</f>
        <v>0.25234200880000002</v>
      </c>
      <c r="C931">
        <f>COUNTIFS(data!D:D,data!$I$2,data!F:F,"&gt;="&amp;B931)</f>
        <v>487</v>
      </c>
      <c r="D931">
        <f>COUNTIFS(data!D:D,data!$J$2,data!F:F,"&gt;="&amp;B931)</f>
        <v>443</v>
      </c>
      <c r="E931">
        <f>COUNTIFS(data!D:D,data!$J$2,data!F:F,"&lt;"&amp;B931)</f>
        <v>280</v>
      </c>
      <c r="F931">
        <f>COUNTIFS(data!D:D,data!$I$2,data!F:F,"&lt;"&amp;B931)</f>
        <v>47</v>
      </c>
      <c r="G931">
        <f t="shared" si="102"/>
        <v>0.61272475795297376</v>
      </c>
      <c r="H931">
        <f t="shared" si="103"/>
        <v>0.91198501872659177</v>
      </c>
      <c r="I931">
        <f t="shared" si="104"/>
        <v>0</v>
      </c>
      <c r="J931">
        <f t="shared" si="105"/>
        <v>0.52365591397849465</v>
      </c>
      <c r="K931">
        <f t="shared" si="106"/>
        <v>0.66530054644808745</v>
      </c>
      <c r="L931">
        <f>A931*COUNTIF(data!D:D,data!$I$2)/data!$L$2</f>
        <v>395.08353221957043</v>
      </c>
      <c r="M931" s="1">
        <f>A931/data!$L$2</f>
        <v>0.73985680190930792</v>
      </c>
      <c r="N931">
        <f t="shared" si="107"/>
        <v>1.2326507188594902</v>
      </c>
    </row>
    <row r="932" spans="1:14" x14ac:dyDescent="0.2">
      <c r="A932">
        <v>931</v>
      </c>
      <c r="B932">
        <f>LARGE(data!F:F,A932)</f>
        <v>0.25174765980000002</v>
      </c>
      <c r="C932">
        <f>COUNTIFS(data!D:D,data!$I$2,data!F:F,"&gt;="&amp;B932)</f>
        <v>489</v>
      </c>
      <c r="D932">
        <f>COUNTIFS(data!D:D,data!$J$2,data!F:F,"&gt;="&amp;B932)</f>
        <v>443</v>
      </c>
      <c r="E932">
        <f>COUNTIFS(data!D:D,data!$J$2,data!F:F,"&lt;"&amp;B932)</f>
        <v>280</v>
      </c>
      <c r="F932">
        <f>COUNTIFS(data!D:D,data!$I$2,data!F:F,"&lt;"&amp;B932)</f>
        <v>45</v>
      </c>
      <c r="G932">
        <f t="shared" si="102"/>
        <v>0.61272475795297376</v>
      </c>
      <c r="H932">
        <f t="shared" si="103"/>
        <v>0.9157303370786517</v>
      </c>
      <c r="I932">
        <f t="shared" si="104"/>
        <v>0</v>
      </c>
      <c r="J932">
        <f t="shared" si="105"/>
        <v>0.52467811158798283</v>
      </c>
      <c r="K932">
        <f t="shared" si="106"/>
        <v>0.66712141882673937</v>
      </c>
      <c r="L932">
        <f>A932*COUNTIF(data!D:D,data!$I$2)/data!$L$2</f>
        <v>395.50835322195707</v>
      </c>
      <c r="M932" s="1">
        <f>A932/data!$L$2</f>
        <v>0.7406523468575974</v>
      </c>
      <c r="N932">
        <f t="shared" si="107"/>
        <v>1.2363834948527015</v>
      </c>
    </row>
    <row r="933" spans="1:14" x14ac:dyDescent="0.2">
      <c r="A933">
        <v>932</v>
      </c>
      <c r="B933">
        <f>LARGE(data!F:F,A933)</f>
        <v>0.25174765980000002</v>
      </c>
      <c r="C933">
        <f>COUNTIFS(data!D:D,data!$I$2,data!F:F,"&gt;="&amp;B933)</f>
        <v>489</v>
      </c>
      <c r="D933">
        <f>COUNTIFS(data!D:D,data!$J$2,data!F:F,"&gt;="&amp;B933)</f>
        <v>443</v>
      </c>
      <c r="E933">
        <f>COUNTIFS(data!D:D,data!$J$2,data!F:F,"&lt;"&amp;B933)</f>
        <v>280</v>
      </c>
      <c r="F933">
        <f>COUNTIFS(data!D:D,data!$I$2,data!F:F,"&lt;"&amp;B933)</f>
        <v>45</v>
      </c>
      <c r="G933">
        <f t="shared" si="102"/>
        <v>0.61272475795297376</v>
      </c>
      <c r="H933">
        <f t="shared" si="103"/>
        <v>0.9157303370786517</v>
      </c>
      <c r="I933">
        <f t="shared" si="104"/>
        <v>0</v>
      </c>
      <c r="J933">
        <f t="shared" si="105"/>
        <v>0.52467811158798283</v>
      </c>
      <c r="K933">
        <f t="shared" si="106"/>
        <v>0.66712141882673937</v>
      </c>
      <c r="L933">
        <f>A933*COUNTIF(data!D:D,data!$I$2)/data!$L$2</f>
        <v>395.9331742243437</v>
      </c>
      <c r="M933" s="1">
        <f>A933/data!$L$2</f>
        <v>0.74144789180588699</v>
      </c>
      <c r="N933">
        <f t="shared" si="107"/>
        <v>1.2350569031200269</v>
      </c>
    </row>
    <row r="934" spans="1:14" x14ac:dyDescent="0.2">
      <c r="A934">
        <v>933</v>
      </c>
      <c r="B934">
        <f>LARGE(data!F:F,A934)</f>
        <v>0.25146738210000003</v>
      </c>
      <c r="C934">
        <f>COUNTIFS(data!D:D,data!$I$2,data!F:F,"&gt;="&amp;B934)</f>
        <v>489</v>
      </c>
      <c r="D934">
        <f>COUNTIFS(data!D:D,data!$J$2,data!F:F,"&gt;="&amp;B934)</f>
        <v>444</v>
      </c>
      <c r="E934">
        <f>COUNTIFS(data!D:D,data!$J$2,data!F:F,"&lt;"&amp;B934)</f>
        <v>279</v>
      </c>
      <c r="F934">
        <f>COUNTIFS(data!D:D,data!$I$2,data!F:F,"&lt;"&amp;B934)</f>
        <v>45</v>
      </c>
      <c r="G934">
        <f t="shared" si="102"/>
        <v>0.61410788381742742</v>
      </c>
      <c r="H934">
        <f t="shared" si="103"/>
        <v>0.9157303370786517</v>
      </c>
      <c r="I934">
        <f t="shared" si="104"/>
        <v>1.2665703140783519E-3</v>
      </c>
      <c r="J934">
        <f t="shared" si="105"/>
        <v>0.52411575562700963</v>
      </c>
      <c r="K934">
        <f t="shared" si="106"/>
        <v>0.66666666666666674</v>
      </c>
      <c r="L934">
        <f>A934*COUNTIF(data!D:D,data!$I$2)/data!$L$2</f>
        <v>396.35799522673034</v>
      </c>
      <c r="M934" s="1">
        <f>A934/data!$L$2</f>
        <v>0.74224343675417659</v>
      </c>
      <c r="N934">
        <f t="shared" si="107"/>
        <v>1.2337331550995339</v>
      </c>
    </row>
    <row r="935" spans="1:14" x14ac:dyDescent="0.2">
      <c r="A935">
        <v>934</v>
      </c>
      <c r="B935">
        <f>LARGE(data!F:F,A935)</f>
        <v>0.2509227175</v>
      </c>
      <c r="C935">
        <f>COUNTIFS(data!D:D,data!$I$2,data!F:F,"&gt;="&amp;B935)</f>
        <v>489</v>
      </c>
      <c r="D935">
        <f>COUNTIFS(data!D:D,data!$J$2,data!F:F,"&gt;="&amp;B935)</f>
        <v>445</v>
      </c>
      <c r="E935">
        <f>COUNTIFS(data!D:D,data!$J$2,data!F:F,"&lt;"&amp;B935)</f>
        <v>278</v>
      </c>
      <c r="F935">
        <f>COUNTIFS(data!D:D,data!$I$2,data!F:F,"&lt;"&amp;B935)</f>
        <v>45</v>
      </c>
      <c r="G935">
        <f t="shared" si="102"/>
        <v>0.61549100968188108</v>
      </c>
      <c r="H935">
        <f t="shared" si="103"/>
        <v>0.9157303370786517</v>
      </c>
      <c r="I935">
        <f t="shared" si="104"/>
        <v>1.2665703140783519E-3</v>
      </c>
      <c r="J935">
        <f t="shared" si="105"/>
        <v>0.52355460385438968</v>
      </c>
      <c r="K935">
        <f t="shared" si="106"/>
        <v>0.6662125340599454</v>
      </c>
      <c r="L935">
        <f>A935*COUNTIF(data!D:D,data!$I$2)/data!$L$2</f>
        <v>396.78281622911692</v>
      </c>
      <c r="M935" s="1">
        <f>A935/data!$L$2</f>
        <v>0.74303898170246618</v>
      </c>
      <c r="N935">
        <f t="shared" si="107"/>
        <v>1.2324122416572434</v>
      </c>
    </row>
    <row r="936" spans="1:14" x14ac:dyDescent="0.2">
      <c r="A936">
        <v>935</v>
      </c>
      <c r="B936">
        <f>LARGE(data!F:F,A936)</f>
        <v>0.25020280169999998</v>
      </c>
      <c r="C936">
        <f>COUNTIFS(data!D:D,data!$I$2,data!F:F,"&gt;="&amp;B936)</f>
        <v>489</v>
      </c>
      <c r="D936">
        <f>COUNTIFS(data!D:D,data!$J$2,data!F:F,"&gt;="&amp;B936)</f>
        <v>446</v>
      </c>
      <c r="E936">
        <f>COUNTIFS(data!D:D,data!$J$2,data!F:F,"&lt;"&amp;B936)</f>
        <v>277</v>
      </c>
      <c r="F936">
        <f>COUNTIFS(data!D:D,data!$I$2,data!F:F,"&lt;"&amp;B936)</f>
        <v>45</v>
      </c>
      <c r="G936">
        <f t="shared" si="102"/>
        <v>0.61687413554633475</v>
      </c>
      <c r="H936">
        <f t="shared" si="103"/>
        <v>0.9157303370786517</v>
      </c>
      <c r="I936">
        <f t="shared" si="104"/>
        <v>1.2665703140783519E-3</v>
      </c>
      <c r="J936">
        <f t="shared" si="105"/>
        <v>0.52299465240641707</v>
      </c>
      <c r="K936">
        <f t="shared" si="106"/>
        <v>0.66575901974132068</v>
      </c>
      <c r="L936">
        <f>A936*COUNTIF(data!D:D,data!$I$2)/data!$L$2</f>
        <v>397.20763723150355</v>
      </c>
      <c r="M936" s="1">
        <f>A936/data!$L$2</f>
        <v>0.74383452665075578</v>
      </c>
      <c r="N936">
        <f t="shared" si="107"/>
        <v>1.2310941536982516</v>
      </c>
    </row>
    <row r="937" spans="1:14" x14ac:dyDescent="0.2">
      <c r="A937">
        <v>936</v>
      </c>
      <c r="B937">
        <f>LARGE(data!F:F,A937)</f>
        <v>0.2498971542</v>
      </c>
      <c r="C937">
        <f>COUNTIFS(data!D:D,data!$I$2,data!F:F,"&gt;="&amp;B937)</f>
        <v>489</v>
      </c>
      <c r="D937">
        <f>COUNTIFS(data!D:D,data!$J$2,data!F:F,"&gt;="&amp;B937)</f>
        <v>447</v>
      </c>
      <c r="E937">
        <f>COUNTIFS(data!D:D,data!$J$2,data!F:F,"&lt;"&amp;B937)</f>
        <v>276</v>
      </c>
      <c r="F937">
        <f>COUNTIFS(data!D:D,data!$I$2,data!F:F,"&lt;"&amp;B937)</f>
        <v>45</v>
      </c>
      <c r="G937">
        <f t="shared" si="102"/>
        <v>0.61825726141078841</v>
      </c>
      <c r="H937">
        <f t="shared" si="103"/>
        <v>0.9157303370786517</v>
      </c>
      <c r="I937">
        <f t="shared" si="104"/>
        <v>1.2665703140783519E-3</v>
      </c>
      <c r="J937">
        <f t="shared" si="105"/>
        <v>0.52243589743589747</v>
      </c>
      <c r="K937">
        <f t="shared" si="106"/>
        <v>0.66530612244897958</v>
      </c>
      <c r="L937">
        <f>A937*COUNTIF(data!D:D,data!$I$2)/data!$L$2</f>
        <v>397.63245823389019</v>
      </c>
      <c r="M937" s="1">
        <f>A937/data!$L$2</f>
        <v>0.74463007159904537</v>
      </c>
      <c r="N937">
        <f t="shared" si="107"/>
        <v>1.2297788821665228</v>
      </c>
    </row>
    <row r="938" spans="1:14" x14ac:dyDescent="0.2">
      <c r="A938">
        <v>937</v>
      </c>
      <c r="B938">
        <f>LARGE(data!F:F,A938)</f>
        <v>0.2497878211</v>
      </c>
      <c r="C938">
        <f>COUNTIFS(data!D:D,data!$I$2,data!F:F,"&gt;="&amp;B938)</f>
        <v>489</v>
      </c>
      <c r="D938">
        <f>COUNTIFS(data!D:D,data!$J$2,data!F:F,"&gt;="&amp;B938)</f>
        <v>448</v>
      </c>
      <c r="E938">
        <f>COUNTIFS(data!D:D,data!$J$2,data!F:F,"&lt;"&amp;B938)</f>
        <v>275</v>
      </c>
      <c r="F938">
        <f>COUNTIFS(data!D:D,data!$I$2,data!F:F,"&lt;"&amp;B938)</f>
        <v>45</v>
      </c>
      <c r="G938">
        <f t="shared" si="102"/>
        <v>0.61964038727524207</v>
      </c>
      <c r="H938">
        <f t="shared" si="103"/>
        <v>0.9157303370786517</v>
      </c>
      <c r="I938">
        <f t="shared" si="104"/>
        <v>1.2665703140783519E-3</v>
      </c>
      <c r="J938">
        <f t="shared" si="105"/>
        <v>0.52187833511205972</v>
      </c>
      <c r="K938">
        <f t="shared" si="106"/>
        <v>0.66485384092454103</v>
      </c>
      <c r="L938">
        <f>A938*COUNTIF(data!D:D,data!$I$2)/data!$L$2</f>
        <v>398.05727923627683</v>
      </c>
      <c r="M938" s="1">
        <f>A938/data!$L$2</f>
        <v>0.74542561654733497</v>
      </c>
      <c r="N938">
        <f t="shared" si="107"/>
        <v>1.22846641804468</v>
      </c>
    </row>
    <row r="939" spans="1:14" x14ac:dyDescent="0.2">
      <c r="A939">
        <v>938</v>
      </c>
      <c r="B939">
        <f>LARGE(data!F:F,A939)</f>
        <v>0.24938762710000001</v>
      </c>
      <c r="C939">
        <f>COUNTIFS(data!D:D,data!$I$2,data!F:F,"&gt;="&amp;B939)</f>
        <v>489</v>
      </c>
      <c r="D939">
        <f>COUNTIFS(data!D:D,data!$J$2,data!F:F,"&gt;="&amp;B939)</f>
        <v>449</v>
      </c>
      <c r="E939">
        <f>COUNTIFS(data!D:D,data!$J$2,data!F:F,"&lt;"&amp;B939)</f>
        <v>274</v>
      </c>
      <c r="F939">
        <f>COUNTIFS(data!D:D,data!$I$2,data!F:F,"&lt;"&amp;B939)</f>
        <v>45</v>
      </c>
      <c r="G939">
        <f t="shared" si="102"/>
        <v>0.62102351313969573</v>
      </c>
      <c r="H939">
        <f t="shared" si="103"/>
        <v>0.9157303370786517</v>
      </c>
      <c r="I939">
        <f t="shared" si="104"/>
        <v>1.2665703140783519E-3</v>
      </c>
      <c r="J939">
        <f t="shared" si="105"/>
        <v>0.52132196162046907</v>
      </c>
      <c r="K939">
        <f t="shared" si="106"/>
        <v>0.66440217391304346</v>
      </c>
      <c r="L939">
        <f>A939*COUNTIF(data!D:D,data!$I$2)/data!$L$2</f>
        <v>398.48210023866346</v>
      </c>
      <c r="M939" s="1">
        <f>A939/data!$L$2</f>
        <v>0.74622116149562445</v>
      </c>
      <c r="N939">
        <f t="shared" si="107"/>
        <v>1.227156752353801</v>
      </c>
    </row>
    <row r="940" spans="1:14" x14ac:dyDescent="0.2">
      <c r="A940">
        <v>939</v>
      </c>
      <c r="B940">
        <f>LARGE(data!F:F,A940)</f>
        <v>0.2493319916</v>
      </c>
      <c r="C940">
        <f>COUNTIFS(data!D:D,data!$I$2,data!F:F,"&gt;="&amp;B940)</f>
        <v>490</v>
      </c>
      <c r="D940">
        <f>COUNTIFS(data!D:D,data!$J$2,data!F:F,"&gt;="&amp;B940)</f>
        <v>449</v>
      </c>
      <c r="E940">
        <f>COUNTIFS(data!D:D,data!$J$2,data!F:F,"&lt;"&amp;B940)</f>
        <v>274</v>
      </c>
      <c r="F940">
        <f>COUNTIFS(data!D:D,data!$I$2,data!F:F,"&lt;"&amp;B940)</f>
        <v>44</v>
      </c>
      <c r="G940">
        <f t="shared" si="102"/>
        <v>0.62102351313969573</v>
      </c>
      <c r="H940">
        <f t="shared" si="103"/>
        <v>0.91760299625468167</v>
      </c>
      <c r="I940">
        <f t="shared" si="104"/>
        <v>0</v>
      </c>
      <c r="J940">
        <f t="shared" si="105"/>
        <v>0.52183173588924392</v>
      </c>
      <c r="K940">
        <f t="shared" si="106"/>
        <v>0.66530889341479971</v>
      </c>
      <c r="L940">
        <f>A940*COUNTIF(data!D:D,data!$I$2)/data!$L$2</f>
        <v>398.9069212410501</v>
      </c>
      <c r="M940" s="1">
        <f>A940/data!$L$2</f>
        <v>0.74701670644391405</v>
      </c>
      <c r="N940">
        <f t="shared" si="107"/>
        <v>1.2283567266156921</v>
      </c>
    </row>
    <row r="941" spans="1:14" x14ac:dyDescent="0.2">
      <c r="A941">
        <v>940</v>
      </c>
      <c r="B941">
        <f>LARGE(data!F:F,A941)</f>
        <v>0.24850445700000001</v>
      </c>
      <c r="C941">
        <f>COUNTIFS(data!D:D,data!$I$2,data!F:F,"&gt;="&amp;B941)</f>
        <v>490</v>
      </c>
      <c r="D941">
        <f>COUNTIFS(data!D:D,data!$J$2,data!F:F,"&gt;="&amp;B941)</f>
        <v>450</v>
      </c>
      <c r="E941">
        <f>COUNTIFS(data!D:D,data!$J$2,data!F:F,"&lt;"&amp;B941)</f>
        <v>273</v>
      </c>
      <c r="F941">
        <f>COUNTIFS(data!D:D,data!$I$2,data!F:F,"&lt;"&amp;B941)</f>
        <v>44</v>
      </c>
      <c r="G941">
        <f t="shared" si="102"/>
        <v>0.62240663900414939</v>
      </c>
      <c r="H941">
        <f t="shared" si="103"/>
        <v>0.91760299625468167</v>
      </c>
      <c r="I941">
        <f t="shared" si="104"/>
        <v>1.2691604374200254E-3</v>
      </c>
      <c r="J941">
        <f t="shared" si="105"/>
        <v>0.52127659574468088</v>
      </c>
      <c r="K941">
        <f t="shared" si="106"/>
        <v>0.6648575305291724</v>
      </c>
      <c r="L941">
        <f>A941*COUNTIF(data!D:D,data!$I$2)/data!$L$2</f>
        <v>399.33174224343674</v>
      </c>
      <c r="M941" s="1">
        <f>A941/data!$L$2</f>
        <v>0.74781225139220364</v>
      </c>
      <c r="N941">
        <f t="shared" si="107"/>
        <v>1.227049964140569</v>
      </c>
    </row>
    <row r="942" spans="1:14" x14ac:dyDescent="0.2">
      <c r="A942">
        <v>941</v>
      </c>
      <c r="B942">
        <f>LARGE(data!F:F,A942)</f>
        <v>0.24838255179999999</v>
      </c>
      <c r="C942">
        <f>COUNTIFS(data!D:D,data!$I$2,data!F:F,"&gt;="&amp;B942)</f>
        <v>490</v>
      </c>
      <c r="D942">
        <f>COUNTIFS(data!D:D,data!$J$2,data!F:F,"&gt;="&amp;B942)</f>
        <v>451</v>
      </c>
      <c r="E942">
        <f>COUNTIFS(data!D:D,data!$J$2,data!F:F,"&lt;"&amp;B942)</f>
        <v>272</v>
      </c>
      <c r="F942">
        <f>COUNTIFS(data!D:D,data!$I$2,data!F:F,"&lt;"&amp;B942)</f>
        <v>44</v>
      </c>
      <c r="G942">
        <f t="shared" si="102"/>
        <v>0.62378976486860305</v>
      </c>
      <c r="H942">
        <f t="shared" si="103"/>
        <v>0.91760299625468167</v>
      </c>
      <c r="I942">
        <f t="shared" si="104"/>
        <v>1.2691604374200254E-3</v>
      </c>
      <c r="J942">
        <f t="shared" si="105"/>
        <v>0.52072263549415521</v>
      </c>
      <c r="K942">
        <f t="shared" si="106"/>
        <v>0.66440677966101702</v>
      </c>
      <c r="L942">
        <f>A942*COUNTIF(data!D:D,data!$I$2)/data!$L$2</f>
        <v>399.75656324582337</v>
      </c>
      <c r="M942" s="1">
        <f>A942/data!$L$2</f>
        <v>0.74860779634049324</v>
      </c>
      <c r="N942">
        <f t="shared" si="107"/>
        <v>1.2257459790564664</v>
      </c>
    </row>
    <row r="943" spans="1:14" x14ac:dyDescent="0.2">
      <c r="A943">
        <v>942</v>
      </c>
      <c r="B943">
        <f>LARGE(data!F:F,A943)</f>
        <v>0.24806426470000001</v>
      </c>
      <c r="C943">
        <f>COUNTIFS(data!D:D,data!$I$2,data!F:F,"&gt;="&amp;B943)</f>
        <v>490</v>
      </c>
      <c r="D943">
        <f>COUNTIFS(data!D:D,data!$J$2,data!F:F,"&gt;="&amp;B943)</f>
        <v>452</v>
      </c>
      <c r="E943">
        <f>COUNTIFS(data!D:D,data!$J$2,data!F:F,"&lt;"&amp;B943)</f>
        <v>271</v>
      </c>
      <c r="F943">
        <f>COUNTIFS(data!D:D,data!$I$2,data!F:F,"&lt;"&amp;B943)</f>
        <v>44</v>
      </c>
      <c r="G943">
        <f t="shared" si="102"/>
        <v>0.62517289073305671</v>
      </c>
      <c r="H943">
        <f t="shared" si="103"/>
        <v>0.91760299625468167</v>
      </c>
      <c r="I943">
        <f t="shared" si="104"/>
        <v>1.2691604374200254E-3</v>
      </c>
      <c r="J943">
        <f t="shared" si="105"/>
        <v>0.52016985138004246</v>
      </c>
      <c r="K943">
        <f t="shared" si="106"/>
        <v>0.66395663956639572</v>
      </c>
      <c r="L943">
        <f>A943*COUNTIF(data!D:D,data!$I$2)/data!$L$2</f>
        <v>400.18138424821001</v>
      </c>
      <c r="M943" s="1">
        <f>A943/data!$L$2</f>
        <v>0.74940334128878283</v>
      </c>
      <c r="N943">
        <f t="shared" si="107"/>
        <v>1.2244447625181898</v>
      </c>
    </row>
    <row r="944" spans="1:14" x14ac:dyDescent="0.2">
      <c r="A944">
        <v>943</v>
      </c>
      <c r="B944">
        <f>LARGE(data!F:F,A944)</f>
        <v>0.24774235180000001</v>
      </c>
      <c r="C944">
        <f>COUNTIFS(data!D:D,data!$I$2,data!F:F,"&gt;="&amp;B944)</f>
        <v>491</v>
      </c>
      <c r="D944">
        <f>COUNTIFS(data!D:D,data!$J$2,data!F:F,"&gt;="&amp;B944)</f>
        <v>452</v>
      </c>
      <c r="E944">
        <f>COUNTIFS(data!D:D,data!$J$2,data!F:F,"&lt;"&amp;B944)</f>
        <v>271</v>
      </c>
      <c r="F944">
        <f>COUNTIFS(data!D:D,data!$I$2,data!F:F,"&lt;"&amp;B944)</f>
        <v>43</v>
      </c>
      <c r="G944">
        <f t="shared" si="102"/>
        <v>0.62517289073305671</v>
      </c>
      <c r="H944">
        <f t="shared" si="103"/>
        <v>0.91947565543071164</v>
      </c>
      <c r="I944">
        <f t="shared" si="104"/>
        <v>0</v>
      </c>
      <c r="J944">
        <f t="shared" si="105"/>
        <v>0.52067868504772008</v>
      </c>
      <c r="K944">
        <f t="shared" si="106"/>
        <v>0.66486120514556535</v>
      </c>
      <c r="L944">
        <f>A944*COUNTIF(data!D:D,data!$I$2)/data!$L$2</f>
        <v>400.60620525059664</v>
      </c>
      <c r="M944" s="1">
        <f>A944/data!$L$2</f>
        <v>0.75019888623707243</v>
      </c>
      <c r="N944">
        <f t="shared" si="107"/>
        <v>1.2256425226685095</v>
      </c>
    </row>
    <row r="945" spans="1:14" x14ac:dyDescent="0.2">
      <c r="A945">
        <v>944</v>
      </c>
      <c r="B945">
        <f>LARGE(data!F:F,A945)</f>
        <v>0.24723053449999999</v>
      </c>
      <c r="C945">
        <f>COUNTIFS(data!D:D,data!$I$2,data!F:F,"&gt;="&amp;B945)</f>
        <v>491</v>
      </c>
      <c r="D945">
        <f>COUNTIFS(data!D:D,data!$J$2,data!F:F,"&gt;="&amp;B945)</f>
        <v>453</v>
      </c>
      <c r="E945">
        <f>COUNTIFS(data!D:D,data!$J$2,data!F:F,"&lt;"&amp;B945)</f>
        <v>270</v>
      </c>
      <c r="F945">
        <f>COUNTIFS(data!D:D,data!$I$2,data!F:F,"&lt;"&amp;B945)</f>
        <v>43</v>
      </c>
      <c r="G945">
        <f t="shared" si="102"/>
        <v>0.62655601659751037</v>
      </c>
      <c r="H945">
        <f t="shared" si="103"/>
        <v>0.91947565543071164</v>
      </c>
      <c r="I945">
        <f t="shared" si="104"/>
        <v>1.2717505607616989E-3</v>
      </c>
      <c r="J945">
        <f t="shared" si="105"/>
        <v>0.5201271186440678</v>
      </c>
      <c r="K945">
        <f t="shared" si="106"/>
        <v>0.6644113667117727</v>
      </c>
      <c r="L945">
        <f>A945*COUNTIF(data!D:D,data!$I$2)/data!$L$2</f>
        <v>401.03102625298328</v>
      </c>
      <c r="M945" s="1">
        <f>A945/data!$L$2</f>
        <v>0.75099443118536202</v>
      </c>
      <c r="N945">
        <f t="shared" si="107"/>
        <v>1.2243441725385642</v>
      </c>
    </row>
    <row r="946" spans="1:14" x14ac:dyDescent="0.2">
      <c r="A946">
        <v>945</v>
      </c>
      <c r="B946">
        <f>LARGE(data!F:F,A946)</f>
        <v>0.2467717717</v>
      </c>
      <c r="C946">
        <f>COUNTIFS(data!D:D,data!$I$2,data!F:F,"&gt;="&amp;B946)</f>
        <v>491</v>
      </c>
      <c r="D946">
        <f>COUNTIFS(data!D:D,data!$J$2,data!F:F,"&gt;="&amp;B946)</f>
        <v>454</v>
      </c>
      <c r="E946">
        <f>COUNTIFS(data!D:D,data!$J$2,data!F:F,"&lt;"&amp;B946)</f>
        <v>269</v>
      </c>
      <c r="F946">
        <f>COUNTIFS(data!D:D,data!$I$2,data!F:F,"&lt;"&amp;B946)</f>
        <v>43</v>
      </c>
      <c r="G946">
        <f t="shared" si="102"/>
        <v>0.62793914246196403</v>
      </c>
      <c r="H946">
        <f t="shared" si="103"/>
        <v>0.91947565543071164</v>
      </c>
      <c r="I946">
        <f t="shared" si="104"/>
        <v>1.2717505607616989E-3</v>
      </c>
      <c r="J946">
        <f t="shared" si="105"/>
        <v>0.51957671957671958</v>
      </c>
      <c r="K946">
        <f t="shared" si="106"/>
        <v>0.66396213657876946</v>
      </c>
      <c r="L946">
        <f>A946*COUNTIF(data!D:D,data!$I$2)/data!$L$2</f>
        <v>401.45584725536992</v>
      </c>
      <c r="M946" s="1">
        <f>A946/data!$L$2</f>
        <v>0.75178997613365151</v>
      </c>
      <c r="N946">
        <f t="shared" si="107"/>
        <v>1.2230485702395815</v>
      </c>
    </row>
    <row r="947" spans="1:14" x14ac:dyDescent="0.2">
      <c r="A947">
        <v>946</v>
      </c>
      <c r="B947">
        <f>LARGE(data!F:F,A947)</f>
        <v>0.2462921984</v>
      </c>
      <c r="C947">
        <f>COUNTIFS(data!D:D,data!$I$2,data!F:F,"&gt;="&amp;B947)</f>
        <v>491</v>
      </c>
      <c r="D947">
        <f>COUNTIFS(data!D:D,data!$J$2,data!F:F,"&gt;="&amp;B947)</f>
        <v>455</v>
      </c>
      <c r="E947">
        <f>COUNTIFS(data!D:D,data!$J$2,data!F:F,"&lt;"&amp;B947)</f>
        <v>268</v>
      </c>
      <c r="F947">
        <f>COUNTIFS(data!D:D,data!$I$2,data!F:F,"&lt;"&amp;B947)</f>
        <v>43</v>
      </c>
      <c r="G947">
        <f t="shared" si="102"/>
        <v>0.62932226832641769</v>
      </c>
      <c r="H947">
        <f t="shared" si="103"/>
        <v>0.91947565543071164</v>
      </c>
      <c r="I947">
        <f t="shared" si="104"/>
        <v>1.2717505607616989E-3</v>
      </c>
      <c r="J947">
        <f t="shared" si="105"/>
        <v>0.51902748414376321</v>
      </c>
      <c r="K947">
        <f t="shared" si="106"/>
        <v>0.66351351351351351</v>
      </c>
      <c r="L947">
        <f>A947*COUNTIF(data!D:D,data!$I$2)/data!$L$2</f>
        <v>401.88066825775655</v>
      </c>
      <c r="M947" s="1">
        <f>A947/data!$L$2</f>
        <v>0.7525855210819411</v>
      </c>
      <c r="N947">
        <f t="shared" si="107"/>
        <v>1.22175570705751</v>
      </c>
    </row>
    <row r="948" spans="1:14" x14ac:dyDescent="0.2">
      <c r="A948">
        <v>947</v>
      </c>
      <c r="B948">
        <f>LARGE(data!F:F,A948)</f>
        <v>0.24450517290000001</v>
      </c>
      <c r="C948">
        <f>COUNTIFS(data!D:D,data!$I$2,data!F:F,"&gt;="&amp;B948)</f>
        <v>493</v>
      </c>
      <c r="D948">
        <f>COUNTIFS(data!D:D,data!$J$2,data!F:F,"&gt;="&amp;B948)</f>
        <v>455</v>
      </c>
      <c r="E948">
        <f>COUNTIFS(data!D:D,data!$J$2,data!F:F,"&lt;"&amp;B948)</f>
        <v>268</v>
      </c>
      <c r="F948">
        <f>COUNTIFS(data!D:D,data!$I$2,data!F:F,"&lt;"&amp;B948)</f>
        <v>41</v>
      </c>
      <c r="G948">
        <f t="shared" si="102"/>
        <v>0.62932226832641769</v>
      </c>
      <c r="H948">
        <f t="shared" si="103"/>
        <v>0.92322097378277157</v>
      </c>
      <c r="I948">
        <f t="shared" si="104"/>
        <v>0</v>
      </c>
      <c r="J948">
        <f t="shared" si="105"/>
        <v>0.52004219409282704</v>
      </c>
      <c r="K948">
        <f t="shared" si="106"/>
        <v>0.66531713900134948</v>
      </c>
      <c r="L948">
        <f>A948*COUNTIF(data!D:D,data!$I$2)/data!$L$2</f>
        <v>402.30548926014319</v>
      </c>
      <c r="M948" s="1">
        <f>A948/data!$L$2</f>
        <v>0.75338106603023069</v>
      </c>
      <c r="N948">
        <f t="shared" si="107"/>
        <v>1.2254369208499936</v>
      </c>
    </row>
    <row r="949" spans="1:14" x14ac:dyDescent="0.2">
      <c r="A949">
        <v>948</v>
      </c>
      <c r="B949">
        <f>LARGE(data!F:F,A949)</f>
        <v>0.24450517290000001</v>
      </c>
      <c r="C949">
        <f>COUNTIFS(data!D:D,data!$I$2,data!F:F,"&gt;="&amp;B949)</f>
        <v>493</v>
      </c>
      <c r="D949">
        <f>COUNTIFS(data!D:D,data!$J$2,data!F:F,"&gt;="&amp;B949)</f>
        <v>455</v>
      </c>
      <c r="E949">
        <f>COUNTIFS(data!D:D,data!$J$2,data!F:F,"&lt;"&amp;B949)</f>
        <v>268</v>
      </c>
      <c r="F949">
        <f>COUNTIFS(data!D:D,data!$I$2,data!F:F,"&lt;"&amp;B949)</f>
        <v>41</v>
      </c>
      <c r="G949">
        <f t="shared" si="102"/>
        <v>0.62932226832641769</v>
      </c>
      <c r="H949">
        <f t="shared" si="103"/>
        <v>0.92322097378277157</v>
      </c>
      <c r="I949">
        <f t="shared" si="104"/>
        <v>0</v>
      </c>
      <c r="J949">
        <f t="shared" si="105"/>
        <v>0.52004219409282704</v>
      </c>
      <c r="K949">
        <f t="shared" si="106"/>
        <v>0.66531713900134948</v>
      </c>
      <c r="L949">
        <f>A949*COUNTIF(data!D:D,data!$I$2)/data!$L$2</f>
        <v>402.73031026252983</v>
      </c>
      <c r="M949" s="1">
        <f>A949/data!$L$2</f>
        <v>0.75417661097852029</v>
      </c>
      <c r="N949">
        <f t="shared" si="107"/>
        <v>1.224144265870194</v>
      </c>
    </row>
    <row r="950" spans="1:14" x14ac:dyDescent="0.2">
      <c r="A950">
        <v>949</v>
      </c>
      <c r="B950">
        <f>LARGE(data!F:F,A950)</f>
        <v>0.24377013259999999</v>
      </c>
      <c r="C950">
        <f>COUNTIFS(data!D:D,data!$I$2,data!F:F,"&gt;="&amp;B950)</f>
        <v>493</v>
      </c>
      <c r="D950">
        <f>COUNTIFS(data!D:D,data!$J$2,data!F:F,"&gt;="&amp;B950)</f>
        <v>456</v>
      </c>
      <c r="E950">
        <f>COUNTIFS(data!D:D,data!$J$2,data!F:F,"&lt;"&amp;B950)</f>
        <v>267</v>
      </c>
      <c r="F950">
        <f>COUNTIFS(data!D:D,data!$I$2,data!F:F,"&lt;"&amp;B950)</f>
        <v>41</v>
      </c>
      <c r="G950">
        <f t="shared" si="102"/>
        <v>0.63070539419087135</v>
      </c>
      <c r="H950">
        <f t="shared" si="103"/>
        <v>0.92322097378277157</v>
      </c>
      <c r="I950">
        <f t="shared" si="104"/>
        <v>1.2769308074450461E-3</v>
      </c>
      <c r="J950">
        <f t="shared" si="105"/>
        <v>0.51949420442571126</v>
      </c>
      <c r="K950">
        <f t="shared" si="106"/>
        <v>0.66486850977747813</v>
      </c>
      <c r="L950">
        <f>A950*COUNTIF(data!D:D,data!$I$2)/data!$L$2</f>
        <v>403.15513126491646</v>
      </c>
      <c r="M950" s="1">
        <f>A950/data!$L$2</f>
        <v>0.75497215592680988</v>
      </c>
      <c r="N950">
        <f t="shared" si="107"/>
        <v>1.2228543351369272</v>
      </c>
    </row>
    <row r="951" spans="1:14" x14ac:dyDescent="0.2">
      <c r="A951">
        <v>950</v>
      </c>
      <c r="B951">
        <f>LARGE(data!F:F,A951)</f>
        <v>0.24234252810000001</v>
      </c>
      <c r="C951">
        <f>COUNTIFS(data!D:D,data!$I$2,data!F:F,"&gt;="&amp;B951)</f>
        <v>493</v>
      </c>
      <c r="D951">
        <f>COUNTIFS(data!D:D,data!$J$2,data!F:F,"&gt;="&amp;B951)</f>
        <v>457</v>
      </c>
      <c r="E951">
        <f>COUNTIFS(data!D:D,data!$J$2,data!F:F,"&lt;"&amp;B951)</f>
        <v>266</v>
      </c>
      <c r="F951">
        <f>COUNTIFS(data!D:D,data!$I$2,data!F:F,"&lt;"&amp;B951)</f>
        <v>41</v>
      </c>
      <c r="G951">
        <f t="shared" si="102"/>
        <v>0.63208852005532501</v>
      </c>
      <c r="H951">
        <f t="shared" si="103"/>
        <v>0.92322097378277157</v>
      </c>
      <c r="I951">
        <f t="shared" si="104"/>
        <v>1.2769308074450461E-3</v>
      </c>
      <c r="J951">
        <f t="shared" si="105"/>
        <v>0.5189473684210526</v>
      </c>
      <c r="K951">
        <f t="shared" si="106"/>
        <v>0.66442048517520225</v>
      </c>
      <c r="L951">
        <f>A951*COUNTIF(data!D:D,data!$I$2)/data!$L$2</f>
        <v>403.5799522673031</v>
      </c>
      <c r="M951" s="1">
        <f>A951/data!$L$2</f>
        <v>0.75576770087509948</v>
      </c>
      <c r="N951">
        <f t="shared" si="107"/>
        <v>1.2215671200473093</v>
      </c>
    </row>
    <row r="952" spans="1:14" x14ac:dyDescent="0.2">
      <c r="A952">
        <v>951</v>
      </c>
      <c r="B952">
        <f>LARGE(data!F:F,A952)</f>
        <v>0.24041911899999999</v>
      </c>
      <c r="C952">
        <f>COUNTIFS(data!D:D,data!$I$2,data!F:F,"&gt;="&amp;B952)</f>
        <v>493</v>
      </c>
      <c r="D952">
        <f>COUNTIFS(data!D:D,data!$J$2,data!F:F,"&gt;="&amp;B952)</f>
        <v>458</v>
      </c>
      <c r="E952">
        <f>COUNTIFS(data!D:D,data!$J$2,data!F:F,"&lt;"&amp;B952)</f>
        <v>265</v>
      </c>
      <c r="F952">
        <f>COUNTIFS(data!D:D,data!$I$2,data!F:F,"&lt;"&amp;B952)</f>
        <v>41</v>
      </c>
      <c r="G952">
        <f t="shared" si="102"/>
        <v>0.63347164591977867</v>
      </c>
      <c r="H952">
        <f t="shared" si="103"/>
        <v>0.92322097378277157</v>
      </c>
      <c r="I952">
        <f t="shared" si="104"/>
        <v>1.2769308074450461E-3</v>
      </c>
      <c r="J952">
        <f t="shared" si="105"/>
        <v>0.51840168243953733</v>
      </c>
      <c r="K952">
        <f t="shared" si="106"/>
        <v>0.66397306397306399</v>
      </c>
      <c r="L952">
        <f>A952*COUNTIF(data!D:D,data!$I$2)/data!$L$2</f>
        <v>404.00477326968974</v>
      </c>
      <c r="M952" s="1">
        <f>A952/data!$L$2</f>
        <v>0.75656324582338907</v>
      </c>
      <c r="N952">
        <f t="shared" si="107"/>
        <v>1.2202826120346413</v>
      </c>
    </row>
    <row r="953" spans="1:14" x14ac:dyDescent="0.2">
      <c r="A953">
        <v>952</v>
      </c>
      <c r="B953">
        <f>LARGE(data!F:F,A953)</f>
        <v>0.23984936909999999</v>
      </c>
      <c r="C953">
        <f>COUNTIFS(data!D:D,data!$I$2,data!F:F,"&gt;="&amp;B953)</f>
        <v>493</v>
      </c>
      <c r="D953">
        <f>COUNTIFS(data!D:D,data!$J$2,data!F:F,"&gt;="&amp;B953)</f>
        <v>459</v>
      </c>
      <c r="E953">
        <f>COUNTIFS(data!D:D,data!$J$2,data!F:F,"&lt;"&amp;B953)</f>
        <v>264</v>
      </c>
      <c r="F953">
        <f>COUNTIFS(data!D:D,data!$I$2,data!F:F,"&lt;"&amp;B953)</f>
        <v>41</v>
      </c>
      <c r="G953">
        <f t="shared" si="102"/>
        <v>0.63485477178423233</v>
      </c>
      <c r="H953">
        <f t="shared" si="103"/>
        <v>0.92322097378277157</v>
      </c>
      <c r="I953">
        <f t="shared" si="104"/>
        <v>1.2769308074450461E-3</v>
      </c>
      <c r="J953">
        <f t="shared" si="105"/>
        <v>0.5178571428571429</v>
      </c>
      <c r="K953">
        <f t="shared" si="106"/>
        <v>0.6635262449528937</v>
      </c>
      <c r="L953">
        <f>A953*COUNTIF(data!D:D,data!$I$2)/data!$L$2</f>
        <v>404.42959427207637</v>
      </c>
      <c r="M953" s="1">
        <f>A953/data!$L$2</f>
        <v>0.75735879077167856</v>
      </c>
      <c r="N953">
        <f t="shared" si="107"/>
        <v>1.2190008025682182</v>
      </c>
    </row>
    <row r="954" spans="1:14" x14ac:dyDescent="0.2">
      <c r="A954">
        <v>953</v>
      </c>
      <c r="B954">
        <f>LARGE(data!F:F,A954)</f>
        <v>0.239131553</v>
      </c>
      <c r="C954">
        <f>COUNTIFS(data!D:D,data!$I$2,data!F:F,"&gt;="&amp;B954)</f>
        <v>493</v>
      </c>
      <c r="D954">
        <f>COUNTIFS(data!D:D,data!$J$2,data!F:F,"&gt;="&amp;B954)</f>
        <v>460</v>
      </c>
      <c r="E954">
        <f>COUNTIFS(data!D:D,data!$J$2,data!F:F,"&lt;"&amp;B954)</f>
        <v>263</v>
      </c>
      <c r="F954">
        <f>COUNTIFS(data!D:D,data!$I$2,data!F:F,"&lt;"&amp;B954)</f>
        <v>41</v>
      </c>
      <c r="G954">
        <f t="shared" si="102"/>
        <v>0.63623789764868599</v>
      </c>
      <c r="H954">
        <f t="shared" si="103"/>
        <v>0.92322097378277157</v>
      </c>
      <c r="I954">
        <f t="shared" si="104"/>
        <v>1.2769308074450461E-3</v>
      </c>
      <c r="J954">
        <f t="shared" si="105"/>
        <v>0.51731374606505776</v>
      </c>
      <c r="K954">
        <f t="shared" si="106"/>
        <v>0.66308002689979828</v>
      </c>
      <c r="L954">
        <f>A954*COUNTIF(data!D:D,data!$I$2)/data!$L$2</f>
        <v>404.85441527446301</v>
      </c>
      <c r="M954" s="1">
        <f>A954/data!$L$2</f>
        <v>0.75815433571996815</v>
      </c>
      <c r="N954">
        <f t="shared" si="107"/>
        <v>1.2177216831531414</v>
      </c>
    </row>
    <row r="955" spans="1:14" x14ac:dyDescent="0.2">
      <c r="A955">
        <v>954</v>
      </c>
      <c r="B955">
        <f>LARGE(data!F:F,A955)</f>
        <v>0.23870404100000001</v>
      </c>
      <c r="C955">
        <f>COUNTIFS(data!D:D,data!$I$2,data!F:F,"&gt;="&amp;B955)</f>
        <v>494</v>
      </c>
      <c r="D955">
        <f>COUNTIFS(data!D:D,data!$J$2,data!F:F,"&gt;="&amp;B955)</f>
        <v>460</v>
      </c>
      <c r="E955">
        <f>COUNTIFS(data!D:D,data!$J$2,data!F:F,"&lt;"&amp;B955)</f>
        <v>263</v>
      </c>
      <c r="F955">
        <f>COUNTIFS(data!D:D,data!$I$2,data!F:F,"&lt;"&amp;B955)</f>
        <v>40</v>
      </c>
      <c r="G955">
        <f t="shared" si="102"/>
        <v>0.63623789764868599</v>
      </c>
      <c r="H955">
        <f t="shared" si="103"/>
        <v>0.92509363295880154</v>
      </c>
      <c r="I955">
        <f t="shared" si="104"/>
        <v>0</v>
      </c>
      <c r="J955">
        <f t="shared" si="105"/>
        <v>0.51781970649895182</v>
      </c>
      <c r="K955">
        <f t="shared" si="106"/>
        <v>0.66397849462365599</v>
      </c>
      <c r="L955">
        <f>A955*COUNTIF(data!D:D,data!$I$2)/data!$L$2</f>
        <v>405.27923627684964</v>
      </c>
      <c r="M955" s="1">
        <f>A955/data!$L$2</f>
        <v>0.75894988066825775</v>
      </c>
      <c r="N955">
        <f t="shared" si="107"/>
        <v>1.218912679904836</v>
      </c>
    </row>
    <row r="956" spans="1:14" x14ac:dyDescent="0.2">
      <c r="A956">
        <v>955</v>
      </c>
      <c r="B956">
        <f>LARGE(data!F:F,A956)</f>
        <v>0.2385084724</v>
      </c>
      <c r="C956">
        <f>COUNTIFS(data!D:D,data!$I$2,data!F:F,"&gt;="&amp;B956)</f>
        <v>494</v>
      </c>
      <c r="D956">
        <f>COUNTIFS(data!D:D,data!$J$2,data!F:F,"&gt;="&amp;B956)</f>
        <v>461</v>
      </c>
      <c r="E956">
        <f>COUNTIFS(data!D:D,data!$J$2,data!F:F,"&lt;"&amp;B956)</f>
        <v>262</v>
      </c>
      <c r="F956">
        <f>COUNTIFS(data!D:D,data!$I$2,data!F:F,"&lt;"&amp;B956)</f>
        <v>40</v>
      </c>
      <c r="G956">
        <f t="shared" si="102"/>
        <v>0.63762102351313965</v>
      </c>
      <c r="H956">
        <f t="shared" si="103"/>
        <v>0.92509363295880154</v>
      </c>
      <c r="I956">
        <f t="shared" si="104"/>
        <v>1.2795209307867195E-3</v>
      </c>
      <c r="J956">
        <f t="shared" si="105"/>
        <v>0.51727748691099473</v>
      </c>
      <c r="K956">
        <f t="shared" si="106"/>
        <v>0.66353257219610473</v>
      </c>
      <c r="L956">
        <f>A956*COUNTIF(data!D:D,data!$I$2)/data!$L$2</f>
        <v>405.70405727923628</v>
      </c>
      <c r="M956" s="1">
        <f>A956/data!$L$2</f>
        <v>0.75974542561654734</v>
      </c>
      <c r="N956">
        <f t="shared" si="107"/>
        <v>1.2176363315489147</v>
      </c>
    </row>
    <row r="957" spans="1:14" x14ac:dyDescent="0.2">
      <c r="A957">
        <v>956</v>
      </c>
      <c r="B957">
        <f>LARGE(data!F:F,A957)</f>
        <v>0.23586332930000001</v>
      </c>
      <c r="C957">
        <f>COUNTIFS(data!D:D,data!$I$2,data!F:F,"&gt;="&amp;B957)</f>
        <v>494</v>
      </c>
      <c r="D957">
        <f>COUNTIFS(data!D:D,data!$J$2,data!F:F,"&gt;="&amp;B957)</f>
        <v>462</v>
      </c>
      <c r="E957">
        <f>COUNTIFS(data!D:D,data!$J$2,data!F:F,"&lt;"&amp;B957)</f>
        <v>261</v>
      </c>
      <c r="F957">
        <f>COUNTIFS(data!D:D,data!$I$2,data!F:F,"&lt;"&amp;B957)</f>
        <v>40</v>
      </c>
      <c r="G957">
        <f t="shared" si="102"/>
        <v>0.63900414937759331</v>
      </c>
      <c r="H957">
        <f t="shared" si="103"/>
        <v>0.92509363295880154</v>
      </c>
      <c r="I957">
        <f t="shared" si="104"/>
        <v>1.2795209307867195E-3</v>
      </c>
      <c r="J957">
        <f t="shared" si="105"/>
        <v>0.51673640167364021</v>
      </c>
      <c r="K957">
        <f t="shared" si="106"/>
        <v>0.66308724832214772</v>
      </c>
      <c r="L957">
        <f>A957*COUNTIF(data!D:D,data!$I$2)/data!$L$2</f>
        <v>406.12887828162292</v>
      </c>
      <c r="M957" s="1">
        <f>A957/data!$L$2</f>
        <v>0.76054097056483694</v>
      </c>
      <c r="N957">
        <f t="shared" si="107"/>
        <v>1.2163626533778384</v>
      </c>
    </row>
    <row r="958" spans="1:14" x14ac:dyDescent="0.2">
      <c r="A958">
        <v>957</v>
      </c>
      <c r="B958">
        <f>LARGE(data!F:F,A958)</f>
        <v>0.23579959859999999</v>
      </c>
      <c r="C958">
        <f>COUNTIFS(data!D:D,data!$I$2,data!F:F,"&gt;="&amp;B958)</f>
        <v>494</v>
      </c>
      <c r="D958">
        <f>COUNTIFS(data!D:D,data!$J$2,data!F:F,"&gt;="&amp;B958)</f>
        <v>463</v>
      </c>
      <c r="E958">
        <f>COUNTIFS(data!D:D,data!$J$2,data!F:F,"&lt;"&amp;B958)</f>
        <v>260</v>
      </c>
      <c r="F958">
        <f>COUNTIFS(data!D:D,data!$I$2,data!F:F,"&lt;"&amp;B958)</f>
        <v>40</v>
      </c>
      <c r="G958">
        <f t="shared" si="102"/>
        <v>0.64038727524204697</v>
      </c>
      <c r="H958">
        <f t="shared" si="103"/>
        <v>0.92509363295880154</v>
      </c>
      <c r="I958">
        <f t="shared" si="104"/>
        <v>1.2795209307867195E-3</v>
      </c>
      <c r="J958">
        <f t="shared" si="105"/>
        <v>0.51619644723092994</v>
      </c>
      <c r="K958">
        <f t="shared" si="106"/>
        <v>0.66264252179745131</v>
      </c>
      <c r="L958">
        <f>A958*COUNTIF(data!D:D,data!$I$2)/data!$L$2</f>
        <v>406.55369928400955</v>
      </c>
      <c r="M958" s="1">
        <f>A958/data!$L$2</f>
        <v>0.76133651551312653</v>
      </c>
      <c r="N958">
        <f t="shared" si="107"/>
        <v>1.2150916370211218</v>
      </c>
    </row>
    <row r="959" spans="1:14" x14ac:dyDescent="0.2">
      <c r="A959">
        <v>958</v>
      </c>
      <c r="B959">
        <f>LARGE(data!F:F,A959)</f>
        <v>0.23572571749999999</v>
      </c>
      <c r="C959">
        <f>COUNTIFS(data!D:D,data!$I$2,data!F:F,"&gt;="&amp;B959)</f>
        <v>494</v>
      </c>
      <c r="D959">
        <f>COUNTIFS(data!D:D,data!$J$2,data!F:F,"&gt;="&amp;B959)</f>
        <v>464</v>
      </c>
      <c r="E959">
        <f>COUNTIFS(data!D:D,data!$J$2,data!F:F,"&lt;"&amp;B959)</f>
        <v>259</v>
      </c>
      <c r="F959">
        <f>COUNTIFS(data!D:D,data!$I$2,data!F:F,"&lt;"&amp;B959)</f>
        <v>40</v>
      </c>
      <c r="G959">
        <f t="shared" si="102"/>
        <v>0.64177040110650074</v>
      </c>
      <c r="H959">
        <f t="shared" si="103"/>
        <v>0.92509363295880154</v>
      </c>
      <c r="I959">
        <f t="shared" si="104"/>
        <v>1.2795209307868223E-3</v>
      </c>
      <c r="J959">
        <f t="shared" si="105"/>
        <v>0.51565762004175364</v>
      </c>
      <c r="K959">
        <f t="shared" si="106"/>
        <v>0.66219839142091153</v>
      </c>
      <c r="L959">
        <f>A959*COUNTIF(data!D:D,data!$I$2)/data!$L$2</f>
        <v>406.97852028639619</v>
      </c>
      <c r="M959" s="1">
        <f>A959/data!$L$2</f>
        <v>0.76213206046141602</v>
      </c>
      <c r="N959">
        <f t="shared" si="107"/>
        <v>1.2138232741432291</v>
      </c>
    </row>
    <row r="960" spans="1:14" x14ac:dyDescent="0.2">
      <c r="A960">
        <v>959</v>
      </c>
      <c r="B960">
        <f>LARGE(data!F:F,A960)</f>
        <v>0.23558195330000001</v>
      </c>
      <c r="C960">
        <f>COUNTIFS(data!D:D,data!$I$2,data!F:F,"&gt;="&amp;B960)</f>
        <v>494</v>
      </c>
      <c r="D960">
        <f>COUNTIFS(data!D:D,data!$J$2,data!F:F,"&gt;="&amp;B960)</f>
        <v>465</v>
      </c>
      <c r="E960">
        <f>COUNTIFS(data!D:D,data!$J$2,data!F:F,"&lt;"&amp;B960)</f>
        <v>258</v>
      </c>
      <c r="F960">
        <f>COUNTIFS(data!D:D,data!$I$2,data!F:F,"&lt;"&amp;B960)</f>
        <v>40</v>
      </c>
      <c r="G960">
        <f t="shared" si="102"/>
        <v>0.6431535269709544</v>
      </c>
      <c r="H960">
        <f t="shared" si="103"/>
        <v>0.92509363295880154</v>
      </c>
      <c r="I960">
        <f t="shared" si="104"/>
        <v>1.2795209307867195E-3</v>
      </c>
      <c r="J960">
        <f t="shared" si="105"/>
        <v>0.51511991657977063</v>
      </c>
      <c r="K960">
        <f t="shared" si="106"/>
        <v>0.66175485599464168</v>
      </c>
      <c r="L960">
        <f>A960*COUNTIF(data!D:D,data!$I$2)/data!$L$2</f>
        <v>407.40334128878283</v>
      </c>
      <c r="M960" s="1">
        <f>A960/data!$L$2</f>
        <v>0.76292760540970561</v>
      </c>
      <c r="N960">
        <f t="shared" si="107"/>
        <v>1.2125575564433926</v>
      </c>
    </row>
    <row r="961" spans="1:14" x14ac:dyDescent="0.2">
      <c r="A961">
        <v>960</v>
      </c>
      <c r="B961">
        <f>LARGE(data!F:F,A961)</f>
        <v>0.23467942750000001</v>
      </c>
      <c r="C961">
        <f>COUNTIFS(data!D:D,data!$I$2,data!F:F,"&gt;="&amp;B961)</f>
        <v>494</v>
      </c>
      <c r="D961">
        <f>COUNTIFS(data!D:D,data!$J$2,data!F:F,"&gt;="&amp;B961)</f>
        <v>466</v>
      </c>
      <c r="E961">
        <f>COUNTIFS(data!D:D,data!$J$2,data!F:F,"&lt;"&amp;B961)</f>
        <v>257</v>
      </c>
      <c r="F961">
        <f>COUNTIFS(data!D:D,data!$I$2,data!F:F,"&lt;"&amp;B961)</f>
        <v>40</v>
      </c>
      <c r="G961">
        <f t="shared" si="102"/>
        <v>0.64453665283540806</v>
      </c>
      <c r="H961">
        <f t="shared" si="103"/>
        <v>0.92509363295880154</v>
      </c>
      <c r="I961">
        <f t="shared" si="104"/>
        <v>1.2795209307867195E-3</v>
      </c>
      <c r="J961">
        <f t="shared" si="105"/>
        <v>0.51458333333333328</v>
      </c>
      <c r="K961">
        <f t="shared" si="106"/>
        <v>0.66131191432396252</v>
      </c>
      <c r="L961">
        <f>A961*COUNTIF(data!D:D,data!$I$2)/data!$L$2</f>
        <v>407.82816229116946</v>
      </c>
      <c r="M961" s="1">
        <f>A961/data!$L$2</f>
        <v>0.76372315035799521</v>
      </c>
      <c r="N961">
        <f t="shared" si="107"/>
        <v>1.2112944756554307</v>
      </c>
    </row>
    <row r="962" spans="1:14" x14ac:dyDescent="0.2">
      <c r="A962">
        <v>961</v>
      </c>
      <c r="B962">
        <f>LARGE(data!F:F,A962)</f>
        <v>0.2342270759</v>
      </c>
      <c r="C962">
        <f>COUNTIFS(data!D:D,data!$I$2,data!F:F,"&gt;="&amp;B962)</f>
        <v>494</v>
      </c>
      <c r="D962">
        <f>COUNTIFS(data!D:D,data!$J$2,data!F:F,"&gt;="&amp;B962)</f>
        <v>467</v>
      </c>
      <c r="E962">
        <f>COUNTIFS(data!D:D,data!$J$2,data!F:F,"&lt;"&amp;B962)</f>
        <v>256</v>
      </c>
      <c r="F962">
        <f>COUNTIFS(data!D:D,data!$I$2,data!F:F,"&lt;"&amp;B962)</f>
        <v>40</v>
      </c>
      <c r="G962">
        <f t="shared" si="102"/>
        <v>0.64591977869986172</v>
      </c>
      <c r="H962">
        <f t="shared" si="103"/>
        <v>0.92509363295880154</v>
      </c>
      <c r="I962">
        <f t="shared" si="104"/>
        <v>1.2795209307867195E-3</v>
      </c>
      <c r="J962">
        <f t="shared" si="105"/>
        <v>0.51404786680541104</v>
      </c>
      <c r="K962">
        <f t="shared" si="106"/>
        <v>0.66086956521739137</v>
      </c>
      <c r="L962">
        <f>A962*COUNTIF(data!D:D,data!$I$2)/data!$L$2</f>
        <v>408.2529832935561</v>
      </c>
      <c r="M962" s="1">
        <f>A962/data!$L$2</f>
        <v>0.7645186953062848</v>
      </c>
      <c r="N962">
        <f t="shared" si="107"/>
        <v>1.2100340235475686</v>
      </c>
    </row>
    <row r="963" spans="1:14" x14ac:dyDescent="0.2">
      <c r="A963">
        <v>962</v>
      </c>
      <c r="B963">
        <f>LARGE(data!F:F,A963)</f>
        <v>0.23330465950000001</v>
      </c>
      <c r="C963">
        <f>COUNTIFS(data!D:D,data!$I$2,data!F:F,"&gt;="&amp;B963)</f>
        <v>494</v>
      </c>
      <c r="D963">
        <f>COUNTIFS(data!D:D,data!$J$2,data!F:F,"&gt;="&amp;B963)</f>
        <v>468</v>
      </c>
      <c r="E963">
        <f>COUNTIFS(data!D:D,data!$J$2,data!F:F,"&lt;"&amp;B963)</f>
        <v>255</v>
      </c>
      <c r="F963">
        <f>COUNTIFS(data!D:D,data!$I$2,data!F:F,"&lt;"&amp;B963)</f>
        <v>40</v>
      </c>
      <c r="G963">
        <f t="shared" si="102"/>
        <v>0.64730290456431538</v>
      </c>
      <c r="H963">
        <f t="shared" si="103"/>
        <v>0.92509363295880154</v>
      </c>
      <c r="I963">
        <f t="shared" si="104"/>
        <v>1.2795209307867195E-3</v>
      </c>
      <c r="J963">
        <f t="shared" si="105"/>
        <v>0.51351351351351349</v>
      </c>
      <c r="K963">
        <f t="shared" si="106"/>
        <v>0.66042780748663099</v>
      </c>
      <c r="L963">
        <f>A963*COUNTIF(data!D:D,data!$I$2)/data!$L$2</f>
        <v>408.67780429594274</v>
      </c>
      <c r="M963" s="1">
        <f>A963/data!$L$2</f>
        <v>0.7653142402545744</v>
      </c>
      <c r="N963">
        <f t="shared" si="107"/>
        <v>1.2087761919222593</v>
      </c>
    </row>
    <row r="964" spans="1:14" x14ac:dyDescent="0.2">
      <c r="A964">
        <v>963</v>
      </c>
      <c r="B964">
        <f>LARGE(data!F:F,A964)</f>
        <v>0.23302575440000001</v>
      </c>
      <c r="C964">
        <f>COUNTIFS(data!D:D,data!$I$2,data!F:F,"&gt;="&amp;B964)</f>
        <v>494</v>
      </c>
      <c r="D964">
        <f>COUNTIFS(data!D:D,data!$J$2,data!F:F,"&gt;="&amp;B964)</f>
        <v>469</v>
      </c>
      <c r="E964">
        <f>COUNTIFS(data!D:D,data!$J$2,data!F:F,"&lt;"&amp;B964)</f>
        <v>254</v>
      </c>
      <c r="F964">
        <f>COUNTIFS(data!D:D,data!$I$2,data!F:F,"&lt;"&amp;B964)</f>
        <v>40</v>
      </c>
      <c r="G964">
        <f t="shared" si="102"/>
        <v>0.64868603042876904</v>
      </c>
      <c r="H964">
        <f t="shared" si="103"/>
        <v>0.92509363295880154</v>
      </c>
      <c r="I964">
        <f t="shared" si="104"/>
        <v>1.2795209307867195E-3</v>
      </c>
      <c r="J964">
        <f t="shared" si="105"/>
        <v>0.51298026998961577</v>
      </c>
      <c r="K964">
        <f t="shared" si="106"/>
        <v>0.65998663994655982</v>
      </c>
      <c r="L964">
        <f>A964*COUNTIF(data!D:D,data!$I$2)/data!$L$2</f>
        <v>409.10262529832937</v>
      </c>
      <c r="M964" s="1">
        <f>A964/data!$L$2</f>
        <v>0.76610978520286399</v>
      </c>
      <c r="N964">
        <f t="shared" si="107"/>
        <v>1.2075209726160057</v>
      </c>
    </row>
    <row r="965" spans="1:14" x14ac:dyDescent="0.2">
      <c r="A965">
        <v>964</v>
      </c>
      <c r="B965">
        <f>LARGE(data!F:F,A965)</f>
        <v>0.23175674739999999</v>
      </c>
      <c r="C965">
        <f>COUNTIFS(data!D:D,data!$I$2,data!F:F,"&gt;="&amp;B965)</f>
        <v>494</v>
      </c>
      <c r="D965">
        <f>COUNTIFS(data!D:D,data!$J$2,data!F:F,"&gt;="&amp;B965)</f>
        <v>470</v>
      </c>
      <c r="E965">
        <f>COUNTIFS(data!D:D,data!$J$2,data!F:F,"&lt;"&amp;B965)</f>
        <v>253</v>
      </c>
      <c r="F965">
        <f>COUNTIFS(data!D:D,data!$I$2,data!F:F,"&lt;"&amp;B965)</f>
        <v>40</v>
      </c>
      <c r="G965">
        <f t="shared" si="102"/>
        <v>0.65006915629322271</v>
      </c>
      <c r="H965">
        <f t="shared" si="103"/>
        <v>0.92509363295880154</v>
      </c>
      <c r="I965">
        <f t="shared" si="104"/>
        <v>1.2795209307867195E-3</v>
      </c>
      <c r="J965">
        <f t="shared" si="105"/>
        <v>0.51244813278008294</v>
      </c>
      <c r="K965">
        <f t="shared" si="106"/>
        <v>0.65954606141522032</v>
      </c>
      <c r="L965">
        <f>A965*COUNTIF(data!D:D,data!$I$2)/data!$L$2</f>
        <v>409.52744630071601</v>
      </c>
      <c r="M965" s="1">
        <f>A965/data!$L$2</f>
        <v>0.76690533015115359</v>
      </c>
      <c r="N965">
        <f t="shared" si="107"/>
        <v>1.2062683574991842</v>
      </c>
    </row>
    <row r="966" spans="1:14" x14ac:dyDescent="0.2">
      <c r="A966">
        <v>965</v>
      </c>
      <c r="B966">
        <f>LARGE(data!F:F,A966)</f>
        <v>0.23132163689999999</v>
      </c>
      <c r="C966">
        <f>COUNTIFS(data!D:D,data!$I$2,data!F:F,"&gt;="&amp;B966)</f>
        <v>494</v>
      </c>
      <c r="D966">
        <f>COUNTIFS(data!D:D,data!$J$2,data!F:F,"&gt;="&amp;B966)</f>
        <v>471</v>
      </c>
      <c r="E966">
        <f>COUNTIFS(data!D:D,data!$J$2,data!F:F,"&lt;"&amp;B966)</f>
        <v>252</v>
      </c>
      <c r="F966">
        <f>COUNTIFS(data!D:D,data!$I$2,data!F:F,"&lt;"&amp;B966)</f>
        <v>40</v>
      </c>
      <c r="G966">
        <f t="shared" si="102"/>
        <v>0.65145228215767637</v>
      </c>
      <c r="H966">
        <f t="shared" si="103"/>
        <v>0.92509363295880154</v>
      </c>
      <c r="I966">
        <f t="shared" si="104"/>
        <v>1.2795209307867195E-3</v>
      </c>
      <c r="J966">
        <f t="shared" si="105"/>
        <v>0.51191709844559585</v>
      </c>
      <c r="K966">
        <f t="shared" si="106"/>
        <v>0.65910607071380922</v>
      </c>
      <c r="L966">
        <f>A966*COUNTIF(data!D:D,data!$I$2)/data!$L$2</f>
        <v>409.95226730310264</v>
      </c>
      <c r="M966" s="1">
        <f>A966/data!$L$2</f>
        <v>0.76770087509944307</v>
      </c>
      <c r="N966">
        <f t="shared" si="107"/>
        <v>1.2050183384758688</v>
      </c>
    </row>
    <row r="967" spans="1:14" x14ac:dyDescent="0.2">
      <c r="A967">
        <v>966</v>
      </c>
      <c r="B967">
        <f>LARGE(data!F:F,A967)</f>
        <v>0.2301162615</v>
      </c>
      <c r="C967">
        <f>COUNTIFS(data!D:D,data!$I$2,data!F:F,"&gt;="&amp;B967)</f>
        <v>494</v>
      </c>
      <c r="D967">
        <f>COUNTIFS(data!D:D,data!$J$2,data!F:F,"&gt;="&amp;B967)</f>
        <v>472</v>
      </c>
      <c r="E967">
        <f>COUNTIFS(data!D:D,data!$J$2,data!F:F,"&lt;"&amp;B967)</f>
        <v>251</v>
      </c>
      <c r="F967">
        <f>COUNTIFS(data!D:D,data!$I$2,data!F:F,"&lt;"&amp;B967)</f>
        <v>40</v>
      </c>
      <c r="G967">
        <f t="shared" si="102"/>
        <v>0.65283540802213003</v>
      </c>
      <c r="H967">
        <f t="shared" si="103"/>
        <v>0.92509363295880154</v>
      </c>
      <c r="I967">
        <f t="shared" si="104"/>
        <v>1.2795209307867195E-3</v>
      </c>
      <c r="J967">
        <f t="shared" si="105"/>
        <v>0.51138716356107661</v>
      </c>
      <c r="K967">
        <f t="shared" si="106"/>
        <v>0.65866666666666673</v>
      </c>
      <c r="L967">
        <f>A967*COUNTIF(data!D:D,data!$I$2)/data!$L$2</f>
        <v>410.37708830548928</v>
      </c>
      <c r="M967" s="1">
        <f>A967/data!$L$2</f>
        <v>0.76849642004773266</v>
      </c>
      <c r="N967">
        <f t="shared" si="107"/>
        <v>1.2037709074836578</v>
      </c>
    </row>
    <row r="968" spans="1:14" x14ac:dyDescent="0.2">
      <c r="A968">
        <v>967</v>
      </c>
      <c r="B968">
        <f>LARGE(data!F:F,A968)</f>
        <v>0.22986533319999999</v>
      </c>
      <c r="C968">
        <f>COUNTIFS(data!D:D,data!$I$2,data!F:F,"&gt;="&amp;B968)</f>
        <v>494</v>
      </c>
      <c r="D968">
        <f>COUNTIFS(data!D:D,data!$J$2,data!F:F,"&gt;="&amp;B968)</f>
        <v>473</v>
      </c>
      <c r="E968">
        <f>COUNTIFS(data!D:D,data!$J$2,data!F:F,"&lt;"&amp;B968)</f>
        <v>250</v>
      </c>
      <c r="F968">
        <f>COUNTIFS(data!D:D,data!$I$2,data!F:F,"&lt;"&amp;B968)</f>
        <v>40</v>
      </c>
      <c r="G968">
        <f t="shared" si="102"/>
        <v>0.65421853388658369</v>
      </c>
      <c r="H968">
        <f t="shared" si="103"/>
        <v>0.92509363295880154</v>
      </c>
      <c r="I968">
        <f t="shared" si="104"/>
        <v>1.2795209307867195E-3</v>
      </c>
      <c r="J968">
        <f t="shared" si="105"/>
        <v>0.51085832471561532</v>
      </c>
      <c r="K968">
        <f t="shared" si="106"/>
        <v>0.65822784810126589</v>
      </c>
      <c r="L968">
        <f>A968*COUNTIF(data!D:D,data!$I$2)/data!$L$2</f>
        <v>410.80190930787592</v>
      </c>
      <c r="M968" s="1">
        <f>A968/data!$L$2</f>
        <v>0.76929196499602226</v>
      </c>
      <c r="N968">
        <f t="shared" si="107"/>
        <v>1.202526056493499</v>
      </c>
    </row>
    <row r="969" spans="1:14" x14ac:dyDescent="0.2">
      <c r="A969">
        <v>968</v>
      </c>
      <c r="B969">
        <f>LARGE(data!F:F,A969)</f>
        <v>0.2281470686</v>
      </c>
      <c r="C969">
        <f>COUNTIFS(data!D:D,data!$I$2,data!F:F,"&gt;="&amp;B969)</f>
        <v>494</v>
      </c>
      <c r="D969">
        <f>COUNTIFS(data!D:D,data!$J$2,data!F:F,"&gt;="&amp;B969)</f>
        <v>474</v>
      </c>
      <c r="E969">
        <f>COUNTIFS(data!D:D,data!$J$2,data!F:F,"&lt;"&amp;B969)</f>
        <v>249</v>
      </c>
      <c r="F969">
        <f>COUNTIFS(data!D:D,data!$I$2,data!F:F,"&lt;"&amp;B969)</f>
        <v>40</v>
      </c>
      <c r="G969">
        <f t="shared" si="102"/>
        <v>0.65560165975103735</v>
      </c>
      <c r="H969">
        <f t="shared" si="103"/>
        <v>0.92509363295880154</v>
      </c>
      <c r="I969">
        <f t="shared" si="104"/>
        <v>1.2795209307867195E-3</v>
      </c>
      <c r="J969">
        <f t="shared" si="105"/>
        <v>0.51033057851239672</v>
      </c>
      <c r="K969">
        <f t="shared" si="106"/>
        <v>0.65778961384820245</v>
      </c>
      <c r="L969">
        <f>A969*COUNTIF(data!D:D,data!$I$2)/data!$L$2</f>
        <v>411.22673031026255</v>
      </c>
      <c r="M969" s="1">
        <f>A969/data!$L$2</f>
        <v>0.77008750994431185</v>
      </c>
      <c r="N969">
        <f t="shared" si="107"/>
        <v>1.201283777509518</v>
      </c>
    </row>
    <row r="970" spans="1:14" x14ac:dyDescent="0.2">
      <c r="A970">
        <v>969</v>
      </c>
      <c r="B970">
        <f>LARGE(data!F:F,A970)</f>
        <v>0.22813312290000001</v>
      </c>
      <c r="C970">
        <f>COUNTIFS(data!D:D,data!$I$2,data!F:F,"&gt;="&amp;B970)</f>
        <v>494</v>
      </c>
      <c r="D970">
        <f>COUNTIFS(data!D:D,data!$J$2,data!F:F,"&gt;="&amp;B970)</f>
        <v>475</v>
      </c>
      <c r="E970">
        <f>COUNTIFS(data!D:D,data!$J$2,data!F:F,"&lt;"&amp;B970)</f>
        <v>248</v>
      </c>
      <c r="F970">
        <f>COUNTIFS(data!D:D,data!$I$2,data!F:F,"&lt;"&amp;B970)</f>
        <v>40</v>
      </c>
      <c r="G970">
        <f t="shared" si="102"/>
        <v>0.65698478561549101</v>
      </c>
      <c r="H970">
        <f t="shared" si="103"/>
        <v>0.92509363295880154</v>
      </c>
      <c r="I970">
        <f t="shared" si="104"/>
        <v>1.2795209307867195E-3</v>
      </c>
      <c r="J970">
        <f t="shared" si="105"/>
        <v>0.50980392156862742</v>
      </c>
      <c r="K970">
        <f t="shared" si="106"/>
        <v>0.65735196274118424</v>
      </c>
      <c r="L970">
        <f>A970*COUNTIF(data!D:D,data!$I$2)/data!$L$2</f>
        <v>411.65155131264919</v>
      </c>
      <c r="M970" s="1">
        <f>A970/data!$L$2</f>
        <v>0.77088305489260145</v>
      </c>
      <c r="N970">
        <f t="shared" si="107"/>
        <v>1.2000440625688478</v>
      </c>
    </row>
    <row r="971" spans="1:14" x14ac:dyDescent="0.2">
      <c r="A971">
        <v>970</v>
      </c>
      <c r="B971">
        <f>LARGE(data!F:F,A971)</f>
        <v>0.2281043365</v>
      </c>
      <c r="C971">
        <f>COUNTIFS(data!D:D,data!$I$2,data!F:F,"&gt;="&amp;B971)</f>
        <v>494</v>
      </c>
      <c r="D971">
        <f>COUNTIFS(data!D:D,data!$J$2,data!F:F,"&gt;="&amp;B971)</f>
        <v>476</v>
      </c>
      <c r="E971">
        <f>COUNTIFS(data!D:D,data!$J$2,data!F:F,"&lt;"&amp;B971)</f>
        <v>247</v>
      </c>
      <c r="F971">
        <f>COUNTIFS(data!D:D,data!$I$2,data!F:F,"&lt;"&amp;B971)</f>
        <v>40</v>
      </c>
      <c r="G971">
        <f t="shared" si="102"/>
        <v>0.65836791147994467</v>
      </c>
      <c r="H971">
        <f t="shared" si="103"/>
        <v>0.92509363295880154</v>
      </c>
      <c r="I971">
        <f t="shared" si="104"/>
        <v>1.2795209307867195E-3</v>
      </c>
      <c r="J971">
        <f t="shared" si="105"/>
        <v>0.50927835051546388</v>
      </c>
      <c r="K971">
        <f t="shared" si="106"/>
        <v>0.65691489361702127</v>
      </c>
      <c r="L971">
        <f>A971*COUNTIF(data!D:D,data!$I$2)/data!$L$2</f>
        <v>412.07637231503583</v>
      </c>
      <c r="M971" s="1">
        <f>A971/data!$L$2</f>
        <v>0.77167859984089104</v>
      </c>
      <c r="N971">
        <f t="shared" si="107"/>
        <v>1.198806903741457</v>
      </c>
    </row>
    <row r="972" spans="1:14" x14ac:dyDescent="0.2">
      <c r="A972">
        <v>971</v>
      </c>
      <c r="B972">
        <f>LARGE(data!F:F,A972)</f>
        <v>0.22794410609999999</v>
      </c>
      <c r="C972">
        <f>COUNTIFS(data!D:D,data!$I$2,data!F:F,"&gt;="&amp;B972)</f>
        <v>495</v>
      </c>
      <c r="D972">
        <f>COUNTIFS(data!D:D,data!$J$2,data!F:F,"&gt;="&amp;B972)</f>
        <v>476</v>
      </c>
      <c r="E972">
        <f>COUNTIFS(data!D:D,data!$J$2,data!F:F,"&lt;"&amp;B972)</f>
        <v>247</v>
      </c>
      <c r="F972">
        <f>COUNTIFS(data!D:D,data!$I$2,data!F:F,"&lt;"&amp;B972)</f>
        <v>39</v>
      </c>
      <c r="G972">
        <f t="shared" si="102"/>
        <v>0.65836791147994467</v>
      </c>
      <c r="H972">
        <f t="shared" si="103"/>
        <v>0.9269662921348315</v>
      </c>
      <c r="I972">
        <f t="shared" si="104"/>
        <v>0</v>
      </c>
      <c r="J972">
        <f t="shared" si="105"/>
        <v>0.509783728115345</v>
      </c>
      <c r="K972">
        <f t="shared" si="106"/>
        <v>0.65780730897009965</v>
      </c>
      <c r="L972">
        <f>A972*COUNTIF(data!D:D,data!$I$2)/data!$L$2</f>
        <v>412.50119331742246</v>
      </c>
      <c r="M972" s="1">
        <f>A972/data!$L$2</f>
        <v>0.77247414478918064</v>
      </c>
      <c r="N972">
        <f t="shared" si="107"/>
        <v>1.1999965285411771</v>
      </c>
    </row>
    <row r="973" spans="1:14" x14ac:dyDescent="0.2">
      <c r="A973">
        <v>972</v>
      </c>
      <c r="B973">
        <f>LARGE(data!F:F,A973)</f>
        <v>0.2279155138</v>
      </c>
      <c r="C973">
        <f>COUNTIFS(data!D:D,data!$I$2,data!F:F,"&gt;="&amp;B973)</f>
        <v>495</v>
      </c>
      <c r="D973">
        <f>COUNTIFS(data!D:D,data!$J$2,data!F:F,"&gt;="&amp;B973)</f>
        <v>477</v>
      </c>
      <c r="E973">
        <f>COUNTIFS(data!D:D,data!$J$2,data!F:F,"&lt;"&amp;B973)</f>
        <v>246</v>
      </c>
      <c r="F973">
        <f>COUNTIFS(data!D:D,data!$I$2,data!F:F,"&lt;"&amp;B973)</f>
        <v>39</v>
      </c>
      <c r="G973">
        <f t="shared" si="102"/>
        <v>0.65975103734439833</v>
      </c>
      <c r="H973">
        <f t="shared" si="103"/>
        <v>0.9269662921348315</v>
      </c>
      <c r="I973">
        <f t="shared" si="104"/>
        <v>1.282111054128393E-3</v>
      </c>
      <c r="J973">
        <f t="shared" si="105"/>
        <v>0.5092592592592593</v>
      </c>
      <c r="K973">
        <f t="shared" si="106"/>
        <v>0.65737051792828693</v>
      </c>
      <c r="L973">
        <f>A973*COUNTIF(data!D:D,data!$I$2)/data!$L$2</f>
        <v>412.92601431980904</v>
      </c>
      <c r="M973" s="1">
        <f>A973/data!$L$2</f>
        <v>0.77326968973747012</v>
      </c>
      <c r="N973">
        <f t="shared" si="107"/>
        <v>1.1987619642114025</v>
      </c>
    </row>
    <row r="974" spans="1:14" x14ac:dyDescent="0.2">
      <c r="A974">
        <v>973</v>
      </c>
      <c r="B974">
        <f>LARGE(data!F:F,A974)</f>
        <v>0.22777130349999999</v>
      </c>
      <c r="C974">
        <f>COUNTIFS(data!D:D,data!$I$2,data!F:F,"&gt;="&amp;B974)</f>
        <v>495</v>
      </c>
      <c r="D974">
        <f>COUNTIFS(data!D:D,data!$J$2,data!F:F,"&gt;="&amp;B974)</f>
        <v>478</v>
      </c>
      <c r="E974">
        <f>COUNTIFS(data!D:D,data!$J$2,data!F:F,"&lt;"&amp;B974)</f>
        <v>245</v>
      </c>
      <c r="F974">
        <f>COUNTIFS(data!D:D,data!$I$2,data!F:F,"&lt;"&amp;B974)</f>
        <v>39</v>
      </c>
      <c r="G974">
        <f t="shared" si="102"/>
        <v>0.66113416320885199</v>
      </c>
      <c r="H974">
        <f t="shared" si="103"/>
        <v>0.9269662921348315</v>
      </c>
      <c r="I974">
        <f t="shared" si="104"/>
        <v>1.282111054128393E-3</v>
      </c>
      <c r="J974">
        <f t="shared" si="105"/>
        <v>0.5087358684480987</v>
      </c>
      <c r="K974">
        <f t="shared" si="106"/>
        <v>0.65693430656934315</v>
      </c>
      <c r="L974">
        <f>A974*COUNTIF(data!D:D,data!$I$2)/data!$L$2</f>
        <v>413.35083532219568</v>
      </c>
      <c r="M974" s="1">
        <f>A974/data!$L$2</f>
        <v>0.77406523468575972</v>
      </c>
      <c r="N974">
        <f t="shared" si="107"/>
        <v>1.1975299375267043</v>
      </c>
    </row>
    <row r="975" spans="1:14" x14ac:dyDescent="0.2">
      <c r="A975">
        <v>974</v>
      </c>
      <c r="B975">
        <f>LARGE(data!F:F,A975)</f>
        <v>0.2248408382</v>
      </c>
      <c r="C975">
        <f>COUNTIFS(data!D:D,data!$I$2,data!F:F,"&gt;="&amp;B975)</f>
        <v>495</v>
      </c>
      <c r="D975">
        <f>COUNTIFS(data!D:D,data!$J$2,data!F:F,"&gt;="&amp;B975)</f>
        <v>479</v>
      </c>
      <c r="E975">
        <f>COUNTIFS(data!D:D,data!$J$2,data!F:F,"&lt;"&amp;B975)</f>
        <v>244</v>
      </c>
      <c r="F975">
        <f>COUNTIFS(data!D:D,data!$I$2,data!F:F,"&lt;"&amp;B975)</f>
        <v>39</v>
      </c>
      <c r="G975">
        <f t="shared" si="102"/>
        <v>0.66251728907330565</v>
      </c>
      <c r="H975">
        <f t="shared" si="103"/>
        <v>0.9269662921348315</v>
      </c>
      <c r="I975">
        <f t="shared" si="104"/>
        <v>1.282111054128393E-3</v>
      </c>
      <c r="J975">
        <f t="shared" si="105"/>
        <v>0.50821355236139631</v>
      </c>
      <c r="K975">
        <f t="shared" si="106"/>
        <v>0.656498673740053</v>
      </c>
      <c r="L975">
        <f>A975*COUNTIF(data!D:D,data!$I$2)/data!$L$2</f>
        <v>413.77565632458231</v>
      </c>
      <c r="M975" s="1">
        <f>A975/data!$L$2</f>
        <v>0.77486077963404931</v>
      </c>
      <c r="N975">
        <f t="shared" si="107"/>
        <v>1.1963004406709272</v>
      </c>
    </row>
    <row r="976" spans="1:14" x14ac:dyDescent="0.2">
      <c r="A976">
        <v>975</v>
      </c>
      <c r="B976">
        <f>LARGE(data!F:F,A976)</f>
        <v>0.2241125437</v>
      </c>
      <c r="C976">
        <f>COUNTIFS(data!D:D,data!$I$2,data!F:F,"&gt;="&amp;B976)</f>
        <v>495</v>
      </c>
      <c r="D976">
        <f>COUNTIFS(data!D:D,data!$J$2,data!F:F,"&gt;="&amp;B976)</f>
        <v>480</v>
      </c>
      <c r="E976">
        <f>COUNTIFS(data!D:D,data!$J$2,data!F:F,"&lt;"&amp;B976)</f>
        <v>243</v>
      </c>
      <c r="F976">
        <f>COUNTIFS(data!D:D,data!$I$2,data!F:F,"&lt;"&amp;B976)</f>
        <v>39</v>
      </c>
      <c r="G976">
        <f t="shared" si="102"/>
        <v>0.66390041493775931</v>
      </c>
      <c r="H976">
        <f t="shared" si="103"/>
        <v>0.9269662921348315</v>
      </c>
      <c r="I976">
        <f t="shared" si="104"/>
        <v>1.282111054128393E-3</v>
      </c>
      <c r="J976">
        <f t="shared" si="105"/>
        <v>0.50769230769230766</v>
      </c>
      <c r="K976">
        <f t="shared" si="106"/>
        <v>0.65606361829025839</v>
      </c>
      <c r="L976">
        <f>A976*COUNTIF(data!D:D,data!$I$2)/data!$L$2</f>
        <v>414.20047732696895</v>
      </c>
      <c r="M976" s="1">
        <f>A976/data!$L$2</f>
        <v>0.77565632458233891</v>
      </c>
      <c r="N976">
        <f t="shared" si="107"/>
        <v>1.1950734658599829</v>
      </c>
    </row>
    <row r="977" spans="1:14" x14ac:dyDescent="0.2">
      <c r="A977">
        <v>976</v>
      </c>
      <c r="B977">
        <f>LARGE(data!F:F,A977)</f>
        <v>0.22397491529999999</v>
      </c>
      <c r="C977">
        <f>COUNTIFS(data!D:D,data!$I$2,data!F:F,"&gt;="&amp;B977)</f>
        <v>495</v>
      </c>
      <c r="D977">
        <f>COUNTIFS(data!D:D,data!$J$2,data!F:F,"&gt;="&amp;B977)</f>
        <v>481</v>
      </c>
      <c r="E977">
        <f>COUNTIFS(data!D:D,data!$J$2,data!F:F,"&lt;"&amp;B977)</f>
        <v>242</v>
      </c>
      <c r="F977">
        <f>COUNTIFS(data!D:D,data!$I$2,data!F:F,"&lt;"&amp;B977)</f>
        <v>39</v>
      </c>
      <c r="G977">
        <f t="shared" si="102"/>
        <v>0.66528354080221297</v>
      </c>
      <c r="H977">
        <f t="shared" si="103"/>
        <v>0.9269662921348315</v>
      </c>
      <c r="I977">
        <f t="shared" si="104"/>
        <v>1.282111054128393E-3</v>
      </c>
      <c r="J977">
        <f t="shared" si="105"/>
        <v>0.50717213114754101</v>
      </c>
      <c r="K977">
        <f t="shared" si="106"/>
        <v>0.6556291390728477</v>
      </c>
      <c r="L977">
        <f>A977*COUNTIF(data!D:D,data!$I$2)/data!$L$2</f>
        <v>414.62529832935559</v>
      </c>
      <c r="M977" s="1">
        <f>A977/data!$L$2</f>
        <v>0.7764518695306285</v>
      </c>
      <c r="N977">
        <f t="shared" si="107"/>
        <v>1.1938490053416837</v>
      </c>
    </row>
    <row r="978" spans="1:14" x14ac:dyDescent="0.2">
      <c r="A978">
        <v>977</v>
      </c>
      <c r="B978">
        <f>LARGE(data!F:F,A978)</f>
        <v>0.2239605382</v>
      </c>
      <c r="C978">
        <f>COUNTIFS(data!D:D,data!$I$2,data!F:F,"&gt;="&amp;B978)</f>
        <v>496</v>
      </c>
      <c r="D978">
        <f>COUNTIFS(data!D:D,data!$J$2,data!F:F,"&gt;="&amp;B978)</f>
        <v>481</v>
      </c>
      <c r="E978">
        <f>COUNTIFS(data!D:D,data!$J$2,data!F:F,"&lt;"&amp;B978)</f>
        <v>242</v>
      </c>
      <c r="F978">
        <f>COUNTIFS(data!D:D,data!$I$2,data!F:F,"&lt;"&amp;B978)</f>
        <v>38</v>
      </c>
      <c r="G978">
        <f t="shared" si="102"/>
        <v>0.66528354080221297</v>
      </c>
      <c r="H978">
        <f t="shared" si="103"/>
        <v>0.92883895131086147</v>
      </c>
      <c r="I978">
        <f t="shared" si="104"/>
        <v>0</v>
      </c>
      <c r="J978">
        <f t="shared" si="105"/>
        <v>0.50767656090071644</v>
      </c>
      <c r="K978">
        <f t="shared" si="106"/>
        <v>0.65651886168100593</v>
      </c>
      <c r="L978">
        <f>A978*COUNTIF(data!D:D,data!$I$2)/data!$L$2</f>
        <v>415.05011933174222</v>
      </c>
      <c r="M978" s="1">
        <f>A978/data!$L$2</f>
        <v>0.7772474144789181</v>
      </c>
      <c r="N978">
        <f t="shared" si="107"/>
        <v>1.1950363989741586</v>
      </c>
    </row>
    <row r="979" spans="1:14" x14ac:dyDescent="0.2">
      <c r="A979">
        <v>978</v>
      </c>
      <c r="B979">
        <f>LARGE(data!F:F,A979)</f>
        <v>0.22350025979999999</v>
      </c>
      <c r="C979">
        <f>COUNTIFS(data!D:D,data!$I$2,data!F:F,"&gt;="&amp;B979)</f>
        <v>496</v>
      </c>
      <c r="D979">
        <f>COUNTIFS(data!D:D,data!$J$2,data!F:F,"&gt;="&amp;B979)</f>
        <v>482</v>
      </c>
      <c r="E979">
        <f>COUNTIFS(data!D:D,data!$J$2,data!F:F,"&lt;"&amp;B979)</f>
        <v>241</v>
      </c>
      <c r="F979">
        <f>COUNTIFS(data!D:D,data!$I$2,data!F:F,"&lt;"&amp;B979)</f>
        <v>38</v>
      </c>
      <c r="G979">
        <f t="shared" si="102"/>
        <v>0.66666666666666663</v>
      </c>
      <c r="H979">
        <f t="shared" si="103"/>
        <v>0.92883895131086147</v>
      </c>
      <c r="I979">
        <f t="shared" si="104"/>
        <v>1.2847011774700667E-3</v>
      </c>
      <c r="J979">
        <f t="shared" si="105"/>
        <v>0.50715746421267893</v>
      </c>
      <c r="K979">
        <f t="shared" si="106"/>
        <v>0.65608465608465616</v>
      </c>
      <c r="L979">
        <f>A979*COUNTIF(data!D:D,data!$I$2)/data!$L$2</f>
        <v>415.47494033412886</v>
      </c>
      <c r="M979" s="1">
        <f>A979/data!$L$2</f>
        <v>0.77804295942720769</v>
      </c>
      <c r="N979">
        <f t="shared" si="107"/>
        <v>1.1938144803658004</v>
      </c>
    </row>
    <row r="980" spans="1:14" x14ac:dyDescent="0.2">
      <c r="A980">
        <v>979</v>
      </c>
      <c r="B980">
        <f>LARGE(data!F:F,A980)</f>
        <v>0.22343618900000001</v>
      </c>
      <c r="C980">
        <f>COUNTIFS(data!D:D,data!$I$2,data!F:F,"&gt;="&amp;B980)</f>
        <v>496</v>
      </c>
      <c r="D980">
        <f>COUNTIFS(data!D:D,data!$J$2,data!F:F,"&gt;="&amp;B980)</f>
        <v>483</v>
      </c>
      <c r="E980">
        <f>COUNTIFS(data!D:D,data!$J$2,data!F:F,"&lt;"&amp;B980)</f>
        <v>240</v>
      </c>
      <c r="F980">
        <f>COUNTIFS(data!D:D,data!$I$2,data!F:F,"&lt;"&amp;B980)</f>
        <v>38</v>
      </c>
      <c r="G980">
        <f t="shared" si="102"/>
        <v>0.66804979253112029</v>
      </c>
      <c r="H980">
        <f t="shared" si="103"/>
        <v>0.92883895131086147</v>
      </c>
      <c r="I980">
        <f t="shared" si="104"/>
        <v>1.2847011774700667E-3</v>
      </c>
      <c r="J980">
        <f t="shared" si="105"/>
        <v>0.50663942798774264</v>
      </c>
      <c r="K980">
        <f t="shared" si="106"/>
        <v>0.65565102445472578</v>
      </c>
      <c r="L980">
        <f>A980*COUNTIF(data!D:D,data!$I$2)/data!$L$2</f>
        <v>415.8997613365155</v>
      </c>
      <c r="M980" s="1">
        <f>A980/data!$L$2</f>
        <v>0.77883850437549718</v>
      </c>
      <c r="N980">
        <f t="shared" si="107"/>
        <v>1.1925950580160907</v>
      </c>
    </row>
    <row r="981" spans="1:14" x14ac:dyDescent="0.2">
      <c r="A981">
        <v>980</v>
      </c>
      <c r="B981">
        <f>LARGE(data!F:F,A981)</f>
        <v>0.22281316649999999</v>
      </c>
      <c r="C981">
        <f>COUNTIFS(data!D:D,data!$I$2,data!F:F,"&gt;="&amp;B981)</f>
        <v>496</v>
      </c>
      <c r="D981">
        <f>COUNTIFS(data!D:D,data!$J$2,data!F:F,"&gt;="&amp;B981)</f>
        <v>484</v>
      </c>
      <c r="E981">
        <f>COUNTIFS(data!D:D,data!$J$2,data!F:F,"&lt;"&amp;B981)</f>
        <v>239</v>
      </c>
      <c r="F981">
        <f>COUNTIFS(data!D:D,data!$I$2,data!F:F,"&lt;"&amp;B981)</f>
        <v>38</v>
      </c>
      <c r="G981">
        <f t="shared" si="102"/>
        <v>0.66943291839557395</v>
      </c>
      <c r="H981">
        <f t="shared" si="103"/>
        <v>0.92883895131086147</v>
      </c>
      <c r="I981">
        <f t="shared" si="104"/>
        <v>1.2847011774700667E-3</v>
      </c>
      <c r="J981">
        <f t="shared" si="105"/>
        <v>0.5061224489795918</v>
      </c>
      <c r="K981">
        <f t="shared" si="106"/>
        <v>0.65521796565389701</v>
      </c>
      <c r="L981">
        <f>A981*COUNTIF(data!D:D,data!$I$2)/data!$L$2</f>
        <v>416.32458233890213</v>
      </c>
      <c r="M981" s="1">
        <f>A981/data!$L$2</f>
        <v>0.77963404932378677</v>
      </c>
      <c r="N981">
        <f t="shared" si="107"/>
        <v>1.1913781242834214</v>
      </c>
    </row>
    <row r="982" spans="1:14" x14ac:dyDescent="0.2">
      <c r="A982">
        <v>981</v>
      </c>
      <c r="B982">
        <f>LARGE(data!F:F,A982)</f>
        <v>0.22276378190000001</v>
      </c>
      <c r="C982">
        <f>COUNTIFS(data!D:D,data!$I$2,data!F:F,"&gt;="&amp;B982)</f>
        <v>496</v>
      </c>
      <c r="D982">
        <f>COUNTIFS(data!D:D,data!$J$2,data!F:F,"&gt;="&amp;B982)</f>
        <v>485</v>
      </c>
      <c r="E982">
        <f>COUNTIFS(data!D:D,data!$J$2,data!F:F,"&lt;"&amp;B982)</f>
        <v>238</v>
      </c>
      <c r="F982">
        <f>COUNTIFS(data!D:D,data!$I$2,data!F:F,"&lt;"&amp;B982)</f>
        <v>38</v>
      </c>
      <c r="G982">
        <f t="shared" si="102"/>
        <v>0.67081604426002761</v>
      </c>
      <c r="H982">
        <f t="shared" si="103"/>
        <v>0.92883895131086147</v>
      </c>
      <c r="I982">
        <f t="shared" si="104"/>
        <v>1.2847011774700667E-3</v>
      </c>
      <c r="J982">
        <f t="shared" si="105"/>
        <v>0.50560652395514782</v>
      </c>
      <c r="K982">
        <f t="shared" si="106"/>
        <v>0.65478547854785474</v>
      </c>
      <c r="L982">
        <f>A982*COUNTIF(data!D:D,data!$I$2)/data!$L$2</f>
        <v>416.74940334128877</v>
      </c>
      <c r="M982" s="1">
        <f>A982/data!$L$2</f>
        <v>0.78042959427207637</v>
      </c>
      <c r="N982">
        <f t="shared" si="107"/>
        <v>1.1901636715573423</v>
      </c>
    </row>
    <row r="983" spans="1:14" x14ac:dyDescent="0.2">
      <c r="A983">
        <v>982</v>
      </c>
      <c r="B983">
        <f>LARGE(data!F:F,A983)</f>
        <v>0.22162594569999999</v>
      </c>
      <c r="C983">
        <f>COUNTIFS(data!D:D,data!$I$2,data!F:F,"&gt;="&amp;B983)</f>
        <v>497</v>
      </c>
      <c r="D983">
        <f>COUNTIFS(data!D:D,data!$J$2,data!F:F,"&gt;="&amp;B983)</f>
        <v>485</v>
      </c>
      <c r="E983">
        <f>COUNTIFS(data!D:D,data!$J$2,data!F:F,"&lt;"&amp;B983)</f>
        <v>238</v>
      </c>
      <c r="F983">
        <f>COUNTIFS(data!D:D,data!$I$2,data!F:F,"&lt;"&amp;B983)</f>
        <v>37</v>
      </c>
      <c r="G983">
        <f t="shared" si="102"/>
        <v>0.67081604426002761</v>
      </c>
      <c r="H983">
        <f t="shared" si="103"/>
        <v>0.93071161048689144</v>
      </c>
      <c r="I983">
        <f t="shared" si="104"/>
        <v>0</v>
      </c>
      <c r="J983">
        <f t="shared" si="105"/>
        <v>0.50610997963340121</v>
      </c>
      <c r="K983">
        <f t="shared" si="106"/>
        <v>0.65567282321899734</v>
      </c>
      <c r="L983">
        <f>A983*COUNTIF(data!D:D,data!$I$2)/data!$L$2</f>
        <v>417.17422434367541</v>
      </c>
      <c r="M983" s="1">
        <f>A983/data!$L$2</f>
        <v>0.78122513922036596</v>
      </c>
      <c r="N983">
        <f t="shared" si="107"/>
        <v>1.1913487722831186</v>
      </c>
    </row>
    <row r="984" spans="1:14" x14ac:dyDescent="0.2">
      <c r="A984">
        <v>983</v>
      </c>
      <c r="B984">
        <f>LARGE(data!F:F,A984)</f>
        <v>0.22157163220000001</v>
      </c>
      <c r="C984">
        <f>COUNTIFS(data!D:D,data!$I$2,data!F:F,"&gt;="&amp;B984)</f>
        <v>497</v>
      </c>
      <c r="D984">
        <f>COUNTIFS(data!D:D,data!$J$2,data!F:F,"&gt;="&amp;B984)</f>
        <v>486</v>
      </c>
      <c r="E984">
        <f>COUNTIFS(data!D:D,data!$J$2,data!F:F,"&lt;"&amp;B984)</f>
        <v>237</v>
      </c>
      <c r="F984">
        <f>COUNTIFS(data!D:D,data!$I$2,data!F:F,"&lt;"&amp;B984)</f>
        <v>37</v>
      </c>
      <c r="G984">
        <f t="shared" si="102"/>
        <v>0.67219917012448138</v>
      </c>
      <c r="H984">
        <f t="shared" si="103"/>
        <v>0.93071161048689144</v>
      </c>
      <c r="I984">
        <f t="shared" si="104"/>
        <v>1.2872913008118434E-3</v>
      </c>
      <c r="J984">
        <f t="shared" si="105"/>
        <v>0.50559511698880977</v>
      </c>
      <c r="K984">
        <f t="shared" si="106"/>
        <v>0.65524060646011872</v>
      </c>
      <c r="L984">
        <f>A984*COUNTIF(data!D:D,data!$I$2)/data!$L$2</f>
        <v>417.59904534606204</v>
      </c>
      <c r="M984" s="1">
        <f>A984/data!$L$2</f>
        <v>0.78202068416865556</v>
      </c>
      <c r="N984">
        <f t="shared" si="107"/>
        <v>1.1901368203275915</v>
      </c>
    </row>
    <row r="985" spans="1:14" x14ac:dyDescent="0.2">
      <c r="A985">
        <v>984</v>
      </c>
      <c r="B985">
        <f>LARGE(data!F:F,A985)</f>
        <v>0.22148524010000001</v>
      </c>
      <c r="C985">
        <f>COUNTIFS(data!D:D,data!$I$2,data!F:F,"&gt;="&amp;B985)</f>
        <v>497</v>
      </c>
      <c r="D985">
        <f>COUNTIFS(data!D:D,data!$J$2,data!F:F,"&gt;="&amp;B985)</f>
        <v>487</v>
      </c>
      <c r="E985">
        <f>COUNTIFS(data!D:D,data!$J$2,data!F:F,"&lt;"&amp;B985)</f>
        <v>236</v>
      </c>
      <c r="F985">
        <f>COUNTIFS(data!D:D,data!$I$2,data!F:F,"&lt;"&amp;B985)</f>
        <v>37</v>
      </c>
      <c r="G985">
        <f t="shared" si="102"/>
        <v>0.67358229598893504</v>
      </c>
      <c r="H985">
        <f t="shared" si="103"/>
        <v>0.93071161048689144</v>
      </c>
      <c r="I985">
        <f t="shared" si="104"/>
        <v>1.2872913008117402E-3</v>
      </c>
      <c r="J985">
        <f t="shared" si="105"/>
        <v>0.50508130081300817</v>
      </c>
      <c r="K985">
        <f t="shared" si="106"/>
        <v>0.65480895915678528</v>
      </c>
      <c r="L985">
        <f>A985*COUNTIF(data!D:D,data!$I$2)/data!$L$2</f>
        <v>418.02386634844868</v>
      </c>
      <c r="M985" s="1">
        <f>A985/data!$L$2</f>
        <v>0.78281622911694515</v>
      </c>
      <c r="N985">
        <f t="shared" si="107"/>
        <v>1.1889273316890472</v>
      </c>
    </row>
    <row r="986" spans="1:14" x14ac:dyDescent="0.2">
      <c r="A986">
        <v>985</v>
      </c>
      <c r="B986">
        <f>LARGE(data!F:F,A986)</f>
        <v>0.22053968030000001</v>
      </c>
      <c r="C986">
        <f>COUNTIFS(data!D:D,data!$I$2,data!F:F,"&gt;="&amp;B986)</f>
        <v>497</v>
      </c>
      <c r="D986">
        <f>COUNTIFS(data!D:D,data!$J$2,data!F:F,"&gt;="&amp;B986)</f>
        <v>488</v>
      </c>
      <c r="E986">
        <f>COUNTIFS(data!D:D,data!$J$2,data!F:F,"&lt;"&amp;B986)</f>
        <v>235</v>
      </c>
      <c r="F986">
        <f>COUNTIFS(data!D:D,data!$I$2,data!F:F,"&lt;"&amp;B986)</f>
        <v>37</v>
      </c>
      <c r="G986">
        <f t="shared" si="102"/>
        <v>0.6749654218533887</v>
      </c>
      <c r="H986">
        <f t="shared" si="103"/>
        <v>0.93071161048689144</v>
      </c>
      <c r="I986">
        <f t="shared" si="104"/>
        <v>1.2872913008117402E-3</v>
      </c>
      <c r="J986">
        <f t="shared" si="105"/>
        <v>0.50456852791878171</v>
      </c>
      <c r="K986">
        <f t="shared" si="106"/>
        <v>0.65437788018433174</v>
      </c>
      <c r="L986">
        <f>A986*COUNTIF(data!D:D,data!$I$2)/data!$L$2</f>
        <v>418.44868735083531</v>
      </c>
      <c r="M986" s="1">
        <f>A986/data!$L$2</f>
        <v>0.78361177406523463</v>
      </c>
      <c r="N986">
        <f t="shared" si="107"/>
        <v>1.1877202988649975</v>
      </c>
    </row>
    <row r="987" spans="1:14" x14ac:dyDescent="0.2">
      <c r="A987">
        <v>986</v>
      </c>
      <c r="B987">
        <f>LARGE(data!F:F,A987)</f>
        <v>0.22044652270000001</v>
      </c>
      <c r="C987">
        <f>COUNTIFS(data!D:D,data!$I$2,data!F:F,"&gt;="&amp;B987)</f>
        <v>497</v>
      </c>
      <c r="D987">
        <f>COUNTIFS(data!D:D,data!$J$2,data!F:F,"&gt;="&amp;B987)</f>
        <v>489</v>
      </c>
      <c r="E987">
        <f>COUNTIFS(data!D:D,data!$J$2,data!F:F,"&lt;"&amp;B987)</f>
        <v>234</v>
      </c>
      <c r="F987">
        <f>COUNTIFS(data!D:D,data!$I$2,data!F:F,"&lt;"&amp;B987)</f>
        <v>37</v>
      </c>
      <c r="G987">
        <f t="shared" ref="G987:G1050" si="108">D987/(E987+D987)</f>
        <v>0.67634854771784236</v>
      </c>
      <c r="H987">
        <f t="shared" ref="H987:H1050" si="109">C987/(C987+F987)</f>
        <v>0.93071161048689144</v>
      </c>
      <c r="I987">
        <f t="shared" ref="I987:I1050" si="110">(G987-G986)*(H987+H986)*0.5</f>
        <v>1.2872913008117402E-3</v>
      </c>
      <c r="J987">
        <f t="shared" ref="J987:J1050" si="111">C987/(C987+D987)</f>
        <v>0.50405679513184587</v>
      </c>
      <c r="K987">
        <f t="shared" ref="K987:K1050" si="112">2*J987*H987/(J987+H987)</f>
        <v>0.65394736842105272</v>
      </c>
      <c r="L987">
        <f>A987*COUNTIF(data!D:D,data!$I$2)/data!$L$2</f>
        <v>418.87350835322195</v>
      </c>
      <c r="M987" s="1">
        <f>A987/data!$L$2</f>
        <v>0.78440731901352423</v>
      </c>
      <c r="N987">
        <f t="shared" ref="N987:N1050" si="113">C987/L987</f>
        <v>1.18651571438339</v>
      </c>
    </row>
    <row r="988" spans="1:14" x14ac:dyDescent="0.2">
      <c r="A988">
        <v>987</v>
      </c>
      <c r="B988">
        <f>LARGE(data!F:F,A988)</f>
        <v>0.2195414829</v>
      </c>
      <c r="C988">
        <f>COUNTIFS(data!D:D,data!$I$2,data!F:F,"&gt;="&amp;B988)</f>
        <v>497</v>
      </c>
      <c r="D988">
        <f>COUNTIFS(data!D:D,data!$J$2,data!F:F,"&gt;="&amp;B988)</f>
        <v>490</v>
      </c>
      <c r="E988">
        <f>COUNTIFS(data!D:D,data!$J$2,data!F:F,"&lt;"&amp;B988)</f>
        <v>233</v>
      </c>
      <c r="F988">
        <f>COUNTIFS(data!D:D,data!$I$2,data!F:F,"&lt;"&amp;B988)</f>
        <v>37</v>
      </c>
      <c r="G988">
        <f t="shared" si="108"/>
        <v>0.67773167358229602</v>
      </c>
      <c r="H988">
        <f t="shared" si="109"/>
        <v>0.93071161048689144</v>
      </c>
      <c r="I988">
        <f t="shared" si="110"/>
        <v>1.2872913008117402E-3</v>
      </c>
      <c r="J988">
        <f t="shared" si="111"/>
        <v>0.50354609929078009</v>
      </c>
      <c r="K988">
        <f t="shared" si="112"/>
        <v>0.65351742274819202</v>
      </c>
      <c r="L988">
        <f>A988*COUNTIF(data!D:D,data!$I$2)/data!$L$2</f>
        <v>419.29832935560859</v>
      </c>
      <c r="M988" s="1">
        <f>A988/data!$L$2</f>
        <v>0.78520286396181382</v>
      </c>
      <c r="N988">
        <f t="shared" si="113"/>
        <v>1.1853135708024545</v>
      </c>
    </row>
    <row r="989" spans="1:14" x14ac:dyDescent="0.2">
      <c r="A989">
        <v>988</v>
      </c>
      <c r="B989">
        <f>LARGE(data!F:F,A989)</f>
        <v>0.21864575110000001</v>
      </c>
      <c r="C989">
        <f>COUNTIFS(data!D:D,data!$I$2,data!F:F,"&gt;="&amp;B989)</f>
        <v>497</v>
      </c>
      <c r="D989">
        <f>COUNTIFS(data!D:D,data!$J$2,data!F:F,"&gt;="&amp;B989)</f>
        <v>491</v>
      </c>
      <c r="E989">
        <f>COUNTIFS(data!D:D,data!$J$2,data!F:F,"&lt;"&amp;B989)</f>
        <v>232</v>
      </c>
      <c r="F989">
        <f>COUNTIFS(data!D:D,data!$I$2,data!F:F,"&lt;"&amp;B989)</f>
        <v>37</v>
      </c>
      <c r="G989">
        <f t="shared" si="108"/>
        <v>0.67911479944674968</v>
      </c>
      <c r="H989">
        <f t="shared" si="109"/>
        <v>0.93071161048689144</v>
      </c>
      <c r="I989">
        <f t="shared" si="110"/>
        <v>1.2872913008117402E-3</v>
      </c>
      <c r="J989">
        <f t="shared" si="111"/>
        <v>0.50303643724696356</v>
      </c>
      <c r="K989">
        <f t="shared" si="112"/>
        <v>0.6530880420499342</v>
      </c>
      <c r="L989">
        <f>A989*COUNTIF(data!D:D,data!$I$2)/data!$L$2</f>
        <v>419.72315035799522</v>
      </c>
      <c r="M989" s="1">
        <f>A989/data!$L$2</f>
        <v>0.78599840891010342</v>
      </c>
      <c r="N989">
        <f t="shared" si="113"/>
        <v>1.184113860710549</v>
      </c>
    </row>
    <row r="990" spans="1:14" x14ac:dyDescent="0.2">
      <c r="A990">
        <v>989</v>
      </c>
      <c r="B990">
        <f>LARGE(data!F:F,A990)</f>
        <v>0.216950331</v>
      </c>
      <c r="C990">
        <f>COUNTIFS(data!D:D,data!$I$2,data!F:F,"&gt;="&amp;B990)</f>
        <v>497</v>
      </c>
      <c r="D990">
        <f>COUNTIFS(data!D:D,data!$J$2,data!F:F,"&gt;="&amp;B990)</f>
        <v>492</v>
      </c>
      <c r="E990">
        <f>COUNTIFS(data!D:D,data!$J$2,data!F:F,"&lt;"&amp;B990)</f>
        <v>231</v>
      </c>
      <c r="F990">
        <f>COUNTIFS(data!D:D,data!$I$2,data!F:F,"&lt;"&amp;B990)</f>
        <v>37</v>
      </c>
      <c r="G990">
        <f t="shared" si="108"/>
        <v>0.68049792531120334</v>
      </c>
      <c r="H990">
        <f t="shared" si="109"/>
        <v>0.93071161048689144</v>
      </c>
      <c r="I990">
        <f t="shared" si="110"/>
        <v>1.2872913008117402E-3</v>
      </c>
      <c r="J990">
        <f t="shared" si="111"/>
        <v>0.50252780586450962</v>
      </c>
      <c r="K990">
        <f t="shared" si="112"/>
        <v>0.6526592252133947</v>
      </c>
      <c r="L990">
        <f>A990*COUNTIF(data!D:D,data!$I$2)/data!$L$2</f>
        <v>420.14797136038186</v>
      </c>
      <c r="M990" s="1">
        <f>A990/data!$L$2</f>
        <v>0.78679395385839301</v>
      </c>
      <c r="N990">
        <f t="shared" si="113"/>
        <v>1.1829165767260086</v>
      </c>
    </row>
    <row r="991" spans="1:14" x14ac:dyDescent="0.2">
      <c r="A991">
        <v>990</v>
      </c>
      <c r="B991">
        <f>LARGE(data!F:F,A991)</f>
        <v>0.2157480262</v>
      </c>
      <c r="C991">
        <f>COUNTIFS(data!D:D,data!$I$2,data!F:F,"&gt;="&amp;B991)</f>
        <v>497</v>
      </c>
      <c r="D991">
        <f>COUNTIFS(data!D:D,data!$J$2,data!F:F,"&gt;="&amp;B991)</f>
        <v>493</v>
      </c>
      <c r="E991">
        <f>COUNTIFS(data!D:D,data!$J$2,data!F:F,"&lt;"&amp;B991)</f>
        <v>230</v>
      </c>
      <c r="F991">
        <f>COUNTIFS(data!D:D,data!$I$2,data!F:F,"&lt;"&amp;B991)</f>
        <v>37</v>
      </c>
      <c r="G991">
        <f t="shared" si="108"/>
        <v>0.681881051175657</v>
      </c>
      <c r="H991">
        <f t="shared" si="109"/>
        <v>0.93071161048689144</v>
      </c>
      <c r="I991">
        <f t="shared" si="110"/>
        <v>1.2872913008117402E-3</v>
      </c>
      <c r="J991">
        <f t="shared" si="111"/>
        <v>0.50202020202020203</v>
      </c>
      <c r="K991">
        <f t="shared" si="112"/>
        <v>0.65223097112860884</v>
      </c>
      <c r="L991">
        <f>A991*COUNTIF(data!D:D,data!$I$2)/data!$L$2</f>
        <v>420.5727923627685</v>
      </c>
      <c r="M991" s="1">
        <f>A991/data!$L$2</f>
        <v>0.78758949880668261</v>
      </c>
      <c r="N991">
        <f t="shared" si="113"/>
        <v>1.1817217114969925</v>
      </c>
    </row>
    <row r="992" spans="1:14" x14ac:dyDescent="0.2">
      <c r="A992">
        <v>991</v>
      </c>
      <c r="B992">
        <f>LARGE(data!F:F,A992)</f>
        <v>0.2147435999</v>
      </c>
      <c r="C992">
        <f>COUNTIFS(data!D:D,data!$I$2,data!F:F,"&gt;="&amp;B992)</f>
        <v>497</v>
      </c>
      <c r="D992">
        <f>COUNTIFS(data!D:D,data!$J$2,data!F:F,"&gt;="&amp;B992)</f>
        <v>494</v>
      </c>
      <c r="E992">
        <f>COUNTIFS(data!D:D,data!$J$2,data!F:F,"&lt;"&amp;B992)</f>
        <v>229</v>
      </c>
      <c r="F992">
        <f>COUNTIFS(data!D:D,data!$I$2,data!F:F,"&lt;"&amp;B992)</f>
        <v>37</v>
      </c>
      <c r="G992">
        <f t="shared" si="108"/>
        <v>0.68326417704011067</v>
      </c>
      <c r="H992">
        <f t="shared" si="109"/>
        <v>0.93071161048689144</v>
      </c>
      <c r="I992">
        <f t="shared" si="110"/>
        <v>1.2872913008117402E-3</v>
      </c>
      <c r="J992">
        <f t="shared" si="111"/>
        <v>0.50151362260343091</v>
      </c>
      <c r="K992">
        <f t="shared" si="112"/>
        <v>0.6518032786885245</v>
      </c>
      <c r="L992">
        <f>A992*COUNTIF(data!D:D,data!$I$2)/data!$L$2</f>
        <v>420.99761336515513</v>
      </c>
      <c r="M992" s="1">
        <f>A992/data!$L$2</f>
        <v>0.7883850437549722</v>
      </c>
      <c r="N992">
        <f t="shared" si="113"/>
        <v>1.1805292577013344</v>
      </c>
    </row>
    <row r="993" spans="1:14" x14ac:dyDescent="0.2">
      <c r="A993">
        <v>992</v>
      </c>
      <c r="B993">
        <f>LARGE(data!F:F,A993)</f>
        <v>0.21423014509999999</v>
      </c>
      <c r="C993">
        <f>COUNTIFS(data!D:D,data!$I$2,data!F:F,"&gt;="&amp;B993)</f>
        <v>497</v>
      </c>
      <c r="D993">
        <f>COUNTIFS(data!D:D,data!$J$2,data!F:F,"&gt;="&amp;B993)</f>
        <v>495</v>
      </c>
      <c r="E993">
        <f>COUNTIFS(data!D:D,data!$J$2,data!F:F,"&lt;"&amp;B993)</f>
        <v>228</v>
      </c>
      <c r="F993">
        <f>COUNTIFS(data!D:D,data!$I$2,data!F:F,"&lt;"&amp;B993)</f>
        <v>37</v>
      </c>
      <c r="G993">
        <f t="shared" si="108"/>
        <v>0.68464730290456433</v>
      </c>
      <c r="H993">
        <f t="shared" si="109"/>
        <v>0.93071161048689144</v>
      </c>
      <c r="I993">
        <f t="shared" si="110"/>
        <v>1.2872913008117402E-3</v>
      </c>
      <c r="J993">
        <f t="shared" si="111"/>
        <v>0.501008064516129</v>
      </c>
      <c r="K993">
        <f t="shared" si="112"/>
        <v>0.65137614678899092</v>
      </c>
      <c r="L993">
        <f>A993*COUNTIF(data!D:D,data!$I$2)/data!$L$2</f>
        <v>421.42243436754177</v>
      </c>
      <c r="M993" s="1">
        <f>A993/data!$L$2</f>
        <v>0.78918058870326169</v>
      </c>
      <c r="N993">
        <f t="shared" si="113"/>
        <v>1.1793392080463936</v>
      </c>
    </row>
    <row r="994" spans="1:14" x14ac:dyDescent="0.2">
      <c r="A994">
        <v>993</v>
      </c>
      <c r="B994">
        <f>LARGE(data!F:F,A994)</f>
        <v>0.21400618830000001</v>
      </c>
      <c r="C994">
        <f>COUNTIFS(data!D:D,data!$I$2,data!F:F,"&gt;="&amp;B994)</f>
        <v>497</v>
      </c>
      <c r="D994">
        <f>COUNTIFS(data!D:D,data!$J$2,data!F:F,"&gt;="&amp;B994)</f>
        <v>496</v>
      </c>
      <c r="E994">
        <f>COUNTIFS(data!D:D,data!$J$2,data!F:F,"&lt;"&amp;B994)</f>
        <v>227</v>
      </c>
      <c r="F994">
        <f>COUNTIFS(data!D:D,data!$I$2,data!F:F,"&lt;"&amp;B994)</f>
        <v>37</v>
      </c>
      <c r="G994">
        <f t="shared" si="108"/>
        <v>0.68603042876901799</v>
      </c>
      <c r="H994">
        <f t="shared" si="109"/>
        <v>0.93071161048689144</v>
      </c>
      <c r="I994">
        <f t="shared" si="110"/>
        <v>1.2872913008117402E-3</v>
      </c>
      <c r="J994">
        <f t="shared" si="111"/>
        <v>0.50050352467270898</v>
      </c>
      <c r="K994">
        <f t="shared" si="112"/>
        <v>0.65094957432874923</v>
      </c>
      <c r="L994">
        <f>A994*COUNTIF(data!D:D,data!$I$2)/data!$L$2</f>
        <v>421.8472553699284</v>
      </c>
      <c r="M994" s="1">
        <f>A994/data!$L$2</f>
        <v>0.78997613365155128</v>
      </c>
      <c r="N994">
        <f t="shared" si="113"/>
        <v>1.1781515552689048</v>
      </c>
    </row>
    <row r="995" spans="1:14" x14ac:dyDescent="0.2">
      <c r="A995">
        <v>994</v>
      </c>
      <c r="B995">
        <f>LARGE(data!F:F,A995)</f>
        <v>0.2136780653</v>
      </c>
      <c r="C995">
        <f>COUNTIFS(data!D:D,data!$I$2,data!F:F,"&gt;="&amp;B995)</f>
        <v>497</v>
      </c>
      <c r="D995">
        <f>COUNTIFS(data!D:D,data!$J$2,data!F:F,"&gt;="&amp;B995)</f>
        <v>497</v>
      </c>
      <c r="E995">
        <f>COUNTIFS(data!D:D,data!$J$2,data!F:F,"&lt;"&amp;B995)</f>
        <v>226</v>
      </c>
      <c r="F995">
        <f>COUNTIFS(data!D:D,data!$I$2,data!F:F,"&lt;"&amp;B995)</f>
        <v>37</v>
      </c>
      <c r="G995">
        <f t="shared" si="108"/>
        <v>0.68741355463347165</v>
      </c>
      <c r="H995">
        <f t="shared" si="109"/>
        <v>0.93071161048689144</v>
      </c>
      <c r="I995">
        <f t="shared" si="110"/>
        <v>1.2872913008117402E-3</v>
      </c>
      <c r="J995">
        <f t="shared" si="111"/>
        <v>0.5</v>
      </c>
      <c r="K995">
        <f t="shared" si="112"/>
        <v>0.65052356020942415</v>
      </c>
      <c r="L995">
        <f>A995*COUNTIF(data!D:D,data!$I$2)/data!$L$2</f>
        <v>422.27207637231504</v>
      </c>
      <c r="M995" s="1">
        <f>A995/data!$L$2</f>
        <v>0.79077167859984088</v>
      </c>
      <c r="N995">
        <f t="shared" si="113"/>
        <v>1.1769662921348314</v>
      </c>
    </row>
    <row r="996" spans="1:14" x14ac:dyDescent="0.2">
      <c r="A996">
        <v>995</v>
      </c>
      <c r="B996">
        <f>LARGE(data!F:F,A996)</f>
        <v>0.21362199509999999</v>
      </c>
      <c r="C996">
        <f>COUNTIFS(data!D:D,data!$I$2,data!F:F,"&gt;="&amp;B996)</f>
        <v>497</v>
      </c>
      <c r="D996">
        <f>COUNTIFS(data!D:D,data!$J$2,data!F:F,"&gt;="&amp;B996)</f>
        <v>498</v>
      </c>
      <c r="E996">
        <f>COUNTIFS(data!D:D,data!$J$2,data!F:F,"&lt;"&amp;B996)</f>
        <v>225</v>
      </c>
      <c r="F996">
        <f>COUNTIFS(data!D:D,data!$I$2,data!F:F,"&lt;"&amp;B996)</f>
        <v>37</v>
      </c>
      <c r="G996">
        <f t="shared" si="108"/>
        <v>0.68879668049792531</v>
      </c>
      <c r="H996">
        <f t="shared" si="109"/>
        <v>0.93071161048689144</v>
      </c>
      <c r="I996">
        <f t="shared" si="110"/>
        <v>1.2872913008117402E-3</v>
      </c>
      <c r="J996">
        <f t="shared" si="111"/>
        <v>0.49949748743718592</v>
      </c>
      <c r="K996">
        <f t="shared" si="112"/>
        <v>0.65009810333551343</v>
      </c>
      <c r="L996">
        <f>A996*COUNTIF(data!D:D,data!$I$2)/data!$L$2</f>
        <v>422.69689737470168</v>
      </c>
      <c r="M996" s="1">
        <f>A996/data!$L$2</f>
        <v>0.79156722354813047</v>
      </c>
      <c r="N996">
        <f t="shared" si="113"/>
        <v>1.1757834114392185</v>
      </c>
    </row>
    <row r="997" spans="1:14" x14ac:dyDescent="0.2">
      <c r="A997">
        <v>996</v>
      </c>
      <c r="B997">
        <f>LARGE(data!F:F,A997)</f>
        <v>0.21313219210000001</v>
      </c>
      <c r="C997">
        <f>COUNTIFS(data!D:D,data!$I$2,data!F:F,"&gt;="&amp;B997)</f>
        <v>497</v>
      </c>
      <c r="D997">
        <f>COUNTIFS(data!D:D,data!$J$2,data!F:F,"&gt;="&amp;B997)</f>
        <v>499</v>
      </c>
      <c r="E997">
        <f>COUNTIFS(data!D:D,data!$J$2,data!F:F,"&lt;"&amp;B997)</f>
        <v>224</v>
      </c>
      <c r="F997">
        <f>COUNTIFS(data!D:D,data!$I$2,data!F:F,"&lt;"&amp;B997)</f>
        <v>37</v>
      </c>
      <c r="G997">
        <f t="shared" si="108"/>
        <v>0.69017980636237897</v>
      </c>
      <c r="H997">
        <f t="shared" si="109"/>
        <v>0.93071161048689144</v>
      </c>
      <c r="I997">
        <f t="shared" si="110"/>
        <v>1.2872913008117402E-3</v>
      </c>
      <c r="J997">
        <f t="shared" si="111"/>
        <v>0.49899598393574296</v>
      </c>
      <c r="K997">
        <f t="shared" si="112"/>
        <v>0.64967320261437911</v>
      </c>
      <c r="L997">
        <f>A997*COUNTIF(data!D:D,data!$I$2)/data!$L$2</f>
        <v>423.12171837708831</v>
      </c>
      <c r="M997" s="1">
        <f>A997/data!$L$2</f>
        <v>0.79236276849642007</v>
      </c>
      <c r="N997">
        <f t="shared" si="113"/>
        <v>1.1746029060060466</v>
      </c>
    </row>
    <row r="998" spans="1:14" x14ac:dyDescent="0.2">
      <c r="A998">
        <v>997</v>
      </c>
      <c r="B998">
        <f>LARGE(data!F:F,A998)</f>
        <v>0.21165361560000001</v>
      </c>
      <c r="C998">
        <f>COUNTIFS(data!D:D,data!$I$2,data!F:F,"&gt;="&amp;B998)</f>
        <v>498</v>
      </c>
      <c r="D998">
        <f>COUNTIFS(data!D:D,data!$J$2,data!F:F,"&gt;="&amp;B998)</f>
        <v>499</v>
      </c>
      <c r="E998">
        <f>COUNTIFS(data!D:D,data!$J$2,data!F:F,"&lt;"&amp;B998)</f>
        <v>224</v>
      </c>
      <c r="F998">
        <f>COUNTIFS(data!D:D,data!$I$2,data!F:F,"&lt;"&amp;B998)</f>
        <v>36</v>
      </c>
      <c r="G998">
        <f t="shared" si="108"/>
        <v>0.69017980636237897</v>
      </c>
      <c r="H998">
        <f t="shared" si="109"/>
        <v>0.93258426966292129</v>
      </c>
      <c r="I998">
        <f t="shared" si="110"/>
        <v>0</v>
      </c>
      <c r="J998">
        <f t="shared" si="111"/>
        <v>0.49949849548645936</v>
      </c>
      <c r="K998">
        <f t="shared" si="112"/>
        <v>0.65055519268451989</v>
      </c>
      <c r="L998">
        <f>A998*COUNTIF(data!D:D,data!$I$2)/data!$L$2</f>
        <v>423.54653937947495</v>
      </c>
      <c r="M998" s="1">
        <f>A998/data!$L$2</f>
        <v>0.79315831344470966</v>
      </c>
      <c r="N998">
        <f t="shared" si="113"/>
        <v>1.1757857843192498</v>
      </c>
    </row>
    <row r="999" spans="1:14" x14ac:dyDescent="0.2">
      <c r="A999">
        <v>998</v>
      </c>
      <c r="B999">
        <f>LARGE(data!F:F,A999)</f>
        <v>0.2101320357</v>
      </c>
      <c r="C999">
        <f>COUNTIFS(data!D:D,data!$I$2,data!F:F,"&gt;="&amp;B999)</f>
        <v>499</v>
      </c>
      <c r="D999">
        <f>COUNTIFS(data!D:D,data!$J$2,data!F:F,"&gt;="&amp;B999)</f>
        <v>499</v>
      </c>
      <c r="E999">
        <f>COUNTIFS(data!D:D,data!$J$2,data!F:F,"&lt;"&amp;B999)</f>
        <v>224</v>
      </c>
      <c r="F999">
        <f>COUNTIFS(data!D:D,data!$I$2,data!F:F,"&lt;"&amp;B999)</f>
        <v>35</v>
      </c>
      <c r="G999">
        <f t="shared" si="108"/>
        <v>0.69017980636237897</v>
      </c>
      <c r="H999">
        <f t="shared" si="109"/>
        <v>0.93445692883895126</v>
      </c>
      <c r="I999">
        <f t="shared" si="110"/>
        <v>0</v>
      </c>
      <c r="J999">
        <f t="shared" si="111"/>
        <v>0.5</v>
      </c>
      <c r="K999">
        <f t="shared" si="112"/>
        <v>0.65143603133159267</v>
      </c>
      <c r="L999">
        <f>A999*COUNTIF(data!D:D,data!$I$2)/data!$L$2</f>
        <v>423.97136038186159</v>
      </c>
      <c r="M999" s="1">
        <f>A999/data!$L$2</f>
        <v>0.79395385839299926</v>
      </c>
      <c r="N999">
        <f t="shared" si="113"/>
        <v>1.1769662921348314</v>
      </c>
    </row>
    <row r="1000" spans="1:14" x14ac:dyDescent="0.2">
      <c r="A1000">
        <v>999</v>
      </c>
      <c r="B1000">
        <f>LARGE(data!F:F,A1000)</f>
        <v>0.21000868149999999</v>
      </c>
      <c r="C1000">
        <f>COUNTIFS(data!D:D,data!$I$2,data!F:F,"&gt;="&amp;B1000)</f>
        <v>499</v>
      </c>
      <c r="D1000">
        <f>COUNTIFS(data!D:D,data!$J$2,data!F:F,"&gt;="&amp;B1000)</f>
        <v>500</v>
      </c>
      <c r="E1000">
        <f>COUNTIFS(data!D:D,data!$J$2,data!F:F,"&lt;"&amp;B1000)</f>
        <v>223</v>
      </c>
      <c r="F1000">
        <f>COUNTIFS(data!D:D,data!$I$2,data!F:F,"&lt;"&amp;B1000)</f>
        <v>35</v>
      </c>
      <c r="G1000">
        <f t="shared" si="108"/>
        <v>0.69156293222683263</v>
      </c>
      <c r="H1000">
        <f t="shared" si="109"/>
        <v>0.93445692883895126</v>
      </c>
      <c r="I1000">
        <f t="shared" si="110"/>
        <v>1.2924715474950871E-3</v>
      </c>
      <c r="J1000">
        <f t="shared" si="111"/>
        <v>0.49949949949949951</v>
      </c>
      <c r="K1000">
        <f t="shared" si="112"/>
        <v>0.65101108936725371</v>
      </c>
      <c r="L1000">
        <f>A1000*COUNTIF(data!D:D,data!$I$2)/data!$L$2</f>
        <v>424.39618138424822</v>
      </c>
      <c r="M1000" s="1">
        <f>A1000/data!$L$2</f>
        <v>0.79474940334128874</v>
      </c>
      <c r="N1000">
        <f t="shared" si="113"/>
        <v>1.1757881476982601</v>
      </c>
    </row>
    <row r="1001" spans="1:14" x14ac:dyDescent="0.2">
      <c r="A1001">
        <v>1000</v>
      </c>
      <c r="B1001">
        <f>LARGE(data!F:F,A1001)</f>
        <v>0.20900919439999999</v>
      </c>
      <c r="C1001">
        <f>COUNTIFS(data!D:D,data!$I$2,data!F:F,"&gt;="&amp;B1001)</f>
        <v>499</v>
      </c>
      <c r="D1001">
        <f>COUNTIFS(data!D:D,data!$J$2,data!F:F,"&gt;="&amp;B1001)</f>
        <v>501</v>
      </c>
      <c r="E1001">
        <f>COUNTIFS(data!D:D,data!$J$2,data!F:F,"&lt;"&amp;B1001)</f>
        <v>222</v>
      </c>
      <c r="F1001">
        <f>COUNTIFS(data!D:D,data!$I$2,data!F:F,"&lt;"&amp;B1001)</f>
        <v>35</v>
      </c>
      <c r="G1001">
        <f t="shared" si="108"/>
        <v>0.69294605809128629</v>
      </c>
      <c r="H1001">
        <f t="shared" si="109"/>
        <v>0.93445692883895126</v>
      </c>
      <c r="I1001">
        <f t="shared" si="110"/>
        <v>1.2924715474950871E-3</v>
      </c>
      <c r="J1001">
        <f t="shared" si="111"/>
        <v>0.499</v>
      </c>
      <c r="K1001">
        <f t="shared" si="112"/>
        <v>0.65058670143415909</v>
      </c>
      <c r="L1001">
        <f>A1001*COUNTIF(data!D:D,data!$I$2)/data!$L$2</f>
        <v>424.82100238663486</v>
      </c>
      <c r="M1001" s="1">
        <f>A1001/data!$L$2</f>
        <v>0.79554494828957834</v>
      </c>
      <c r="N1001">
        <f t="shared" si="113"/>
        <v>1.1746123595505618</v>
      </c>
    </row>
    <row r="1002" spans="1:14" x14ac:dyDescent="0.2">
      <c r="A1002">
        <v>1001</v>
      </c>
      <c r="B1002">
        <f>LARGE(data!F:F,A1002)</f>
        <v>0.20847536759999999</v>
      </c>
      <c r="C1002">
        <f>COUNTIFS(data!D:D,data!$I$2,data!F:F,"&gt;="&amp;B1002)</f>
        <v>499</v>
      </c>
      <c r="D1002">
        <f>COUNTIFS(data!D:D,data!$J$2,data!F:F,"&gt;="&amp;B1002)</f>
        <v>502</v>
      </c>
      <c r="E1002">
        <f>COUNTIFS(data!D:D,data!$J$2,data!F:F,"&lt;"&amp;B1002)</f>
        <v>221</v>
      </c>
      <c r="F1002">
        <f>COUNTIFS(data!D:D,data!$I$2,data!F:F,"&lt;"&amp;B1002)</f>
        <v>35</v>
      </c>
      <c r="G1002">
        <f t="shared" si="108"/>
        <v>0.69432918395573995</v>
      </c>
      <c r="H1002">
        <f t="shared" si="109"/>
        <v>0.93445692883895126</v>
      </c>
      <c r="I1002">
        <f t="shared" si="110"/>
        <v>1.2924715474950871E-3</v>
      </c>
      <c r="J1002">
        <f t="shared" si="111"/>
        <v>0.4985014985014985</v>
      </c>
      <c r="K1002">
        <f t="shared" si="112"/>
        <v>0.65016286644951138</v>
      </c>
      <c r="L1002">
        <f>A1002*COUNTIF(data!D:D,data!$I$2)/data!$L$2</f>
        <v>425.2458233890215</v>
      </c>
      <c r="M1002" s="1">
        <f>A1002/data!$L$2</f>
        <v>0.79634049323786793</v>
      </c>
      <c r="N1002">
        <f t="shared" si="113"/>
        <v>1.1734389206299318</v>
      </c>
    </row>
    <row r="1003" spans="1:14" x14ac:dyDescent="0.2">
      <c r="A1003">
        <v>1002</v>
      </c>
      <c r="B1003">
        <f>LARGE(data!F:F,A1003)</f>
        <v>0.20749646299999999</v>
      </c>
      <c r="C1003">
        <f>COUNTIFS(data!D:D,data!$I$2,data!F:F,"&gt;="&amp;B1003)</f>
        <v>499</v>
      </c>
      <c r="D1003">
        <f>COUNTIFS(data!D:D,data!$J$2,data!F:F,"&gt;="&amp;B1003)</f>
        <v>503</v>
      </c>
      <c r="E1003">
        <f>COUNTIFS(data!D:D,data!$J$2,data!F:F,"&lt;"&amp;B1003)</f>
        <v>220</v>
      </c>
      <c r="F1003">
        <f>COUNTIFS(data!D:D,data!$I$2,data!F:F,"&lt;"&amp;B1003)</f>
        <v>35</v>
      </c>
      <c r="G1003">
        <f t="shared" si="108"/>
        <v>0.69571230982019361</v>
      </c>
      <c r="H1003">
        <f t="shared" si="109"/>
        <v>0.93445692883895126</v>
      </c>
      <c r="I1003">
        <f t="shared" si="110"/>
        <v>1.2924715474950871E-3</v>
      </c>
      <c r="J1003">
        <f t="shared" si="111"/>
        <v>0.49800399201596807</v>
      </c>
      <c r="K1003">
        <f t="shared" si="112"/>
        <v>0.64973958333333326</v>
      </c>
      <c r="L1003">
        <f>A1003*COUNTIF(data!D:D,data!$I$2)/data!$L$2</f>
        <v>425.67064439140813</v>
      </c>
      <c r="M1003" s="1">
        <f>A1003/data!$L$2</f>
        <v>0.79713603818615753</v>
      </c>
      <c r="N1003">
        <f t="shared" si="113"/>
        <v>1.1722678239027562</v>
      </c>
    </row>
    <row r="1004" spans="1:14" x14ac:dyDescent="0.2">
      <c r="A1004">
        <v>1003</v>
      </c>
      <c r="B1004">
        <f>LARGE(data!F:F,A1004)</f>
        <v>0.2074596812</v>
      </c>
      <c r="C1004">
        <f>COUNTIFS(data!D:D,data!$I$2,data!F:F,"&gt;="&amp;B1004)</f>
        <v>499</v>
      </c>
      <c r="D1004">
        <f>COUNTIFS(data!D:D,data!$J$2,data!F:F,"&gt;="&amp;B1004)</f>
        <v>504</v>
      </c>
      <c r="E1004">
        <f>COUNTIFS(data!D:D,data!$J$2,data!F:F,"&lt;"&amp;B1004)</f>
        <v>219</v>
      </c>
      <c r="F1004">
        <f>COUNTIFS(data!D:D,data!$I$2,data!F:F,"&lt;"&amp;B1004)</f>
        <v>35</v>
      </c>
      <c r="G1004">
        <f t="shared" si="108"/>
        <v>0.69709543568464727</v>
      </c>
      <c r="H1004">
        <f t="shared" si="109"/>
        <v>0.93445692883895126</v>
      </c>
      <c r="I1004">
        <f t="shared" si="110"/>
        <v>1.2924715474950871E-3</v>
      </c>
      <c r="J1004">
        <f t="shared" si="111"/>
        <v>0.49750747756729813</v>
      </c>
      <c r="K1004">
        <f t="shared" si="112"/>
        <v>0.64931685100845804</v>
      </c>
      <c r="L1004">
        <f>A1004*COUNTIF(data!D:D,data!$I$2)/data!$L$2</f>
        <v>426.09546539379477</v>
      </c>
      <c r="M1004" s="1">
        <f>A1004/data!$L$2</f>
        <v>0.79793158313444712</v>
      </c>
      <c r="N1004">
        <f t="shared" si="113"/>
        <v>1.1710990623634714</v>
      </c>
    </row>
    <row r="1005" spans="1:14" x14ac:dyDescent="0.2">
      <c r="A1005">
        <v>1004</v>
      </c>
      <c r="B1005">
        <f>LARGE(data!F:F,A1005)</f>
        <v>0.20712923059999999</v>
      </c>
      <c r="C1005">
        <f>COUNTIFS(data!D:D,data!$I$2,data!F:F,"&gt;="&amp;B1005)</f>
        <v>500</v>
      </c>
      <c r="D1005">
        <f>COUNTIFS(data!D:D,data!$J$2,data!F:F,"&gt;="&amp;B1005)</f>
        <v>504</v>
      </c>
      <c r="E1005">
        <f>COUNTIFS(data!D:D,data!$J$2,data!F:F,"&lt;"&amp;B1005)</f>
        <v>219</v>
      </c>
      <c r="F1005">
        <f>COUNTIFS(data!D:D,data!$I$2,data!F:F,"&lt;"&amp;B1005)</f>
        <v>34</v>
      </c>
      <c r="G1005">
        <f t="shared" si="108"/>
        <v>0.69709543568464727</v>
      </c>
      <c r="H1005">
        <f t="shared" si="109"/>
        <v>0.93632958801498123</v>
      </c>
      <c r="I1005">
        <f t="shared" si="110"/>
        <v>0</v>
      </c>
      <c r="J1005">
        <f t="shared" si="111"/>
        <v>0.49800796812749004</v>
      </c>
      <c r="K1005">
        <f t="shared" si="112"/>
        <v>0.65019505851755521</v>
      </c>
      <c r="L1005">
        <f>A1005*COUNTIF(data!D:D,data!$I$2)/data!$L$2</f>
        <v>426.5202863961814</v>
      </c>
      <c r="M1005" s="1">
        <f>A1005/data!$L$2</f>
        <v>0.79872712808273671</v>
      </c>
      <c r="N1005">
        <f t="shared" si="113"/>
        <v>1.1722771834012264</v>
      </c>
    </row>
    <row r="1006" spans="1:14" x14ac:dyDescent="0.2">
      <c r="A1006">
        <v>1005</v>
      </c>
      <c r="B1006">
        <f>LARGE(data!F:F,A1006)</f>
        <v>0.20626656069999999</v>
      </c>
      <c r="C1006">
        <f>COUNTIFS(data!D:D,data!$I$2,data!F:F,"&gt;="&amp;B1006)</f>
        <v>500</v>
      </c>
      <c r="D1006">
        <f>COUNTIFS(data!D:D,data!$J$2,data!F:F,"&gt;="&amp;B1006)</f>
        <v>505</v>
      </c>
      <c r="E1006">
        <f>COUNTIFS(data!D:D,data!$J$2,data!F:F,"&lt;"&amp;B1006)</f>
        <v>218</v>
      </c>
      <c r="F1006">
        <f>COUNTIFS(data!D:D,data!$I$2,data!F:F,"&lt;"&amp;B1006)</f>
        <v>34</v>
      </c>
      <c r="G1006">
        <f t="shared" si="108"/>
        <v>0.69847856154910093</v>
      </c>
      <c r="H1006">
        <f t="shared" si="109"/>
        <v>0.93632958801498123</v>
      </c>
      <c r="I1006">
        <f t="shared" si="110"/>
        <v>1.2950616708367606E-3</v>
      </c>
      <c r="J1006">
        <f t="shared" si="111"/>
        <v>0.49751243781094528</v>
      </c>
      <c r="K1006">
        <f t="shared" si="112"/>
        <v>0.64977257959714096</v>
      </c>
      <c r="L1006">
        <f>A1006*COUNTIF(data!D:D,data!$I$2)/data!$L$2</f>
        <v>426.94510739856804</v>
      </c>
      <c r="M1006" s="1">
        <f>A1006/data!$L$2</f>
        <v>0.7995226730310262</v>
      </c>
      <c r="N1006">
        <f t="shared" si="113"/>
        <v>1.1711107384426183</v>
      </c>
    </row>
    <row r="1007" spans="1:14" x14ac:dyDescent="0.2">
      <c r="A1007">
        <v>1006</v>
      </c>
      <c r="B1007">
        <f>LARGE(data!F:F,A1007)</f>
        <v>0.206239274</v>
      </c>
      <c r="C1007">
        <f>COUNTIFS(data!D:D,data!$I$2,data!F:F,"&gt;="&amp;B1007)</f>
        <v>500</v>
      </c>
      <c r="D1007">
        <f>COUNTIFS(data!D:D,data!$J$2,data!F:F,"&gt;="&amp;B1007)</f>
        <v>506</v>
      </c>
      <c r="E1007">
        <f>COUNTIFS(data!D:D,data!$J$2,data!F:F,"&lt;"&amp;B1007)</f>
        <v>217</v>
      </c>
      <c r="F1007">
        <f>COUNTIFS(data!D:D,data!$I$2,data!F:F,"&lt;"&amp;B1007)</f>
        <v>34</v>
      </c>
      <c r="G1007">
        <f t="shared" si="108"/>
        <v>0.69986168741355459</v>
      </c>
      <c r="H1007">
        <f t="shared" si="109"/>
        <v>0.93632958801498123</v>
      </c>
      <c r="I1007">
        <f t="shared" si="110"/>
        <v>1.2950616708367606E-3</v>
      </c>
      <c r="J1007">
        <f t="shared" si="111"/>
        <v>0.49701789264413521</v>
      </c>
      <c r="K1007">
        <f t="shared" si="112"/>
        <v>0.64935064935064934</v>
      </c>
      <c r="L1007">
        <f>A1007*COUNTIF(data!D:D,data!$I$2)/data!$L$2</f>
        <v>427.36992840095468</v>
      </c>
      <c r="M1007" s="1">
        <f>A1007/data!$L$2</f>
        <v>0.80031821797931579</v>
      </c>
      <c r="N1007">
        <f t="shared" si="113"/>
        <v>1.169946612460071</v>
      </c>
    </row>
    <row r="1008" spans="1:14" x14ac:dyDescent="0.2">
      <c r="A1008">
        <v>1007</v>
      </c>
      <c r="B1008">
        <f>LARGE(data!F:F,A1008)</f>
        <v>0.2054951958</v>
      </c>
      <c r="C1008">
        <f>COUNTIFS(data!D:D,data!$I$2,data!F:F,"&gt;="&amp;B1008)</f>
        <v>500</v>
      </c>
      <c r="D1008">
        <f>COUNTIFS(data!D:D,data!$J$2,data!F:F,"&gt;="&amp;B1008)</f>
        <v>507</v>
      </c>
      <c r="E1008">
        <f>COUNTIFS(data!D:D,data!$J$2,data!F:F,"&lt;"&amp;B1008)</f>
        <v>216</v>
      </c>
      <c r="F1008">
        <f>COUNTIFS(data!D:D,data!$I$2,data!F:F,"&lt;"&amp;B1008)</f>
        <v>34</v>
      </c>
      <c r="G1008">
        <f t="shared" si="108"/>
        <v>0.70124481327800825</v>
      </c>
      <c r="H1008">
        <f t="shared" si="109"/>
        <v>0.93632958801498123</v>
      </c>
      <c r="I1008">
        <f t="shared" si="110"/>
        <v>1.2950616708367606E-3</v>
      </c>
      <c r="J1008">
        <f t="shared" si="111"/>
        <v>0.49652432969215493</v>
      </c>
      <c r="K1008">
        <f t="shared" si="112"/>
        <v>0.64892926670992856</v>
      </c>
      <c r="L1008">
        <f>A1008*COUNTIF(data!D:D,data!$I$2)/data!$L$2</f>
        <v>427.79474940334131</v>
      </c>
      <c r="M1008" s="1">
        <f>A1008/data!$L$2</f>
        <v>0.80111376292760539</v>
      </c>
      <c r="N1008">
        <f t="shared" si="113"/>
        <v>1.1687847985450164</v>
      </c>
    </row>
    <row r="1009" spans="1:14" x14ac:dyDescent="0.2">
      <c r="A1009">
        <v>1008</v>
      </c>
      <c r="B1009">
        <f>LARGE(data!F:F,A1009)</f>
        <v>0.2035163804</v>
      </c>
      <c r="C1009">
        <f>COUNTIFS(data!D:D,data!$I$2,data!F:F,"&gt;="&amp;B1009)</f>
        <v>500</v>
      </c>
      <c r="D1009">
        <f>COUNTIFS(data!D:D,data!$J$2,data!F:F,"&gt;="&amp;B1009)</f>
        <v>508</v>
      </c>
      <c r="E1009">
        <f>COUNTIFS(data!D:D,data!$J$2,data!F:F,"&lt;"&amp;B1009)</f>
        <v>215</v>
      </c>
      <c r="F1009">
        <f>COUNTIFS(data!D:D,data!$I$2,data!F:F,"&lt;"&amp;B1009)</f>
        <v>34</v>
      </c>
      <c r="G1009">
        <f t="shared" si="108"/>
        <v>0.70262793914246191</v>
      </c>
      <c r="H1009">
        <f t="shared" si="109"/>
        <v>0.93632958801498123</v>
      </c>
      <c r="I1009">
        <f t="shared" si="110"/>
        <v>1.2950616708367606E-3</v>
      </c>
      <c r="J1009">
        <f t="shared" si="111"/>
        <v>0.49603174603174605</v>
      </c>
      <c r="K1009">
        <f t="shared" si="112"/>
        <v>0.64850843060959784</v>
      </c>
      <c r="L1009">
        <f>A1009*COUNTIF(data!D:D,data!$I$2)/data!$L$2</f>
        <v>428.21957040572795</v>
      </c>
      <c r="M1009" s="1">
        <f>A1009/data!$L$2</f>
        <v>0.80190930787589498</v>
      </c>
      <c r="N1009">
        <f t="shared" si="113"/>
        <v>1.1676252898163009</v>
      </c>
    </row>
    <row r="1010" spans="1:14" x14ac:dyDescent="0.2">
      <c r="A1010">
        <v>1009</v>
      </c>
      <c r="B1010">
        <f>LARGE(data!F:F,A1010)</f>
        <v>0.20326729730000001</v>
      </c>
      <c r="C1010">
        <f>COUNTIFS(data!D:D,data!$I$2,data!F:F,"&gt;="&amp;B1010)</f>
        <v>500</v>
      </c>
      <c r="D1010">
        <f>COUNTIFS(data!D:D,data!$J$2,data!F:F,"&gt;="&amp;B1010)</f>
        <v>509</v>
      </c>
      <c r="E1010">
        <f>COUNTIFS(data!D:D,data!$J$2,data!F:F,"&lt;"&amp;B1010)</f>
        <v>214</v>
      </c>
      <c r="F1010">
        <f>COUNTIFS(data!D:D,data!$I$2,data!F:F,"&lt;"&amp;B1010)</f>
        <v>34</v>
      </c>
      <c r="G1010">
        <f t="shared" si="108"/>
        <v>0.70401106500691568</v>
      </c>
      <c r="H1010">
        <f t="shared" si="109"/>
        <v>0.93632958801498123</v>
      </c>
      <c r="I1010">
        <f t="shared" si="110"/>
        <v>1.2950616708368645E-3</v>
      </c>
      <c r="J1010">
        <f t="shared" si="111"/>
        <v>0.49554013875123887</v>
      </c>
      <c r="K1010">
        <f t="shared" si="112"/>
        <v>0.64808813998703818</v>
      </c>
      <c r="L1010">
        <f>A1010*COUNTIF(data!D:D,data!$I$2)/data!$L$2</f>
        <v>428.64439140811459</v>
      </c>
      <c r="M1010" s="1">
        <f>A1010/data!$L$2</f>
        <v>0.80270485282418458</v>
      </c>
      <c r="N1010">
        <f t="shared" si="113"/>
        <v>1.1664680794200508</v>
      </c>
    </row>
    <row r="1011" spans="1:14" x14ac:dyDescent="0.2">
      <c r="A1011">
        <v>1010</v>
      </c>
      <c r="B1011">
        <f>LARGE(data!F:F,A1011)</f>
        <v>0.20194515560000001</v>
      </c>
      <c r="C1011">
        <f>COUNTIFS(data!D:D,data!$I$2,data!F:F,"&gt;="&amp;B1011)</f>
        <v>502</v>
      </c>
      <c r="D1011">
        <f>COUNTIFS(data!D:D,data!$J$2,data!F:F,"&gt;="&amp;B1011)</f>
        <v>509</v>
      </c>
      <c r="E1011">
        <f>COUNTIFS(data!D:D,data!$J$2,data!F:F,"&lt;"&amp;B1011)</f>
        <v>214</v>
      </c>
      <c r="F1011">
        <f>COUNTIFS(data!D:D,data!$I$2,data!F:F,"&lt;"&amp;B1011)</f>
        <v>32</v>
      </c>
      <c r="G1011">
        <f t="shared" si="108"/>
        <v>0.70401106500691568</v>
      </c>
      <c r="H1011">
        <f t="shared" si="109"/>
        <v>0.94007490636704116</v>
      </c>
      <c r="I1011">
        <f t="shared" si="110"/>
        <v>0</v>
      </c>
      <c r="J1011">
        <f t="shared" si="111"/>
        <v>0.49653808110781406</v>
      </c>
      <c r="K1011">
        <f t="shared" si="112"/>
        <v>0.64983818770226542</v>
      </c>
      <c r="L1011">
        <f>A1011*COUNTIF(data!D:D,data!$I$2)/data!$L$2</f>
        <v>429.06921241050117</v>
      </c>
      <c r="M1011" s="1">
        <f>A1011/data!$L$2</f>
        <v>0.80350039777247417</v>
      </c>
      <c r="N1011">
        <f t="shared" si="113"/>
        <v>1.1699744131716543</v>
      </c>
    </row>
    <row r="1012" spans="1:14" x14ac:dyDescent="0.2">
      <c r="A1012">
        <v>1011</v>
      </c>
      <c r="B1012">
        <f>LARGE(data!F:F,A1012)</f>
        <v>0.20194515560000001</v>
      </c>
      <c r="C1012">
        <f>COUNTIFS(data!D:D,data!$I$2,data!F:F,"&gt;="&amp;B1012)</f>
        <v>502</v>
      </c>
      <c r="D1012">
        <f>COUNTIFS(data!D:D,data!$J$2,data!F:F,"&gt;="&amp;B1012)</f>
        <v>509</v>
      </c>
      <c r="E1012">
        <f>COUNTIFS(data!D:D,data!$J$2,data!F:F,"&lt;"&amp;B1012)</f>
        <v>214</v>
      </c>
      <c r="F1012">
        <f>COUNTIFS(data!D:D,data!$I$2,data!F:F,"&lt;"&amp;B1012)</f>
        <v>32</v>
      </c>
      <c r="G1012">
        <f t="shared" si="108"/>
        <v>0.70401106500691568</v>
      </c>
      <c r="H1012">
        <f t="shared" si="109"/>
        <v>0.94007490636704116</v>
      </c>
      <c r="I1012">
        <f t="shared" si="110"/>
        <v>0</v>
      </c>
      <c r="J1012">
        <f t="shared" si="111"/>
        <v>0.49653808110781406</v>
      </c>
      <c r="K1012">
        <f t="shared" si="112"/>
        <v>0.64983818770226542</v>
      </c>
      <c r="L1012">
        <f>A1012*COUNTIF(data!D:D,data!$I$2)/data!$L$2</f>
        <v>429.4940334128878</v>
      </c>
      <c r="M1012" s="1">
        <f>A1012/data!$L$2</f>
        <v>0.80429594272076377</v>
      </c>
      <c r="N1012">
        <f t="shared" si="113"/>
        <v>1.1688171684504163</v>
      </c>
    </row>
    <row r="1013" spans="1:14" x14ac:dyDescent="0.2">
      <c r="A1013">
        <v>1012</v>
      </c>
      <c r="B1013">
        <f>LARGE(data!F:F,A1013)</f>
        <v>0.2015323564</v>
      </c>
      <c r="C1013">
        <f>COUNTIFS(data!D:D,data!$I$2,data!F:F,"&gt;="&amp;B1013)</f>
        <v>502</v>
      </c>
      <c r="D1013">
        <f>COUNTIFS(data!D:D,data!$J$2,data!F:F,"&gt;="&amp;B1013)</f>
        <v>510</v>
      </c>
      <c r="E1013">
        <f>COUNTIFS(data!D:D,data!$J$2,data!F:F,"&lt;"&amp;B1013)</f>
        <v>213</v>
      </c>
      <c r="F1013">
        <f>COUNTIFS(data!D:D,data!$I$2,data!F:F,"&lt;"&amp;B1013)</f>
        <v>32</v>
      </c>
      <c r="G1013">
        <f t="shared" si="108"/>
        <v>0.70539419087136934</v>
      </c>
      <c r="H1013">
        <f t="shared" si="109"/>
        <v>0.94007490636704116</v>
      </c>
      <c r="I1013">
        <f t="shared" si="110"/>
        <v>1.3002419175201076E-3</v>
      </c>
      <c r="J1013">
        <f t="shared" si="111"/>
        <v>0.49604743083003955</v>
      </c>
      <c r="K1013">
        <f t="shared" si="112"/>
        <v>0.64941785252263906</v>
      </c>
      <c r="L1013">
        <f>A1013*COUNTIF(data!D:D,data!$I$2)/data!$L$2</f>
        <v>429.91885441527444</v>
      </c>
      <c r="M1013" s="1">
        <f>A1013/data!$L$2</f>
        <v>0.80509148766905325</v>
      </c>
      <c r="N1013">
        <f t="shared" si="113"/>
        <v>1.1676622107740819</v>
      </c>
    </row>
    <row r="1014" spans="1:14" x14ac:dyDescent="0.2">
      <c r="A1014">
        <v>1013</v>
      </c>
      <c r="B1014">
        <f>LARGE(data!F:F,A1014)</f>
        <v>0.2014921428</v>
      </c>
      <c r="C1014">
        <f>COUNTIFS(data!D:D,data!$I$2,data!F:F,"&gt;="&amp;B1014)</f>
        <v>502</v>
      </c>
      <c r="D1014">
        <f>COUNTIFS(data!D:D,data!$J$2,data!F:F,"&gt;="&amp;B1014)</f>
        <v>511</v>
      </c>
      <c r="E1014">
        <f>COUNTIFS(data!D:D,data!$J$2,data!F:F,"&lt;"&amp;B1014)</f>
        <v>212</v>
      </c>
      <c r="F1014">
        <f>COUNTIFS(data!D:D,data!$I$2,data!F:F,"&lt;"&amp;B1014)</f>
        <v>32</v>
      </c>
      <c r="G1014">
        <f t="shared" si="108"/>
        <v>0.706777316735823</v>
      </c>
      <c r="H1014">
        <f t="shared" si="109"/>
        <v>0.94007490636704116</v>
      </c>
      <c r="I1014">
        <f t="shared" si="110"/>
        <v>1.3002419175201076E-3</v>
      </c>
      <c r="J1014">
        <f t="shared" si="111"/>
        <v>0.49555774925962487</v>
      </c>
      <c r="K1014">
        <f t="shared" si="112"/>
        <v>0.64899806076276656</v>
      </c>
      <c r="L1014">
        <f>A1014*COUNTIF(data!D:D,data!$I$2)/data!$L$2</f>
        <v>430.34367541766107</v>
      </c>
      <c r="M1014" s="1">
        <f>A1014/data!$L$2</f>
        <v>0.80588703261734285</v>
      </c>
      <c r="N1014">
        <f t="shared" si="113"/>
        <v>1.1665095333695665</v>
      </c>
    </row>
    <row r="1015" spans="1:14" x14ac:dyDescent="0.2">
      <c r="A1015">
        <v>1014</v>
      </c>
      <c r="B1015">
        <f>LARGE(data!F:F,A1015)</f>
        <v>0.2011885783</v>
      </c>
      <c r="C1015">
        <f>COUNTIFS(data!D:D,data!$I$2,data!F:F,"&gt;="&amp;B1015)</f>
        <v>502</v>
      </c>
      <c r="D1015">
        <f>COUNTIFS(data!D:D,data!$J$2,data!F:F,"&gt;="&amp;B1015)</f>
        <v>512</v>
      </c>
      <c r="E1015">
        <f>COUNTIFS(data!D:D,data!$J$2,data!F:F,"&lt;"&amp;B1015)</f>
        <v>211</v>
      </c>
      <c r="F1015">
        <f>COUNTIFS(data!D:D,data!$I$2,data!F:F,"&lt;"&amp;B1015)</f>
        <v>32</v>
      </c>
      <c r="G1015">
        <f t="shared" si="108"/>
        <v>0.70816044260027666</v>
      </c>
      <c r="H1015">
        <f t="shared" si="109"/>
        <v>0.94007490636704116</v>
      </c>
      <c r="I1015">
        <f t="shared" si="110"/>
        <v>1.3002419175201076E-3</v>
      </c>
      <c r="J1015">
        <f t="shared" si="111"/>
        <v>0.49506903353057197</v>
      </c>
      <c r="K1015">
        <f t="shared" si="112"/>
        <v>0.64857881136950901</v>
      </c>
      <c r="L1015">
        <f>A1015*COUNTIF(data!D:D,data!$I$2)/data!$L$2</f>
        <v>430.76849642004771</v>
      </c>
      <c r="M1015" s="1">
        <f>A1015/data!$L$2</f>
        <v>0.80668257756563244</v>
      </c>
      <c r="N1015">
        <f t="shared" si="113"/>
        <v>1.1653591294905037</v>
      </c>
    </row>
    <row r="1016" spans="1:14" x14ac:dyDescent="0.2">
      <c r="A1016">
        <v>1015</v>
      </c>
      <c r="B1016">
        <f>LARGE(data!F:F,A1016)</f>
        <v>0.20109835140000001</v>
      </c>
      <c r="C1016">
        <f>COUNTIFS(data!D:D,data!$I$2,data!F:F,"&gt;="&amp;B1016)</f>
        <v>502</v>
      </c>
      <c r="D1016">
        <f>COUNTIFS(data!D:D,data!$J$2,data!F:F,"&gt;="&amp;B1016)</f>
        <v>513</v>
      </c>
      <c r="E1016">
        <f>COUNTIFS(data!D:D,data!$J$2,data!F:F,"&lt;"&amp;B1016)</f>
        <v>210</v>
      </c>
      <c r="F1016">
        <f>COUNTIFS(data!D:D,data!$I$2,data!F:F,"&lt;"&amp;B1016)</f>
        <v>32</v>
      </c>
      <c r="G1016">
        <f t="shared" si="108"/>
        <v>0.70954356846473032</v>
      </c>
      <c r="H1016">
        <f t="shared" si="109"/>
        <v>0.94007490636704116</v>
      </c>
      <c r="I1016">
        <f t="shared" si="110"/>
        <v>1.3002419175201076E-3</v>
      </c>
      <c r="J1016">
        <f t="shared" si="111"/>
        <v>0.49458128078817731</v>
      </c>
      <c r="K1016">
        <f t="shared" si="112"/>
        <v>0.64816010329244678</v>
      </c>
      <c r="L1016">
        <f>A1016*COUNTIF(data!D:D,data!$I$2)/data!$L$2</f>
        <v>431.19331742243435</v>
      </c>
      <c r="M1016" s="1">
        <f>A1016/data!$L$2</f>
        <v>0.80747812251392204</v>
      </c>
      <c r="N1016">
        <f t="shared" si="113"/>
        <v>1.1642109924171142</v>
      </c>
    </row>
    <row r="1017" spans="1:14" x14ac:dyDescent="0.2">
      <c r="A1017">
        <v>1016</v>
      </c>
      <c r="B1017">
        <f>LARGE(data!F:F,A1017)</f>
        <v>0.20083753800000001</v>
      </c>
      <c r="C1017">
        <f>COUNTIFS(data!D:D,data!$I$2,data!F:F,"&gt;="&amp;B1017)</f>
        <v>502</v>
      </c>
      <c r="D1017">
        <f>COUNTIFS(data!D:D,data!$J$2,data!F:F,"&gt;="&amp;B1017)</f>
        <v>514</v>
      </c>
      <c r="E1017">
        <f>COUNTIFS(data!D:D,data!$J$2,data!F:F,"&lt;"&amp;B1017)</f>
        <v>209</v>
      </c>
      <c r="F1017">
        <f>COUNTIFS(data!D:D,data!$I$2,data!F:F,"&lt;"&amp;B1017)</f>
        <v>32</v>
      </c>
      <c r="G1017">
        <f t="shared" si="108"/>
        <v>0.71092669432918398</v>
      </c>
      <c r="H1017">
        <f t="shared" si="109"/>
        <v>0.94007490636704116</v>
      </c>
      <c r="I1017">
        <f t="shared" si="110"/>
        <v>1.3002419175201076E-3</v>
      </c>
      <c r="J1017">
        <f t="shared" si="111"/>
        <v>0.49409448818897639</v>
      </c>
      <c r="K1017">
        <f t="shared" si="112"/>
        <v>0.64774193548387105</v>
      </c>
      <c r="L1017">
        <f>A1017*COUNTIF(data!D:D,data!$I$2)/data!$L$2</f>
        <v>431.61813842482098</v>
      </c>
      <c r="M1017" s="1">
        <f>A1017/data!$L$2</f>
        <v>0.80827366746221163</v>
      </c>
      <c r="N1017">
        <f t="shared" si="113"/>
        <v>1.1630651154560736</v>
      </c>
    </row>
    <row r="1018" spans="1:14" x14ac:dyDescent="0.2">
      <c r="A1018">
        <v>1017</v>
      </c>
      <c r="B1018">
        <f>LARGE(data!F:F,A1018)</f>
        <v>0.2007963807</v>
      </c>
      <c r="C1018">
        <f>COUNTIFS(data!D:D,data!$I$2,data!F:F,"&gt;="&amp;B1018)</f>
        <v>502</v>
      </c>
      <c r="D1018">
        <f>COUNTIFS(data!D:D,data!$J$2,data!F:F,"&gt;="&amp;B1018)</f>
        <v>515</v>
      </c>
      <c r="E1018">
        <f>COUNTIFS(data!D:D,data!$J$2,data!F:F,"&lt;"&amp;B1018)</f>
        <v>208</v>
      </c>
      <c r="F1018">
        <f>COUNTIFS(data!D:D,data!$I$2,data!F:F,"&lt;"&amp;B1018)</f>
        <v>32</v>
      </c>
      <c r="G1018">
        <f t="shared" si="108"/>
        <v>0.71230982019363764</v>
      </c>
      <c r="H1018">
        <f t="shared" si="109"/>
        <v>0.94007490636704116</v>
      </c>
      <c r="I1018">
        <f t="shared" si="110"/>
        <v>1.3002419175201076E-3</v>
      </c>
      <c r="J1018">
        <f t="shared" si="111"/>
        <v>0.49360865290068828</v>
      </c>
      <c r="K1018">
        <f t="shared" si="112"/>
        <v>0.64732430689877496</v>
      </c>
      <c r="L1018">
        <f>A1018*COUNTIF(data!D:D,data!$I$2)/data!$L$2</f>
        <v>432.04295942720762</v>
      </c>
      <c r="M1018" s="1">
        <f>A1018/data!$L$2</f>
        <v>0.80906921241050123</v>
      </c>
      <c r="N1018">
        <f t="shared" si="113"/>
        <v>1.1619214919403844</v>
      </c>
    </row>
    <row r="1019" spans="1:14" x14ac:dyDescent="0.2">
      <c r="A1019">
        <v>1018</v>
      </c>
      <c r="B1019">
        <f>LARGE(data!F:F,A1019)</f>
        <v>0.2002501837</v>
      </c>
      <c r="C1019">
        <f>COUNTIFS(data!D:D,data!$I$2,data!F:F,"&gt;="&amp;B1019)</f>
        <v>502</v>
      </c>
      <c r="D1019">
        <f>COUNTIFS(data!D:D,data!$J$2,data!F:F,"&gt;="&amp;B1019)</f>
        <v>516</v>
      </c>
      <c r="E1019">
        <f>COUNTIFS(data!D:D,data!$J$2,data!F:F,"&lt;"&amp;B1019)</f>
        <v>207</v>
      </c>
      <c r="F1019">
        <f>COUNTIFS(data!D:D,data!$I$2,data!F:F,"&lt;"&amp;B1019)</f>
        <v>32</v>
      </c>
      <c r="G1019">
        <f t="shared" si="108"/>
        <v>0.7136929460580913</v>
      </c>
      <c r="H1019">
        <f t="shared" si="109"/>
        <v>0.94007490636704116</v>
      </c>
      <c r="I1019">
        <f t="shared" si="110"/>
        <v>1.3002419175201076E-3</v>
      </c>
      <c r="J1019">
        <f t="shared" si="111"/>
        <v>0.49312377210216107</v>
      </c>
      <c r="K1019">
        <f t="shared" si="112"/>
        <v>0.64690721649484539</v>
      </c>
      <c r="L1019">
        <f>A1019*COUNTIF(data!D:D,data!$I$2)/data!$L$2</f>
        <v>432.46778042959426</v>
      </c>
      <c r="M1019" s="1">
        <f>A1019/data!$L$2</f>
        <v>0.80986475735879082</v>
      </c>
      <c r="N1019">
        <f t="shared" si="113"/>
        <v>1.1607801152292445</v>
      </c>
    </row>
    <row r="1020" spans="1:14" x14ac:dyDescent="0.2">
      <c r="A1020">
        <v>1019</v>
      </c>
      <c r="B1020">
        <f>LARGE(data!F:F,A1020)</f>
        <v>0.20011192159999999</v>
      </c>
      <c r="C1020">
        <f>COUNTIFS(data!D:D,data!$I$2,data!F:F,"&gt;="&amp;B1020)</f>
        <v>502</v>
      </c>
      <c r="D1020">
        <f>COUNTIFS(data!D:D,data!$J$2,data!F:F,"&gt;="&amp;B1020)</f>
        <v>517</v>
      </c>
      <c r="E1020">
        <f>COUNTIFS(data!D:D,data!$J$2,data!F:F,"&lt;"&amp;B1020)</f>
        <v>206</v>
      </c>
      <c r="F1020">
        <f>COUNTIFS(data!D:D,data!$I$2,data!F:F,"&lt;"&amp;B1020)</f>
        <v>32</v>
      </c>
      <c r="G1020">
        <f t="shared" si="108"/>
        <v>0.71507607192254496</v>
      </c>
      <c r="H1020">
        <f t="shared" si="109"/>
        <v>0.94007490636704116</v>
      </c>
      <c r="I1020">
        <f t="shared" si="110"/>
        <v>1.3002419175201076E-3</v>
      </c>
      <c r="J1020">
        <f t="shared" si="111"/>
        <v>0.49263984298331698</v>
      </c>
      <c r="K1020">
        <f t="shared" si="112"/>
        <v>0.64649066323245341</v>
      </c>
      <c r="L1020">
        <f>A1020*COUNTIF(data!D:D,data!$I$2)/data!$L$2</f>
        <v>432.89260143198089</v>
      </c>
      <c r="M1020" s="1">
        <f>A1020/data!$L$2</f>
        <v>0.8106603023070803</v>
      </c>
      <c r="N1020">
        <f t="shared" si="113"/>
        <v>1.1596409787079203</v>
      </c>
    </row>
    <row r="1021" spans="1:14" x14ac:dyDescent="0.2">
      <c r="A1021">
        <v>1020</v>
      </c>
      <c r="B1021">
        <f>LARGE(data!F:F,A1021)</f>
        <v>0.19964354209999999</v>
      </c>
      <c r="C1021">
        <f>COUNTIFS(data!D:D,data!$I$2,data!F:F,"&gt;="&amp;B1021)</f>
        <v>502</v>
      </c>
      <c r="D1021">
        <f>COUNTIFS(data!D:D,data!$J$2,data!F:F,"&gt;="&amp;B1021)</f>
        <v>518</v>
      </c>
      <c r="E1021">
        <f>COUNTIFS(data!D:D,data!$J$2,data!F:F,"&lt;"&amp;B1021)</f>
        <v>205</v>
      </c>
      <c r="F1021">
        <f>COUNTIFS(data!D:D,data!$I$2,data!F:F,"&lt;"&amp;B1021)</f>
        <v>32</v>
      </c>
      <c r="G1021">
        <f t="shared" si="108"/>
        <v>0.71645919778699863</v>
      </c>
      <c r="H1021">
        <f t="shared" si="109"/>
        <v>0.94007490636704116</v>
      </c>
      <c r="I1021">
        <f t="shared" si="110"/>
        <v>1.3002419175201076E-3</v>
      </c>
      <c r="J1021">
        <f t="shared" si="111"/>
        <v>0.49215686274509801</v>
      </c>
      <c r="K1021">
        <f t="shared" si="112"/>
        <v>0.64607464607464604</v>
      </c>
      <c r="L1021">
        <f>A1021*COUNTIF(data!D:D,data!$I$2)/data!$L$2</f>
        <v>433.31742243436753</v>
      </c>
      <c r="M1021" s="1">
        <f>A1021/data!$L$2</f>
        <v>0.8114558472553699</v>
      </c>
      <c r="N1021">
        <f t="shared" si="113"/>
        <v>1.1585040757876184</v>
      </c>
    </row>
    <row r="1022" spans="1:14" x14ac:dyDescent="0.2">
      <c r="A1022">
        <v>1021</v>
      </c>
      <c r="B1022">
        <f>LARGE(data!F:F,A1022)</f>
        <v>0.19959565300000001</v>
      </c>
      <c r="C1022">
        <f>COUNTIFS(data!D:D,data!$I$2,data!F:F,"&gt;="&amp;B1022)</f>
        <v>503</v>
      </c>
      <c r="D1022">
        <f>COUNTIFS(data!D:D,data!$J$2,data!F:F,"&gt;="&amp;B1022)</f>
        <v>518</v>
      </c>
      <c r="E1022">
        <f>COUNTIFS(data!D:D,data!$J$2,data!F:F,"&lt;"&amp;B1022)</f>
        <v>205</v>
      </c>
      <c r="F1022">
        <f>COUNTIFS(data!D:D,data!$I$2,data!F:F,"&lt;"&amp;B1022)</f>
        <v>31</v>
      </c>
      <c r="G1022">
        <f t="shared" si="108"/>
        <v>0.71645919778699863</v>
      </c>
      <c r="H1022">
        <f t="shared" si="109"/>
        <v>0.94194756554307113</v>
      </c>
      <c r="I1022">
        <f t="shared" si="110"/>
        <v>0</v>
      </c>
      <c r="J1022">
        <f t="shared" si="111"/>
        <v>0.49265426052889322</v>
      </c>
      <c r="K1022">
        <f t="shared" si="112"/>
        <v>0.64694533762057871</v>
      </c>
      <c r="L1022">
        <f>A1022*COUNTIF(data!D:D,data!$I$2)/data!$L$2</f>
        <v>433.74224343675417</v>
      </c>
      <c r="M1022" s="1">
        <f>A1022/data!$L$2</f>
        <v>0.81225139220365949</v>
      </c>
      <c r="N1022">
        <f t="shared" si="113"/>
        <v>1.1596749166382374</v>
      </c>
    </row>
    <row r="1023" spans="1:14" x14ac:dyDescent="0.2">
      <c r="A1023">
        <v>1022</v>
      </c>
      <c r="B1023">
        <f>LARGE(data!F:F,A1023)</f>
        <v>0.19926027769999999</v>
      </c>
      <c r="C1023">
        <f>COUNTIFS(data!D:D,data!$I$2,data!F:F,"&gt;="&amp;B1023)</f>
        <v>503</v>
      </c>
      <c r="D1023">
        <f>COUNTIFS(data!D:D,data!$J$2,data!F:F,"&gt;="&amp;B1023)</f>
        <v>519</v>
      </c>
      <c r="E1023">
        <f>COUNTIFS(data!D:D,data!$J$2,data!F:F,"&lt;"&amp;B1023)</f>
        <v>204</v>
      </c>
      <c r="F1023">
        <f>COUNTIFS(data!D:D,data!$I$2,data!F:F,"&lt;"&amp;B1023)</f>
        <v>31</v>
      </c>
      <c r="G1023">
        <f t="shared" si="108"/>
        <v>0.71784232365145229</v>
      </c>
      <c r="H1023">
        <f t="shared" si="109"/>
        <v>0.94194756554307113</v>
      </c>
      <c r="I1023">
        <f t="shared" si="110"/>
        <v>1.3028320408617813E-3</v>
      </c>
      <c r="J1023">
        <f t="shared" si="111"/>
        <v>0.49217221135029354</v>
      </c>
      <c r="K1023">
        <f t="shared" si="112"/>
        <v>0.64652956298200515</v>
      </c>
      <c r="L1023">
        <f>A1023*COUNTIF(data!D:D,data!$I$2)/data!$L$2</f>
        <v>434.1670644391408</v>
      </c>
      <c r="M1023" s="1">
        <f>A1023/data!$L$2</f>
        <v>0.81304693715194909</v>
      </c>
      <c r="N1023">
        <f t="shared" si="113"/>
        <v>1.1585402053695113</v>
      </c>
    </row>
    <row r="1024" spans="1:14" x14ac:dyDescent="0.2">
      <c r="A1024">
        <v>1023</v>
      </c>
      <c r="B1024">
        <f>LARGE(data!F:F,A1024)</f>
        <v>0.19855404169999999</v>
      </c>
      <c r="C1024">
        <f>COUNTIFS(data!D:D,data!$I$2,data!F:F,"&gt;="&amp;B1024)</f>
        <v>503</v>
      </c>
      <c r="D1024">
        <f>COUNTIFS(data!D:D,data!$J$2,data!F:F,"&gt;="&amp;B1024)</f>
        <v>520</v>
      </c>
      <c r="E1024">
        <f>COUNTIFS(data!D:D,data!$J$2,data!F:F,"&lt;"&amp;B1024)</f>
        <v>203</v>
      </c>
      <c r="F1024">
        <f>COUNTIFS(data!D:D,data!$I$2,data!F:F,"&lt;"&amp;B1024)</f>
        <v>31</v>
      </c>
      <c r="G1024">
        <f t="shared" si="108"/>
        <v>0.71922544951590595</v>
      </c>
      <c r="H1024">
        <f t="shared" si="109"/>
        <v>0.94194756554307113</v>
      </c>
      <c r="I1024">
        <f t="shared" si="110"/>
        <v>1.3028320408617813E-3</v>
      </c>
      <c r="J1024">
        <f t="shared" si="111"/>
        <v>0.49169110459433041</v>
      </c>
      <c r="K1024">
        <f t="shared" si="112"/>
        <v>0.64611432241490041</v>
      </c>
      <c r="L1024">
        <f>A1024*COUNTIF(data!D:D,data!$I$2)/data!$L$2</f>
        <v>434.59188544152744</v>
      </c>
      <c r="M1024" s="1">
        <f>A1024/data!$L$2</f>
        <v>0.81384248210023868</v>
      </c>
      <c r="N1024">
        <f t="shared" si="113"/>
        <v>1.1574077125001374</v>
      </c>
    </row>
    <row r="1025" spans="1:14" x14ac:dyDescent="0.2">
      <c r="A1025">
        <v>1024</v>
      </c>
      <c r="B1025">
        <f>LARGE(data!F:F,A1025)</f>
        <v>0.19852154129999999</v>
      </c>
      <c r="C1025">
        <f>COUNTIFS(data!D:D,data!$I$2,data!F:F,"&gt;="&amp;B1025)</f>
        <v>503</v>
      </c>
      <c r="D1025">
        <f>COUNTIFS(data!D:D,data!$J$2,data!F:F,"&gt;="&amp;B1025)</f>
        <v>521</v>
      </c>
      <c r="E1025">
        <f>COUNTIFS(data!D:D,data!$J$2,data!F:F,"&lt;"&amp;B1025)</f>
        <v>202</v>
      </c>
      <c r="F1025">
        <f>COUNTIFS(data!D:D,data!$I$2,data!F:F,"&lt;"&amp;B1025)</f>
        <v>31</v>
      </c>
      <c r="G1025">
        <f t="shared" si="108"/>
        <v>0.72060857538035961</v>
      </c>
      <c r="H1025">
        <f t="shared" si="109"/>
        <v>0.94194756554307113</v>
      </c>
      <c r="I1025">
        <f t="shared" si="110"/>
        <v>1.3028320408617813E-3</v>
      </c>
      <c r="J1025">
        <f t="shared" si="111"/>
        <v>0.4912109375</v>
      </c>
      <c r="K1025">
        <f t="shared" si="112"/>
        <v>0.64569961489088579</v>
      </c>
      <c r="L1025">
        <f>A1025*COUNTIF(data!D:D,data!$I$2)/data!$L$2</f>
        <v>435.01670644391407</v>
      </c>
      <c r="M1025" s="1">
        <f>A1025/data!$L$2</f>
        <v>0.81463802704852828</v>
      </c>
      <c r="N1025">
        <f t="shared" si="113"/>
        <v>1.1562774315308988</v>
      </c>
    </row>
    <row r="1026" spans="1:14" x14ac:dyDescent="0.2">
      <c r="A1026">
        <v>1025</v>
      </c>
      <c r="B1026">
        <f>LARGE(data!F:F,A1026)</f>
        <v>0.19787421099999999</v>
      </c>
      <c r="C1026">
        <f>COUNTIFS(data!D:D,data!$I$2,data!F:F,"&gt;="&amp;B1026)</f>
        <v>503</v>
      </c>
      <c r="D1026">
        <f>COUNTIFS(data!D:D,data!$J$2,data!F:F,"&gt;="&amp;B1026)</f>
        <v>522</v>
      </c>
      <c r="E1026">
        <f>COUNTIFS(data!D:D,data!$J$2,data!F:F,"&lt;"&amp;B1026)</f>
        <v>201</v>
      </c>
      <c r="F1026">
        <f>COUNTIFS(data!D:D,data!$I$2,data!F:F,"&lt;"&amp;B1026)</f>
        <v>31</v>
      </c>
      <c r="G1026">
        <f t="shared" si="108"/>
        <v>0.72199170124481327</v>
      </c>
      <c r="H1026">
        <f t="shared" si="109"/>
        <v>0.94194756554307113</v>
      </c>
      <c r="I1026">
        <f t="shared" si="110"/>
        <v>1.3028320408617813E-3</v>
      </c>
      <c r="J1026">
        <f t="shared" si="111"/>
        <v>0.49073170731707316</v>
      </c>
      <c r="K1026">
        <f t="shared" si="112"/>
        <v>0.64528543938422067</v>
      </c>
      <c r="L1026">
        <f>A1026*COUNTIF(data!D:D,data!$I$2)/data!$L$2</f>
        <v>435.44152744630071</v>
      </c>
      <c r="M1026" s="1">
        <f>A1026/data!$L$2</f>
        <v>0.81543357199681787</v>
      </c>
      <c r="N1026">
        <f t="shared" si="113"/>
        <v>1.155149355987942</v>
      </c>
    </row>
    <row r="1027" spans="1:14" x14ac:dyDescent="0.2">
      <c r="A1027">
        <v>1026</v>
      </c>
      <c r="B1027">
        <f>LARGE(data!F:F,A1027)</f>
        <v>0.19749235239999999</v>
      </c>
      <c r="C1027">
        <f>COUNTIFS(data!D:D,data!$I$2,data!F:F,"&gt;="&amp;B1027)</f>
        <v>503</v>
      </c>
      <c r="D1027">
        <f>COUNTIFS(data!D:D,data!$J$2,data!F:F,"&gt;="&amp;B1027)</f>
        <v>523</v>
      </c>
      <c r="E1027">
        <f>COUNTIFS(data!D:D,data!$J$2,data!F:F,"&lt;"&amp;B1027)</f>
        <v>200</v>
      </c>
      <c r="F1027">
        <f>COUNTIFS(data!D:D,data!$I$2,data!F:F,"&lt;"&amp;B1027)</f>
        <v>31</v>
      </c>
      <c r="G1027">
        <f t="shared" si="108"/>
        <v>0.72337482710926693</v>
      </c>
      <c r="H1027">
        <f t="shared" si="109"/>
        <v>0.94194756554307113</v>
      </c>
      <c r="I1027">
        <f t="shared" si="110"/>
        <v>1.3028320408617813E-3</v>
      </c>
      <c r="J1027">
        <f t="shared" si="111"/>
        <v>0.49025341130604289</v>
      </c>
      <c r="K1027">
        <f t="shared" si="112"/>
        <v>0.64487179487179491</v>
      </c>
      <c r="L1027">
        <f>A1027*COUNTIF(data!D:D,data!$I$2)/data!$L$2</f>
        <v>435.86634844868735</v>
      </c>
      <c r="M1027" s="1">
        <f>A1027/data!$L$2</f>
        <v>0.81622911694510736</v>
      </c>
      <c r="N1027">
        <f t="shared" si="113"/>
        <v>1.1540234794226516</v>
      </c>
    </row>
    <row r="1028" spans="1:14" x14ac:dyDescent="0.2">
      <c r="A1028">
        <v>1027</v>
      </c>
      <c r="B1028">
        <f>LARGE(data!F:F,A1028)</f>
        <v>0.1969595126</v>
      </c>
      <c r="C1028">
        <f>COUNTIFS(data!D:D,data!$I$2,data!F:F,"&gt;="&amp;B1028)</f>
        <v>504</v>
      </c>
      <c r="D1028">
        <f>COUNTIFS(data!D:D,data!$J$2,data!F:F,"&gt;="&amp;B1028)</f>
        <v>523</v>
      </c>
      <c r="E1028">
        <f>COUNTIFS(data!D:D,data!$J$2,data!F:F,"&lt;"&amp;B1028)</f>
        <v>200</v>
      </c>
      <c r="F1028">
        <f>COUNTIFS(data!D:D,data!$I$2,data!F:F,"&lt;"&amp;B1028)</f>
        <v>30</v>
      </c>
      <c r="G1028">
        <f t="shared" si="108"/>
        <v>0.72337482710926693</v>
      </c>
      <c r="H1028">
        <f t="shared" si="109"/>
        <v>0.9438202247191011</v>
      </c>
      <c r="I1028">
        <f t="shared" si="110"/>
        <v>0</v>
      </c>
      <c r="J1028">
        <f t="shared" si="111"/>
        <v>0.49074975657254138</v>
      </c>
      <c r="K1028">
        <f t="shared" si="112"/>
        <v>0.64573991031390132</v>
      </c>
      <c r="L1028">
        <f>A1028*COUNTIF(data!D:D,data!$I$2)/data!$L$2</f>
        <v>436.29116945107398</v>
      </c>
      <c r="M1028" s="1">
        <f>A1028/data!$L$2</f>
        <v>0.81702466189339695</v>
      </c>
      <c r="N1028">
        <f t="shared" si="113"/>
        <v>1.1551918427185104</v>
      </c>
    </row>
    <row r="1029" spans="1:14" x14ac:dyDescent="0.2">
      <c r="A1029">
        <v>1028</v>
      </c>
      <c r="B1029">
        <f>LARGE(data!F:F,A1029)</f>
        <v>0.19660122199999999</v>
      </c>
      <c r="C1029">
        <f>COUNTIFS(data!D:D,data!$I$2,data!F:F,"&gt;="&amp;B1029)</f>
        <v>504</v>
      </c>
      <c r="D1029">
        <f>COUNTIFS(data!D:D,data!$J$2,data!F:F,"&gt;="&amp;B1029)</f>
        <v>524</v>
      </c>
      <c r="E1029">
        <f>COUNTIFS(data!D:D,data!$J$2,data!F:F,"&lt;"&amp;B1029)</f>
        <v>199</v>
      </c>
      <c r="F1029">
        <f>COUNTIFS(data!D:D,data!$I$2,data!F:F,"&lt;"&amp;B1029)</f>
        <v>30</v>
      </c>
      <c r="G1029">
        <f t="shared" si="108"/>
        <v>0.72475795297372059</v>
      </c>
      <c r="H1029">
        <f t="shared" si="109"/>
        <v>0.9438202247191011</v>
      </c>
      <c r="I1029">
        <f t="shared" si="110"/>
        <v>1.3054221642034547E-3</v>
      </c>
      <c r="J1029">
        <f t="shared" si="111"/>
        <v>0.49027237354085601</v>
      </c>
      <c r="K1029">
        <f t="shared" si="112"/>
        <v>0.64532650448143414</v>
      </c>
      <c r="L1029">
        <f>A1029*COUNTIF(data!D:D,data!$I$2)/data!$L$2</f>
        <v>436.71599045346062</v>
      </c>
      <c r="M1029" s="1">
        <f>A1029/data!$L$2</f>
        <v>0.81782020684168655</v>
      </c>
      <c r="N1029">
        <f t="shared" si="113"/>
        <v>1.1540681152450487</v>
      </c>
    </row>
    <row r="1030" spans="1:14" x14ac:dyDescent="0.2">
      <c r="A1030">
        <v>1029</v>
      </c>
      <c r="B1030">
        <f>LARGE(data!F:F,A1030)</f>
        <v>0.19601923130000001</v>
      </c>
      <c r="C1030">
        <f>COUNTIFS(data!D:D,data!$I$2,data!F:F,"&gt;="&amp;B1030)</f>
        <v>504</v>
      </c>
      <c r="D1030">
        <f>COUNTIFS(data!D:D,data!$J$2,data!F:F,"&gt;="&amp;B1030)</f>
        <v>525</v>
      </c>
      <c r="E1030">
        <f>COUNTIFS(data!D:D,data!$J$2,data!F:F,"&lt;"&amp;B1030)</f>
        <v>198</v>
      </c>
      <c r="F1030">
        <f>COUNTIFS(data!D:D,data!$I$2,data!F:F,"&lt;"&amp;B1030)</f>
        <v>30</v>
      </c>
      <c r="G1030">
        <f t="shared" si="108"/>
        <v>0.72614107883817425</v>
      </c>
      <c r="H1030">
        <f t="shared" si="109"/>
        <v>0.9438202247191011</v>
      </c>
      <c r="I1030">
        <f t="shared" si="110"/>
        <v>1.3054221642034547E-3</v>
      </c>
      <c r="J1030">
        <f t="shared" si="111"/>
        <v>0.48979591836734693</v>
      </c>
      <c r="K1030">
        <f t="shared" si="112"/>
        <v>0.6449136276391555</v>
      </c>
      <c r="L1030">
        <f>A1030*COUNTIF(data!D:D,data!$I$2)/data!$L$2</f>
        <v>437.14081145584726</v>
      </c>
      <c r="M1030" s="1">
        <f>A1030/data!$L$2</f>
        <v>0.81861575178997614</v>
      </c>
      <c r="N1030">
        <f t="shared" si="113"/>
        <v>1.1529465718871819</v>
      </c>
    </row>
    <row r="1031" spans="1:14" x14ac:dyDescent="0.2">
      <c r="A1031">
        <v>1030</v>
      </c>
      <c r="B1031">
        <f>LARGE(data!F:F,A1031)</f>
        <v>0.1954117762</v>
      </c>
      <c r="C1031">
        <f>COUNTIFS(data!D:D,data!$I$2,data!F:F,"&gt;="&amp;B1031)</f>
        <v>504</v>
      </c>
      <c r="D1031">
        <f>COUNTIFS(data!D:D,data!$J$2,data!F:F,"&gt;="&amp;B1031)</f>
        <v>526</v>
      </c>
      <c r="E1031">
        <f>COUNTIFS(data!D:D,data!$J$2,data!F:F,"&lt;"&amp;B1031)</f>
        <v>197</v>
      </c>
      <c r="F1031">
        <f>COUNTIFS(data!D:D,data!$I$2,data!F:F,"&lt;"&amp;B1031)</f>
        <v>30</v>
      </c>
      <c r="G1031">
        <f t="shared" si="108"/>
        <v>0.72752420470262791</v>
      </c>
      <c r="H1031">
        <f t="shared" si="109"/>
        <v>0.9438202247191011</v>
      </c>
      <c r="I1031">
        <f t="shared" si="110"/>
        <v>1.3054221642034547E-3</v>
      </c>
      <c r="J1031">
        <f t="shared" si="111"/>
        <v>0.48932038834951458</v>
      </c>
      <c r="K1031">
        <f t="shared" si="112"/>
        <v>0.64450127877237851</v>
      </c>
      <c r="L1031">
        <f>A1031*COUNTIF(data!D:D,data!$I$2)/data!$L$2</f>
        <v>437.56563245823389</v>
      </c>
      <c r="M1031" s="1">
        <f>A1031/data!$L$2</f>
        <v>0.81941129673826574</v>
      </c>
      <c r="N1031">
        <f t="shared" si="113"/>
        <v>1.1518272062834078</v>
      </c>
    </row>
    <row r="1032" spans="1:14" x14ac:dyDescent="0.2">
      <c r="A1032">
        <v>1031</v>
      </c>
      <c r="B1032">
        <f>LARGE(data!F:F,A1032)</f>
        <v>0.1946058614</v>
      </c>
      <c r="C1032">
        <f>COUNTIFS(data!D:D,data!$I$2,data!F:F,"&gt;="&amp;B1032)</f>
        <v>505</v>
      </c>
      <c r="D1032">
        <f>COUNTIFS(data!D:D,data!$J$2,data!F:F,"&gt;="&amp;B1032)</f>
        <v>526</v>
      </c>
      <c r="E1032">
        <f>COUNTIFS(data!D:D,data!$J$2,data!F:F,"&lt;"&amp;B1032)</f>
        <v>197</v>
      </c>
      <c r="F1032">
        <f>COUNTIFS(data!D:D,data!$I$2,data!F:F,"&lt;"&amp;B1032)</f>
        <v>29</v>
      </c>
      <c r="G1032">
        <f t="shared" si="108"/>
        <v>0.72752420470262791</v>
      </c>
      <c r="H1032">
        <f t="shared" si="109"/>
        <v>0.94569288389513106</v>
      </c>
      <c r="I1032">
        <f t="shared" si="110"/>
        <v>0</v>
      </c>
      <c r="J1032">
        <f t="shared" si="111"/>
        <v>0.48981571290009701</v>
      </c>
      <c r="K1032">
        <f t="shared" si="112"/>
        <v>0.64536741214057503</v>
      </c>
      <c r="L1032">
        <f>A1032*COUNTIF(data!D:D,data!$I$2)/data!$L$2</f>
        <v>437.99045346062053</v>
      </c>
      <c r="M1032" s="1">
        <f>A1032/data!$L$2</f>
        <v>0.82020684168655533</v>
      </c>
      <c r="N1032">
        <f t="shared" si="113"/>
        <v>1.1529931668828126</v>
      </c>
    </row>
    <row r="1033" spans="1:14" x14ac:dyDescent="0.2">
      <c r="A1033">
        <v>1032</v>
      </c>
      <c r="B1033">
        <f>LARGE(data!F:F,A1033)</f>
        <v>0.1944682989</v>
      </c>
      <c r="C1033">
        <f>COUNTIFS(data!D:D,data!$I$2,data!F:F,"&gt;="&amp;B1033)</f>
        <v>505</v>
      </c>
      <c r="D1033">
        <f>COUNTIFS(data!D:D,data!$J$2,data!F:F,"&gt;="&amp;B1033)</f>
        <v>527</v>
      </c>
      <c r="E1033">
        <f>COUNTIFS(data!D:D,data!$J$2,data!F:F,"&lt;"&amp;B1033)</f>
        <v>196</v>
      </c>
      <c r="F1033">
        <f>COUNTIFS(data!D:D,data!$I$2,data!F:F,"&lt;"&amp;B1033)</f>
        <v>29</v>
      </c>
      <c r="G1033">
        <f t="shared" si="108"/>
        <v>0.72890733056708157</v>
      </c>
      <c r="H1033">
        <f t="shared" si="109"/>
        <v>0.94569288389513106</v>
      </c>
      <c r="I1033">
        <f t="shared" si="110"/>
        <v>1.3080122875451282E-3</v>
      </c>
      <c r="J1033">
        <f t="shared" si="111"/>
        <v>0.48934108527131781</v>
      </c>
      <c r="K1033">
        <f t="shared" si="112"/>
        <v>0.64495530012771385</v>
      </c>
      <c r="L1033">
        <f>A1033*COUNTIF(data!D:D,data!$I$2)/data!$L$2</f>
        <v>438.41527446300717</v>
      </c>
      <c r="M1033" s="1">
        <f>A1033/data!$L$2</f>
        <v>0.82100238663484482</v>
      </c>
      <c r="N1033">
        <f t="shared" si="113"/>
        <v>1.1518759254420345</v>
      </c>
    </row>
    <row r="1034" spans="1:14" x14ac:dyDescent="0.2">
      <c r="A1034">
        <v>1033</v>
      </c>
      <c r="B1034">
        <f>LARGE(data!F:F,A1034)</f>
        <v>0.19443558559999999</v>
      </c>
      <c r="C1034">
        <f>COUNTIFS(data!D:D,data!$I$2,data!F:F,"&gt;="&amp;B1034)</f>
        <v>505</v>
      </c>
      <c r="D1034">
        <f>COUNTIFS(data!D:D,data!$J$2,data!F:F,"&gt;="&amp;B1034)</f>
        <v>528</v>
      </c>
      <c r="E1034">
        <f>COUNTIFS(data!D:D,data!$J$2,data!F:F,"&lt;"&amp;B1034)</f>
        <v>195</v>
      </c>
      <c r="F1034">
        <f>COUNTIFS(data!D:D,data!$I$2,data!F:F,"&lt;"&amp;B1034)</f>
        <v>29</v>
      </c>
      <c r="G1034">
        <f t="shared" si="108"/>
        <v>0.73029045643153523</v>
      </c>
      <c r="H1034">
        <f t="shared" si="109"/>
        <v>0.94569288389513106</v>
      </c>
      <c r="I1034">
        <f t="shared" si="110"/>
        <v>1.3080122875451282E-3</v>
      </c>
      <c r="J1034">
        <f t="shared" si="111"/>
        <v>0.4888673765730881</v>
      </c>
      <c r="K1034">
        <f t="shared" si="112"/>
        <v>0.64454371410338218</v>
      </c>
      <c r="L1034">
        <f>A1034*COUNTIF(data!D:D,data!$I$2)/data!$L$2</f>
        <v>438.8400954653938</v>
      </c>
      <c r="M1034" s="1">
        <f>A1034/data!$L$2</f>
        <v>0.82179793158313441</v>
      </c>
      <c r="N1034">
        <f t="shared" si="113"/>
        <v>1.1507608471018198</v>
      </c>
    </row>
    <row r="1035" spans="1:14" x14ac:dyDescent="0.2">
      <c r="A1035">
        <v>1034</v>
      </c>
      <c r="B1035">
        <f>LARGE(data!F:F,A1035)</f>
        <v>0.19420062220000001</v>
      </c>
      <c r="C1035">
        <f>COUNTIFS(data!D:D,data!$I$2,data!F:F,"&gt;="&amp;B1035)</f>
        <v>505</v>
      </c>
      <c r="D1035">
        <f>COUNTIFS(data!D:D,data!$J$2,data!F:F,"&gt;="&amp;B1035)</f>
        <v>529</v>
      </c>
      <c r="E1035">
        <f>COUNTIFS(data!D:D,data!$J$2,data!F:F,"&lt;"&amp;B1035)</f>
        <v>194</v>
      </c>
      <c r="F1035">
        <f>COUNTIFS(data!D:D,data!$I$2,data!F:F,"&lt;"&amp;B1035)</f>
        <v>29</v>
      </c>
      <c r="G1035">
        <f t="shared" si="108"/>
        <v>0.73167358229598889</v>
      </c>
      <c r="H1035">
        <f t="shared" si="109"/>
        <v>0.94569288389513106</v>
      </c>
      <c r="I1035">
        <f t="shared" si="110"/>
        <v>1.3080122875451282E-3</v>
      </c>
      <c r="J1035">
        <f t="shared" si="111"/>
        <v>0.48839458413926501</v>
      </c>
      <c r="K1035">
        <f t="shared" si="112"/>
        <v>0.64413265306122447</v>
      </c>
      <c r="L1035">
        <f>A1035*COUNTIF(data!D:D,data!$I$2)/data!$L$2</f>
        <v>439.26491646778044</v>
      </c>
      <c r="M1035" s="1">
        <f>A1035/data!$L$2</f>
        <v>0.82259347653142401</v>
      </c>
      <c r="N1035">
        <f t="shared" si="113"/>
        <v>1.1496479255862473</v>
      </c>
    </row>
    <row r="1036" spans="1:14" x14ac:dyDescent="0.2">
      <c r="A1036">
        <v>1035</v>
      </c>
      <c r="B1036">
        <f>LARGE(data!F:F,A1036)</f>
        <v>0.19339923489999999</v>
      </c>
      <c r="C1036">
        <f>COUNTIFS(data!D:D,data!$I$2,data!F:F,"&gt;="&amp;B1036)</f>
        <v>505</v>
      </c>
      <c r="D1036">
        <f>COUNTIFS(data!D:D,data!$J$2,data!F:F,"&gt;="&amp;B1036)</f>
        <v>530</v>
      </c>
      <c r="E1036">
        <f>COUNTIFS(data!D:D,data!$J$2,data!F:F,"&lt;"&amp;B1036)</f>
        <v>193</v>
      </c>
      <c r="F1036">
        <f>COUNTIFS(data!D:D,data!$I$2,data!F:F,"&lt;"&amp;B1036)</f>
        <v>29</v>
      </c>
      <c r="G1036">
        <f t="shared" si="108"/>
        <v>0.73305670816044255</v>
      </c>
      <c r="H1036">
        <f t="shared" si="109"/>
        <v>0.94569288389513106</v>
      </c>
      <c r="I1036">
        <f t="shared" si="110"/>
        <v>1.3080122875451282E-3</v>
      </c>
      <c r="J1036">
        <f t="shared" si="111"/>
        <v>0.48792270531400966</v>
      </c>
      <c r="K1036">
        <f t="shared" si="112"/>
        <v>0.64372211599745066</v>
      </c>
      <c r="L1036">
        <f>A1036*COUNTIF(data!D:D,data!$I$2)/data!$L$2</f>
        <v>439.68973747016707</v>
      </c>
      <c r="M1036" s="1">
        <f>A1036/data!$L$2</f>
        <v>0.8233890214797136</v>
      </c>
      <c r="N1036">
        <f t="shared" si="113"/>
        <v>1.148537154643652</v>
      </c>
    </row>
    <row r="1037" spans="1:14" x14ac:dyDescent="0.2">
      <c r="A1037">
        <v>1036</v>
      </c>
      <c r="B1037">
        <f>LARGE(data!F:F,A1037)</f>
        <v>0.191807857</v>
      </c>
      <c r="C1037">
        <f>COUNTIFS(data!D:D,data!$I$2,data!F:F,"&gt;="&amp;B1037)</f>
        <v>506</v>
      </c>
      <c r="D1037">
        <f>COUNTIFS(data!D:D,data!$J$2,data!F:F,"&gt;="&amp;B1037)</f>
        <v>531</v>
      </c>
      <c r="E1037">
        <f>COUNTIFS(data!D:D,data!$J$2,data!F:F,"&lt;"&amp;B1037)</f>
        <v>192</v>
      </c>
      <c r="F1037">
        <f>COUNTIFS(data!D:D,data!$I$2,data!F:F,"&lt;"&amp;B1037)</f>
        <v>28</v>
      </c>
      <c r="G1037">
        <f t="shared" si="108"/>
        <v>0.73443983402489632</v>
      </c>
      <c r="H1037">
        <f t="shared" si="109"/>
        <v>0.94756554307116103</v>
      </c>
      <c r="I1037">
        <f t="shared" si="110"/>
        <v>1.3093073492160699E-3</v>
      </c>
      <c r="J1037">
        <f t="shared" si="111"/>
        <v>0.48794599807135969</v>
      </c>
      <c r="K1037">
        <f t="shared" si="112"/>
        <v>0.64417568427753014</v>
      </c>
      <c r="L1037">
        <f>A1037*COUNTIF(data!D:D,data!$I$2)/data!$L$2</f>
        <v>440.11455847255371</v>
      </c>
      <c r="M1037" s="1">
        <f>A1037/data!$L$2</f>
        <v>0.8241845664280032</v>
      </c>
      <c r="N1037">
        <f t="shared" si="113"/>
        <v>1.1497006637456075</v>
      </c>
    </row>
    <row r="1038" spans="1:14" x14ac:dyDescent="0.2">
      <c r="A1038">
        <v>1037</v>
      </c>
      <c r="B1038">
        <f>LARGE(data!F:F,A1038)</f>
        <v>0.191807857</v>
      </c>
      <c r="C1038">
        <f>COUNTIFS(data!D:D,data!$I$2,data!F:F,"&gt;="&amp;B1038)</f>
        <v>506</v>
      </c>
      <c r="D1038">
        <f>COUNTIFS(data!D:D,data!$J$2,data!F:F,"&gt;="&amp;B1038)</f>
        <v>531</v>
      </c>
      <c r="E1038">
        <f>COUNTIFS(data!D:D,data!$J$2,data!F:F,"&lt;"&amp;B1038)</f>
        <v>192</v>
      </c>
      <c r="F1038">
        <f>COUNTIFS(data!D:D,data!$I$2,data!F:F,"&lt;"&amp;B1038)</f>
        <v>28</v>
      </c>
      <c r="G1038">
        <f t="shared" si="108"/>
        <v>0.73443983402489632</v>
      </c>
      <c r="H1038">
        <f t="shared" si="109"/>
        <v>0.94756554307116103</v>
      </c>
      <c r="I1038">
        <f t="shared" si="110"/>
        <v>0</v>
      </c>
      <c r="J1038">
        <f t="shared" si="111"/>
        <v>0.48794599807135969</v>
      </c>
      <c r="K1038">
        <f t="shared" si="112"/>
        <v>0.64417568427753014</v>
      </c>
      <c r="L1038">
        <f>A1038*COUNTIF(data!D:D,data!$I$2)/data!$L$2</f>
        <v>440.53937947494035</v>
      </c>
      <c r="M1038" s="1">
        <f>A1038/data!$L$2</f>
        <v>0.82498011137629279</v>
      </c>
      <c r="N1038">
        <f t="shared" si="113"/>
        <v>1.1485919842241556</v>
      </c>
    </row>
    <row r="1039" spans="1:14" x14ac:dyDescent="0.2">
      <c r="A1039">
        <v>1038</v>
      </c>
      <c r="B1039">
        <f>LARGE(data!F:F,A1039)</f>
        <v>0.19140435310000001</v>
      </c>
      <c r="C1039">
        <f>COUNTIFS(data!D:D,data!$I$2,data!F:F,"&gt;="&amp;B1039)</f>
        <v>506</v>
      </c>
      <c r="D1039">
        <f>COUNTIFS(data!D:D,data!$J$2,data!F:F,"&gt;="&amp;B1039)</f>
        <v>532</v>
      </c>
      <c r="E1039">
        <f>COUNTIFS(data!D:D,data!$J$2,data!F:F,"&lt;"&amp;B1039)</f>
        <v>191</v>
      </c>
      <c r="F1039">
        <f>COUNTIFS(data!D:D,data!$I$2,data!F:F,"&lt;"&amp;B1039)</f>
        <v>28</v>
      </c>
      <c r="G1039">
        <f t="shared" si="108"/>
        <v>0.73582295988934998</v>
      </c>
      <c r="H1039">
        <f t="shared" si="109"/>
        <v>0.94756554307116103</v>
      </c>
      <c r="I1039">
        <f t="shared" si="110"/>
        <v>1.3106024108868017E-3</v>
      </c>
      <c r="J1039">
        <f t="shared" si="111"/>
        <v>0.48747591522157996</v>
      </c>
      <c r="K1039">
        <f t="shared" si="112"/>
        <v>0.64376590330788797</v>
      </c>
      <c r="L1039">
        <f>A1039*COUNTIF(data!D:D,data!$I$2)/data!$L$2</f>
        <v>440.96420047732698</v>
      </c>
      <c r="M1039" s="1">
        <f>A1039/data!$L$2</f>
        <v>0.82577565632458239</v>
      </c>
      <c r="N1039">
        <f t="shared" si="113"/>
        <v>1.1474854408867527</v>
      </c>
    </row>
    <row r="1040" spans="1:14" x14ac:dyDescent="0.2">
      <c r="A1040">
        <v>1039</v>
      </c>
      <c r="B1040">
        <f>LARGE(data!F:F,A1040)</f>
        <v>0.19065200090000001</v>
      </c>
      <c r="C1040">
        <f>COUNTIFS(data!D:D,data!$I$2,data!F:F,"&gt;="&amp;B1040)</f>
        <v>506</v>
      </c>
      <c r="D1040">
        <f>COUNTIFS(data!D:D,data!$J$2,data!F:F,"&gt;="&amp;B1040)</f>
        <v>533</v>
      </c>
      <c r="E1040">
        <f>COUNTIFS(data!D:D,data!$J$2,data!F:F,"&lt;"&amp;B1040)</f>
        <v>190</v>
      </c>
      <c r="F1040">
        <f>COUNTIFS(data!D:D,data!$I$2,data!F:F,"&lt;"&amp;B1040)</f>
        <v>28</v>
      </c>
      <c r="G1040">
        <f t="shared" si="108"/>
        <v>0.73720608575380364</v>
      </c>
      <c r="H1040">
        <f t="shared" si="109"/>
        <v>0.94756554307116103</v>
      </c>
      <c r="I1040">
        <f t="shared" si="110"/>
        <v>1.3106024108868017E-3</v>
      </c>
      <c r="J1040">
        <f t="shared" si="111"/>
        <v>0.48700673724735322</v>
      </c>
      <c r="K1040">
        <f t="shared" si="112"/>
        <v>0.64335664335664322</v>
      </c>
      <c r="L1040">
        <f>A1040*COUNTIF(data!D:D,data!$I$2)/data!$L$2</f>
        <v>441.38902147971362</v>
      </c>
      <c r="M1040" s="1">
        <f>A1040/data!$L$2</f>
        <v>0.82657120127287187</v>
      </c>
      <c r="N1040">
        <f t="shared" si="113"/>
        <v>1.1463810275653989</v>
      </c>
    </row>
    <row r="1041" spans="1:14" x14ac:dyDescent="0.2">
      <c r="A1041">
        <v>1040</v>
      </c>
      <c r="B1041">
        <f>LARGE(data!F:F,A1041)</f>
        <v>0.18962557920000001</v>
      </c>
      <c r="C1041">
        <f>COUNTIFS(data!D:D,data!$I$2,data!F:F,"&gt;="&amp;B1041)</f>
        <v>506</v>
      </c>
      <c r="D1041">
        <f>COUNTIFS(data!D:D,data!$J$2,data!F:F,"&gt;="&amp;B1041)</f>
        <v>534</v>
      </c>
      <c r="E1041">
        <f>COUNTIFS(data!D:D,data!$J$2,data!F:F,"&lt;"&amp;B1041)</f>
        <v>189</v>
      </c>
      <c r="F1041">
        <f>COUNTIFS(data!D:D,data!$I$2,data!F:F,"&lt;"&amp;B1041)</f>
        <v>28</v>
      </c>
      <c r="G1041">
        <f t="shared" si="108"/>
        <v>0.7385892116182573</v>
      </c>
      <c r="H1041">
        <f t="shared" si="109"/>
        <v>0.94756554307116103</v>
      </c>
      <c r="I1041">
        <f t="shared" si="110"/>
        <v>1.3106024108868017E-3</v>
      </c>
      <c r="J1041">
        <f t="shared" si="111"/>
        <v>0.48653846153846153</v>
      </c>
      <c r="K1041">
        <f t="shared" si="112"/>
        <v>0.6429479034307497</v>
      </c>
      <c r="L1041">
        <f>A1041*COUNTIF(data!D:D,data!$I$2)/data!$L$2</f>
        <v>441.81384248210026</v>
      </c>
      <c r="M1041" s="1">
        <f>A1041/data!$L$2</f>
        <v>0.82736674622116146</v>
      </c>
      <c r="N1041">
        <f t="shared" si="113"/>
        <v>1.1452787381158167</v>
      </c>
    </row>
    <row r="1042" spans="1:14" x14ac:dyDescent="0.2">
      <c r="A1042">
        <v>1041</v>
      </c>
      <c r="B1042">
        <f>LARGE(data!F:F,A1042)</f>
        <v>0.18935247699999999</v>
      </c>
      <c r="C1042">
        <f>COUNTIFS(data!D:D,data!$I$2,data!F:F,"&gt;="&amp;B1042)</f>
        <v>506</v>
      </c>
      <c r="D1042">
        <f>COUNTIFS(data!D:D,data!$J$2,data!F:F,"&gt;="&amp;B1042)</f>
        <v>535</v>
      </c>
      <c r="E1042">
        <f>COUNTIFS(data!D:D,data!$J$2,data!F:F,"&lt;"&amp;B1042)</f>
        <v>188</v>
      </c>
      <c r="F1042">
        <f>COUNTIFS(data!D:D,data!$I$2,data!F:F,"&lt;"&amp;B1042)</f>
        <v>28</v>
      </c>
      <c r="G1042">
        <f t="shared" si="108"/>
        <v>0.73997233748271096</v>
      </c>
      <c r="H1042">
        <f t="shared" si="109"/>
        <v>0.94756554307116103</v>
      </c>
      <c r="I1042">
        <f t="shared" si="110"/>
        <v>1.3106024108868017E-3</v>
      </c>
      <c r="J1042">
        <f t="shared" si="111"/>
        <v>0.48607108549471661</v>
      </c>
      <c r="K1042">
        <f t="shared" si="112"/>
        <v>0.64253968253968252</v>
      </c>
      <c r="L1042">
        <f>A1042*COUNTIF(data!D:D,data!$I$2)/data!$L$2</f>
        <v>442.23866348448689</v>
      </c>
      <c r="M1042" s="1">
        <f>A1042/data!$L$2</f>
        <v>0.82816229116945106</v>
      </c>
      <c r="N1042">
        <f t="shared" si="113"/>
        <v>1.1441785664173385</v>
      </c>
    </row>
    <row r="1043" spans="1:14" x14ac:dyDescent="0.2">
      <c r="A1043">
        <v>1042</v>
      </c>
      <c r="B1043">
        <f>LARGE(data!F:F,A1043)</f>
        <v>0.1890608627</v>
      </c>
      <c r="C1043">
        <f>COUNTIFS(data!D:D,data!$I$2,data!F:F,"&gt;="&amp;B1043)</f>
        <v>506</v>
      </c>
      <c r="D1043">
        <f>COUNTIFS(data!D:D,data!$J$2,data!F:F,"&gt;="&amp;B1043)</f>
        <v>536</v>
      </c>
      <c r="E1043">
        <f>COUNTIFS(data!D:D,data!$J$2,data!F:F,"&lt;"&amp;B1043)</f>
        <v>187</v>
      </c>
      <c r="F1043">
        <f>COUNTIFS(data!D:D,data!$I$2,data!F:F,"&lt;"&amp;B1043)</f>
        <v>28</v>
      </c>
      <c r="G1043">
        <f t="shared" si="108"/>
        <v>0.74135546334716462</v>
      </c>
      <c r="H1043">
        <f t="shared" si="109"/>
        <v>0.94756554307116103</v>
      </c>
      <c r="I1043">
        <f t="shared" si="110"/>
        <v>1.3106024108868017E-3</v>
      </c>
      <c r="J1043">
        <f t="shared" si="111"/>
        <v>0.4856046065259117</v>
      </c>
      <c r="K1043">
        <f t="shared" si="112"/>
        <v>0.64213197969543145</v>
      </c>
      <c r="L1043">
        <f>A1043*COUNTIF(data!D:D,data!$I$2)/data!$L$2</f>
        <v>442.66348448687353</v>
      </c>
      <c r="M1043" s="1">
        <f>A1043/data!$L$2</f>
        <v>0.82895783611774065</v>
      </c>
      <c r="N1043">
        <f t="shared" si="113"/>
        <v>1.143080506372792</v>
      </c>
    </row>
    <row r="1044" spans="1:14" x14ac:dyDescent="0.2">
      <c r="A1044">
        <v>1043</v>
      </c>
      <c r="B1044">
        <f>LARGE(data!F:F,A1044)</f>
        <v>0.188908723</v>
      </c>
      <c r="C1044">
        <f>COUNTIFS(data!D:D,data!$I$2,data!F:F,"&gt;="&amp;B1044)</f>
        <v>506</v>
      </c>
      <c r="D1044">
        <f>COUNTIFS(data!D:D,data!$J$2,data!F:F,"&gt;="&amp;B1044)</f>
        <v>537</v>
      </c>
      <c r="E1044">
        <f>COUNTIFS(data!D:D,data!$J$2,data!F:F,"&lt;"&amp;B1044)</f>
        <v>186</v>
      </c>
      <c r="F1044">
        <f>COUNTIFS(data!D:D,data!$I$2,data!F:F,"&lt;"&amp;B1044)</f>
        <v>28</v>
      </c>
      <c r="G1044">
        <f t="shared" si="108"/>
        <v>0.74273858921161828</v>
      </c>
      <c r="H1044">
        <f t="shared" si="109"/>
        <v>0.94756554307116103</v>
      </c>
      <c r="I1044">
        <f t="shared" si="110"/>
        <v>1.3106024108868017E-3</v>
      </c>
      <c r="J1044">
        <f t="shared" si="111"/>
        <v>0.48513902205177373</v>
      </c>
      <c r="K1044">
        <f t="shared" si="112"/>
        <v>0.64172479391249204</v>
      </c>
      <c r="L1044">
        <f>A1044*COUNTIF(data!D:D,data!$I$2)/data!$L$2</f>
        <v>443.08830548926016</v>
      </c>
      <c r="M1044" s="1">
        <f>A1044/data!$L$2</f>
        <v>0.82975338106603025</v>
      </c>
      <c r="N1044">
        <f t="shared" si="113"/>
        <v>1.1419845519083887</v>
      </c>
    </row>
    <row r="1045" spans="1:14" x14ac:dyDescent="0.2">
      <c r="A1045">
        <v>1044</v>
      </c>
      <c r="B1045">
        <f>LARGE(data!F:F,A1045)</f>
        <v>0.18868115620000001</v>
      </c>
      <c r="C1045">
        <f>COUNTIFS(data!D:D,data!$I$2,data!F:F,"&gt;="&amp;B1045)</f>
        <v>506</v>
      </c>
      <c r="D1045">
        <f>COUNTIFS(data!D:D,data!$J$2,data!F:F,"&gt;="&amp;B1045)</f>
        <v>538</v>
      </c>
      <c r="E1045">
        <f>COUNTIFS(data!D:D,data!$J$2,data!F:F,"&lt;"&amp;B1045)</f>
        <v>185</v>
      </c>
      <c r="F1045">
        <f>COUNTIFS(data!D:D,data!$I$2,data!F:F,"&lt;"&amp;B1045)</f>
        <v>28</v>
      </c>
      <c r="G1045">
        <f t="shared" si="108"/>
        <v>0.74412171507607194</v>
      </c>
      <c r="H1045">
        <f t="shared" si="109"/>
        <v>0.94756554307116103</v>
      </c>
      <c r="I1045">
        <f t="shared" si="110"/>
        <v>1.3106024108868017E-3</v>
      </c>
      <c r="J1045">
        <f t="shared" si="111"/>
        <v>0.48467432950191569</v>
      </c>
      <c r="K1045">
        <f t="shared" si="112"/>
        <v>0.64131812420785794</v>
      </c>
      <c r="L1045">
        <f>A1045*COUNTIF(data!D:D,data!$I$2)/data!$L$2</f>
        <v>443.5131264916468</v>
      </c>
      <c r="M1045" s="1">
        <f>A1045/data!$L$2</f>
        <v>0.83054892601431984</v>
      </c>
      <c r="N1045">
        <f t="shared" si="113"/>
        <v>1.1408906969736106</v>
      </c>
    </row>
    <row r="1046" spans="1:14" x14ac:dyDescent="0.2">
      <c r="A1046">
        <v>1045</v>
      </c>
      <c r="B1046">
        <f>LARGE(data!F:F,A1046)</f>
        <v>0.18663754399999999</v>
      </c>
      <c r="C1046">
        <f>COUNTIFS(data!D:D,data!$I$2,data!F:F,"&gt;="&amp;B1046)</f>
        <v>506</v>
      </c>
      <c r="D1046">
        <f>COUNTIFS(data!D:D,data!$J$2,data!F:F,"&gt;="&amp;B1046)</f>
        <v>539</v>
      </c>
      <c r="E1046">
        <f>COUNTIFS(data!D:D,data!$J$2,data!F:F,"&lt;"&amp;B1046)</f>
        <v>184</v>
      </c>
      <c r="F1046">
        <f>COUNTIFS(data!D:D,data!$I$2,data!F:F,"&lt;"&amp;B1046)</f>
        <v>28</v>
      </c>
      <c r="G1046">
        <f t="shared" si="108"/>
        <v>0.7455048409405256</v>
      </c>
      <c r="H1046">
        <f t="shared" si="109"/>
        <v>0.94756554307116103</v>
      </c>
      <c r="I1046">
        <f t="shared" si="110"/>
        <v>1.3106024108868017E-3</v>
      </c>
      <c r="J1046">
        <f t="shared" si="111"/>
        <v>0.48421052631578948</v>
      </c>
      <c r="K1046">
        <f t="shared" si="112"/>
        <v>0.64091196960101326</v>
      </c>
      <c r="L1046">
        <f>A1046*COUNTIF(data!D:D,data!$I$2)/data!$L$2</f>
        <v>443.93794749403344</v>
      </c>
      <c r="M1046" s="1">
        <f>A1046/data!$L$2</f>
        <v>0.83134447096260944</v>
      </c>
      <c r="N1046">
        <f t="shared" si="113"/>
        <v>1.1397989355410998</v>
      </c>
    </row>
    <row r="1047" spans="1:14" x14ac:dyDescent="0.2">
      <c r="A1047">
        <v>1046</v>
      </c>
      <c r="B1047">
        <f>LARGE(data!F:F,A1047)</f>
        <v>0.18524517030000001</v>
      </c>
      <c r="C1047">
        <f>COUNTIFS(data!D:D,data!$I$2,data!F:F,"&gt;="&amp;B1047)</f>
        <v>506</v>
      </c>
      <c r="D1047">
        <f>COUNTIFS(data!D:D,data!$J$2,data!F:F,"&gt;="&amp;B1047)</f>
        <v>540</v>
      </c>
      <c r="E1047">
        <f>COUNTIFS(data!D:D,data!$J$2,data!F:F,"&lt;"&amp;B1047)</f>
        <v>183</v>
      </c>
      <c r="F1047">
        <f>COUNTIFS(data!D:D,data!$I$2,data!F:F,"&lt;"&amp;B1047)</f>
        <v>28</v>
      </c>
      <c r="G1047">
        <f t="shared" si="108"/>
        <v>0.74688796680497926</v>
      </c>
      <c r="H1047">
        <f t="shared" si="109"/>
        <v>0.94756554307116103</v>
      </c>
      <c r="I1047">
        <f t="shared" si="110"/>
        <v>1.3106024108868017E-3</v>
      </c>
      <c r="J1047">
        <f t="shared" si="111"/>
        <v>0.4837476099426386</v>
      </c>
      <c r="K1047">
        <f t="shared" si="112"/>
        <v>0.64050632911392402</v>
      </c>
      <c r="L1047">
        <f>A1047*COUNTIF(data!D:D,data!$I$2)/data!$L$2</f>
        <v>444.36276849642007</v>
      </c>
      <c r="M1047" s="1">
        <f>A1047/data!$L$2</f>
        <v>0.83214001591089892</v>
      </c>
      <c r="N1047">
        <f t="shared" si="113"/>
        <v>1.1387092616065482</v>
      </c>
    </row>
    <row r="1048" spans="1:14" x14ac:dyDescent="0.2">
      <c r="A1048">
        <v>1047</v>
      </c>
      <c r="B1048">
        <f>LARGE(data!F:F,A1048)</f>
        <v>0.18507019089999999</v>
      </c>
      <c r="C1048">
        <f>COUNTIFS(data!D:D,data!$I$2,data!F:F,"&gt;="&amp;B1048)</f>
        <v>507</v>
      </c>
      <c r="D1048">
        <f>COUNTIFS(data!D:D,data!$J$2,data!F:F,"&gt;="&amp;B1048)</f>
        <v>540</v>
      </c>
      <c r="E1048">
        <f>COUNTIFS(data!D:D,data!$J$2,data!F:F,"&lt;"&amp;B1048)</f>
        <v>183</v>
      </c>
      <c r="F1048">
        <f>COUNTIFS(data!D:D,data!$I$2,data!F:F,"&lt;"&amp;B1048)</f>
        <v>27</v>
      </c>
      <c r="G1048">
        <f t="shared" si="108"/>
        <v>0.74688796680497926</v>
      </c>
      <c r="H1048">
        <f t="shared" si="109"/>
        <v>0.949438202247191</v>
      </c>
      <c r="I1048">
        <f t="shared" si="110"/>
        <v>0</v>
      </c>
      <c r="J1048">
        <f t="shared" si="111"/>
        <v>0.48424068767908307</v>
      </c>
      <c r="K1048">
        <f t="shared" si="112"/>
        <v>0.6413662239089184</v>
      </c>
      <c r="L1048">
        <f>A1048*COUNTIF(data!D:D,data!$I$2)/data!$L$2</f>
        <v>444.78758949880671</v>
      </c>
      <c r="M1048" s="1">
        <f>A1048/data!$L$2</f>
        <v>0.83293556085918852</v>
      </c>
      <c r="N1048">
        <f t="shared" si="113"/>
        <v>1.1398699333569426</v>
      </c>
    </row>
    <row r="1049" spans="1:14" x14ac:dyDescent="0.2">
      <c r="A1049">
        <v>1048</v>
      </c>
      <c r="B1049">
        <f>LARGE(data!F:F,A1049)</f>
        <v>0.18483619070000001</v>
      </c>
      <c r="C1049">
        <f>COUNTIFS(data!D:D,data!$I$2,data!F:F,"&gt;="&amp;B1049)</f>
        <v>507</v>
      </c>
      <c r="D1049">
        <f>COUNTIFS(data!D:D,data!$J$2,data!F:F,"&gt;="&amp;B1049)</f>
        <v>541</v>
      </c>
      <c r="E1049">
        <f>COUNTIFS(data!D:D,data!$J$2,data!F:F,"&lt;"&amp;B1049)</f>
        <v>182</v>
      </c>
      <c r="F1049">
        <f>COUNTIFS(data!D:D,data!$I$2,data!F:F,"&lt;"&amp;B1049)</f>
        <v>27</v>
      </c>
      <c r="G1049">
        <f t="shared" si="108"/>
        <v>0.74827109266943292</v>
      </c>
      <c r="H1049">
        <f t="shared" si="109"/>
        <v>0.949438202247191</v>
      </c>
      <c r="I1049">
        <f t="shared" si="110"/>
        <v>1.3131925342284752E-3</v>
      </c>
      <c r="J1049">
        <f t="shared" si="111"/>
        <v>0.48377862595419846</v>
      </c>
      <c r="K1049">
        <f t="shared" si="112"/>
        <v>0.64096080910240194</v>
      </c>
      <c r="L1049">
        <f>A1049*COUNTIF(data!D:D,data!$I$2)/data!$L$2</f>
        <v>445.21241050119329</v>
      </c>
      <c r="M1049" s="1">
        <f>A1049/data!$L$2</f>
        <v>0.83373110580747811</v>
      </c>
      <c r="N1049">
        <f t="shared" si="113"/>
        <v>1.1387822712067932</v>
      </c>
    </row>
    <row r="1050" spans="1:14" x14ac:dyDescent="0.2">
      <c r="A1050">
        <v>1049</v>
      </c>
      <c r="B1050">
        <f>LARGE(data!F:F,A1050)</f>
        <v>0.18473867620000001</v>
      </c>
      <c r="C1050">
        <f>COUNTIFS(data!D:D,data!$I$2,data!F:F,"&gt;="&amp;B1050)</f>
        <v>507</v>
      </c>
      <c r="D1050">
        <f>COUNTIFS(data!D:D,data!$J$2,data!F:F,"&gt;="&amp;B1050)</f>
        <v>542</v>
      </c>
      <c r="E1050">
        <f>COUNTIFS(data!D:D,data!$J$2,data!F:F,"&lt;"&amp;B1050)</f>
        <v>181</v>
      </c>
      <c r="F1050">
        <f>COUNTIFS(data!D:D,data!$I$2,data!F:F,"&lt;"&amp;B1050)</f>
        <v>27</v>
      </c>
      <c r="G1050">
        <f t="shared" si="108"/>
        <v>0.74965421853388658</v>
      </c>
      <c r="H1050">
        <f t="shared" si="109"/>
        <v>0.949438202247191</v>
      </c>
      <c r="I1050">
        <f t="shared" si="110"/>
        <v>1.3131925342284752E-3</v>
      </c>
      <c r="J1050">
        <f t="shared" si="111"/>
        <v>0.48331744518589131</v>
      </c>
      <c r="K1050">
        <f t="shared" si="112"/>
        <v>0.64055590650663297</v>
      </c>
      <c r="L1050">
        <f>A1050*COUNTIF(data!D:D,data!$I$2)/data!$L$2</f>
        <v>445.63723150357993</v>
      </c>
      <c r="M1050" s="1">
        <f>A1050/data!$L$2</f>
        <v>0.83452665075576771</v>
      </c>
      <c r="N1050">
        <f t="shared" si="113"/>
        <v>1.1376966827690365</v>
      </c>
    </row>
    <row r="1051" spans="1:14" x14ac:dyDescent="0.2">
      <c r="A1051">
        <v>1050</v>
      </c>
      <c r="B1051">
        <f>LARGE(data!F:F,A1051)</f>
        <v>0.18471239079999999</v>
      </c>
      <c r="C1051">
        <f>COUNTIFS(data!D:D,data!$I$2,data!F:F,"&gt;="&amp;B1051)</f>
        <v>507</v>
      </c>
      <c r="D1051">
        <f>COUNTIFS(data!D:D,data!$J$2,data!F:F,"&gt;="&amp;B1051)</f>
        <v>543</v>
      </c>
      <c r="E1051">
        <f>COUNTIFS(data!D:D,data!$J$2,data!F:F,"&lt;"&amp;B1051)</f>
        <v>180</v>
      </c>
      <c r="F1051">
        <f>COUNTIFS(data!D:D,data!$I$2,data!F:F,"&lt;"&amp;B1051)</f>
        <v>27</v>
      </c>
      <c r="G1051">
        <f t="shared" ref="G1051:G1114" si="114">D1051/(E1051+D1051)</f>
        <v>0.75103734439834025</v>
      </c>
      <c r="H1051">
        <f t="shared" ref="H1051:H1114" si="115">C1051/(C1051+F1051)</f>
        <v>0.949438202247191</v>
      </c>
      <c r="I1051">
        <f t="shared" ref="I1051:I1114" si="116">(G1051-G1050)*(H1051+H1050)*0.5</f>
        <v>1.3131925342284752E-3</v>
      </c>
      <c r="J1051">
        <f t="shared" ref="J1051:J1114" si="117">C1051/(C1051+D1051)</f>
        <v>0.48285714285714287</v>
      </c>
      <c r="K1051">
        <f t="shared" ref="K1051:K1114" si="118">2*J1051*H1051/(J1051+H1051)</f>
        <v>0.64015151515151514</v>
      </c>
      <c r="L1051">
        <f>A1051*COUNTIF(data!D:D,data!$I$2)/data!$L$2</f>
        <v>446.06205250596656</v>
      </c>
      <c r="M1051" s="1">
        <f>A1051/data!$L$2</f>
        <v>0.8353221957040573</v>
      </c>
      <c r="N1051">
        <f t="shared" ref="N1051:N1114" si="119">C1051/L1051</f>
        <v>1.1366131621187801</v>
      </c>
    </row>
    <row r="1052" spans="1:14" x14ac:dyDescent="0.2">
      <c r="A1052">
        <v>1051</v>
      </c>
      <c r="B1052">
        <f>LARGE(data!F:F,A1052)</f>
        <v>0.18454334319999999</v>
      </c>
      <c r="C1052">
        <f>COUNTIFS(data!D:D,data!$I$2,data!F:F,"&gt;="&amp;B1052)</f>
        <v>507</v>
      </c>
      <c r="D1052">
        <f>COUNTIFS(data!D:D,data!$J$2,data!F:F,"&gt;="&amp;B1052)</f>
        <v>544</v>
      </c>
      <c r="E1052">
        <f>COUNTIFS(data!D:D,data!$J$2,data!F:F,"&lt;"&amp;B1052)</f>
        <v>179</v>
      </c>
      <c r="F1052">
        <f>COUNTIFS(data!D:D,data!$I$2,data!F:F,"&lt;"&amp;B1052)</f>
        <v>27</v>
      </c>
      <c r="G1052">
        <f t="shared" si="114"/>
        <v>0.75242047026279391</v>
      </c>
      <c r="H1052">
        <f t="shared" si="115"/>
        <v>0.949438202247191</v>
      </c>
      <c r="I1052">
        <f t="shared" si="116"/>
        <v>1.3131925342284752E-3</v>
      </c>
      <c r="J1052">
        <f t="shared" si="117"/>
        <v>0.48239771646051377</v>
      </c>
      <c r="K1052">
        <f t="shared" si="118"/>
        <v>0.63974763406940061</v>
      </c>
      <c r="L1052">
        <f>A1052*COUNTIF(data!D:D,data!$I$2)/data!$L$2</f>
        <v>446.4868735083532</v>
      </c>
      <c r="M1052" s="1">
        <f>A1052/data!$L$2</f>
        <v>0.8361177406523469</v>
      </c>
      <c r="N1052">
        <f t="shared" si="119"/>
        <v>1.1355317033536814</v>
      </c>
    </row>
    <row r="1053" spans="1:14" x14ac:dyDescent="0.2">
      <c r="A1053">
        <v>1052</v>
      </c>
      <c r="B1053">
        <f>LARGE(data!F:F,A1053)</f>
        <v>0.1843030041</v>
      </c>
      <c r="C1053">
        <f>COUNTIFS(data!D:D,data!$I$2,data!F:F,"&gt;="&amp;B1053)</f>
        <v>507</v>
      </c>
      <c r="D1053">
        <f>COUNTIFS(data!D:D,data!$J$2,data!F:F,"&gt;="&amp;B1053)</f>
        <v>545</v>
      </c>
      <c r="E1053">
        <f>COUNTIFS(data!D:D,data!$J$2,data!F:F,"&lt;"&amp;B1053)</f>
        <v>178</v>
      </c>
      <c r="F1053">
        <f>COUNTIFS(data!D:D,data!$I$2,data!F:F,"&lt;"&amp;B1053)</f>
        <v>27</v>
      </c>
      <c r="G1053">
        <f t="shared" si="114"/>
        <v>0.75380359612724757</v>
      </c>
      <c r="H1053">
        <f t="shared" si="115"/>
        <v>0.949438202247191</v>
      </c>
      <c r="I1053">
        <f t="shared" si="116"/>
        <v>1.3131925342284752E-3</v>
      </c>
      <c r="J1053">
        <f t="shared" si="117"/>
        <v>0.48193916349809884</v>
      </c>
      <c r="K1053">
        <f t="shared" si="118"/>
        <v>0.6393442622950819</v>
      </c>
      <c r="L1053">
        <f>A1053*COUNTIF(data!D:D,data!$I$2)/data!$L$2</f>
        <v>446.91169451073984</v>
      </c>
      <c r="M1053" s="1">
        <f>A1053/data!$L$2</f>
        <v>0.83691328560063638</v>
      </c>
      <c r="N1053">
        <f t="shared" si="119"/>
        <v>1.1344523005938396</v>
      </c>
    </row>
    <row r="1054" spans="1:14" x14ac:dyDescent="0.2">
      <c r="A1054">
        <v>1053</v>
      </c>
      <c r="B1054">
        <f>LARGE(data!F:F,A1054)</f>
        <v>0.18428922480000001</v>
      </c>
      <c r="C1054">
        <f>COUNTIFS(data!D:D,data!$I$2,data!F:F,"&gt;="&amp;B1054)</f>
        <v>507</v>
      </c>
      <c r="D1054">
        <f>COUNTIFS(data!D:D,data!$J$2,data!F:F,"&gt;="&amp;B1054)</f>
        <v>546</v>
      </c>
      <c r="E1054">
        <f>COUNTIFS(data!D:D,data!$J$2,data!F:F,"&lt;"&amp;B1054)</f>
        <v>177</v>
      </c>
      <c r="F1054">
        <f>COUNTIFS(data!D:D,data!$I$2,data!F:F,"&lt;"&amp;B1054)</f>
        <v>27</v>
      </c>
      <c r="G1054">
        <f t="shared" si="114"/>
        <v>0.75518672199170123</v>
      </c>
      <c r="H1054">
        <f t="shared" si="115"/>
        <v>0.949438202247191</v>
      </c>
      <c r="I1054">
        <f t="shared" si="116"/>
        <v>1.3131925342284752E-3</v>
      </c>
      <c r="J1054">
        <f t="shared" si="117"/>
        <v>0.48148148148148145</v>
      </c>
      <c r="K1054">
        <f t="shared" si="118"/>
        <v>0.63894139886578449</v>
      </c>
      <c r="L1054">
        <f>A1054*COUNTIF(data!D:D,data!$I$2)/data!$L$2</f>
        <v>447.33651551312647</v>
      </c>
      <c r="M1054" s="1">
        <f>A1054/data!$L$2</f>
        <v>0.83770883054892598</v>
      </c>
      <c r="N1054">
        <f t="shared" si="119"/>
        <v>1.1333749479816897</v>
      </c>
    </row>
    <row r="1055" spans="1:14" x14ac:dyDescent="0.2">
      <c r="A1055">
        <v>1054</v>
      </c>
      <c r="B1055">
        <f>LARGE(data!F:F,A1055)</f>
        <v>0.18425719900000001</v>
      </c>
      <c r="C1055">
        <f>COUNTIFS(data!D:D,data!$I$2,data!F:F,"&gt;="&amp;B1055)</f>
        <v>507</v>
      </c>
      <c r="D1055">
        <f>COUNTIFS(data!D:D,data!$J$2,data!F:F,"&gt;="&amp;B1055)</f>
        <v>547</v>
      </c>
      <c r="E1055">
        <f>COUNTIFS(data!D:D,data!$J$2,data!F:F,"&lt;"&amp;B1055)</f>
        <v>176</v>
      </c>
      <c r="F1055">
        <f>COUNTIFS(data!D:D,data!$I$2,data!F:F,"&lt;"&amp;B1055)</f>
        <v>27</v>
      </c>
      <c r="G1055">
        <f t="shared" si="114"/>
        <v>0.75656984785615489</v>
      </c>
      <c r="H1055">
        <f t="shared" si="115"/>
        <v>0.949438202247191</v>
      </c>
      <c r="I1055">
        <f t="shared" si="116"/>
        <v>1.3131925342284752E-3</v>
      </c>
      <c r="J1055">
        <f t="shared" si="117"/>
        <v>0.4810246679316888</v>
      </c>
      <c r="K1055">
        <f t="shared" si="118"/>
        <v>0.6385390428211587</v>
      </c>
      <c r="L1055">
        <f>A1055*COUNTIF(data!D:D,data!$I$2)/data!$L$2</f>
        <v>447.76133651551311</v>
      </c>
      <c r="M1055" s="1">
        <f>A1055/data!$L$2</f>
        <v>0.83850437549721557</v>
      </c>
      <c r="N1055">
        <f t="shared" si="119"/>
        <v>1.1322996396818967</v>
      </c>
    </row>
    <row r="1056" spans="1:14" x14ac:dyDescent="0.2">
      <c r="A1056">
        <v>1055</v>
      </c>
      <c r="B1056">
        <f>LARGE(data!F:F,A1056)</f>
        <v>0.18389357449999999</v>
      </c>
      <c r="C1056">
        <f>COUNTIFS(data!D:D,data!$I$2,data!F:F,"&gt;="&amp;B1056)</f>
        <v>507</v>
      </c>
      <c r="D1056">
        <f>COUNTIFS(data!D:D,data!$J$2,data!F:F,"&gt;="&amp;B1056)</f>
        <v>548</v>
      </c>
      <c r="E1056">
        <f>COUNTIFS(data!D:D,data!$J$2,data!F:F,"&lt;"&amp;B1056)</f>
        <v>175</v>
      </c>
      <c r="F1056">
        <f>COUNTIFS(data!D:D,data!$I$2,data!F:F,"&lt;"&amp;B1056)</f>
        <v>27</v>
      </c>
      <c r="G1056">
        <f t="shared" si="114"/>
        <v>0.75795297372060855</v>
      </c>
      <c r="H1056">
        <f t="shared" si="115"/>
        <v>0.949438202247191</v>
      </c>
      <c r="I1056">
        <f t="shared" si="116"/>
        <v>1.3131925342284752E-3</v>
      </c>
      <c r="J1056">
        <f t="shared" si="117"/>
        <v>0.48056872037914694</v>
      </c>
      <c r="K1056">
        <f t="shared" si="118"/>
        <v>0.63813719320327256</v>
      </c>
      <c r="L1056">
        <f>A1056*COUNTIF(data!D:D,data!$I$2)/data!$L$2</f>
        <v>448.18615751789974</v>
      </c>
      <c r="M1056" s="1">
        <f>A1056/data!$L$2</f>
        <v>0.83929992044550517</v>
      </c>
      <c r="N1056">
        <f t="shared" si="119"/>
        <v>1.1312263698812504</v>
      </c>
    </row>
    <row r="1057" spans="1:14" x14ac:dyDescent="0.2">
      <c r="A1057">
        <v>1056</v>
      </c>
      <c r="B1057">
        <f>LARGE(data!F:F,A1057)</f>
        <v>0.18376234659999999</v>
      </c>
      <c r="C1057">
        <f>COUNTIFS(data!D:D,data!$I$2,data!F:F,"&gt;="&amp;B1057)</f>
        <v>507</v>
      </c>
      <c r="D1057">
        <f>COUNTIFS(data!D:D,data!$J$2,data!F:F,"&gt;="&amp;B1057)</f>
        <v>549</v>
      </c>
      <c r="E1057">
        <f>COUNTIFS(data!D:D,data!$J$2,data!F:F,"&lt;"&amp;B1057)</f>
        <v>174</v>
      </c>
      <c r="F1057">
        <f>COUNTIFS(data!D:D,data!$I$2,data!F:F,"&lt;"&amp;B1057)</f>
        <v>27</v>
      </c>
      <c r="G1057">
        <f t="shared" si="114"/>
        <v>0.75933609958506221</v>
      </c>
      <c r="H1057">
        <f t="shared" si="115"/>
        <v>0.949438202247191</v>
      </c>
      <c r="I1057">
        <f t="shared" si="116"/>
        <v>1.3131925342284752E-3</v>
      </c>
      <c r="J1057">
        <f t="shared" si="117"/>
        <v>0.48011363636363635</v>
      </c>
      <c r="K1057">
        <f t="shared" si="118"/>
        <v>0.63773584905660374</v>
      </c>
      <c r="L1057">
        <f>A1057*COUNTIF(data!D:D,data!$I$2)/data!$L$2</f>
        <v>448.61097852028638</v>
      </c>
      <c r="M1057" s="1">
        <f>A1057/data!$L$2</f>
        <v>0.84009546539379476</v>
      </c>
      <c r="N1057">
        <f t="shared" si="119"/>
        <v>1.1301551327885597</v>
      </c>
    </row>
    <row r="1058" spans="1:14" x14ac:dyDescent="0.2">
      <c r="A1058">
        <v>1057</v>
      </c>
      <c r="B1058">
        <f>LARGE(data!F:F,A1058)</f>
        <v>0.18339352249999999</v>
      </c>
      <c r="C1058">
        <f>COUNTIFS(data!D:D,data!$I$2,data!F:F,"&gt;="&amp;B1058)</f>
        <v>507</v>
      </c>
      <c r="D1058">
        <f>COUNTIFS(data!D:D,data!$J$2,data!F:F,"&gt;="&amp;B1058)</f>
        <v>550</v>
      </c>
      <c r="E1058">
        <f>COUNTIFS(data!D:D,data!$J$2,data!F:F,"&lt;"&amp;B1058)</f>
        <v>173</v>
      </c>
      <c r="F1058">
        <f>COUNTIFS(data!D:D,data!$I$2,data!F:F,"&lt;"&amp;B1058)</f>
        <v>27</v>
      </c>
      <c r="G1058">
        <f t="shared" si="114"/>
        <v>0.76071922544951587</v>
      </c>
      <c r="H1058">
        <f t="shared" si="115"/>
        <v>0.949438202247191</v>
      </c>
      <c r="I1058">
        <f t="shared" si="116"/>
        <v>1.3131925342284752E-3</v>
      </c>
      <c r="J1058">
        <f t="shared" si="117"/>
        <v>0.47965941343424789</v>
      </c>
      <c r="K1058">
        <f t="shared" si="118"/>
        <v>0.63733500942803278</v>
      </c>
      <c r="L1058">
        <f>A1058*COUNTIF(data!D:D,data!$I$2)/data!$L$2</f>
        <v>449.03579952267302</v>
      </c>
      <c r="M1058" s="1">
        <f>A1058/data!$L$2</f>
        <v>0.84089101034208436</v>
      </c>
      <c r="N1058">
        <f t="shared" si="119"/>
        <v>1.1290859226345498</v>
      </c>
    </row>
    <row r="1059" spans="1:14" x14ac:dyDescent="0.2">
      <c r="A1059">
        <v>1058</v>
      </c>
      <c r="B1059">
        <f>LARGE(data!F:F,A1059)</f>
        <v>0.18309856159999999</v>
      </c>
      <c r="C1059">
        <f>COUNTIFS(data!D:D,data!$I$2,data!F:F,"&gt;="&amp;B1059)</f>
        <v>507</v>
      </c>
      <c r="D1059">
        <f>COUNTIFS(data!D:D,data!$J$2,data!F:F,"&gt;="&amp;B1059)</f>
        <v>551</v>
      </c>
      <c r="E1059">
        <f>COUNTIFS(data!D:D,data!$J$2,data!F:F,"&lt;"&amp;B1059)</f>
        <v>172</v>
      </c>
      <c r="F1059">
        <f>COUNTIFS(data!D:D,data!$I$2,data!F:F,"&lt;"&amp;B1059)</f>
        <v>27</v>
      </c>
      <c r="G1059">
        <f t="shared" si="114"/>
        <v>0.76210235131396953</v>
      </c>
      <c r="H1059">
        <f t="shared" si="115"/>
        <v>0.949438202247191</v>
      </c>
      <c r="I1059">
        <f t="shared" si="116"/>
        <v>1.3131925342284752E-3</v>
      </c>
      <c r="J1059">
        <f t="shared" si="117"/>
        <v>0.4792060491493384</v>
      </c>
      <c r="K1059">
        <f t="shared" si="118"/>
        <v>0.63693467336683418</v>
      </c>
      <c r="L1059">
        <f>A1059*COUNTIF(data!D:D,data!$I$2)/data!$L$2</f>
        <v>449.46062052505965</v>
      </c>
      <c r="M1059" s="1">
        <f>A1059/data!$L$2</f>
        <v>0.84168655529037395</v>
      </c>
      <c r="N1059">
        <f t="shared" si="119"/>
        <v>1.1280187336717573</v>
      </c>
    </row>
    <row r="1060" spans="1:14" x14ac:dyDescent="0.2">
      <c r="A1060">
        <v>1059</v>
      </c>
      <c r="B1060">
        <f>LARGE(data!F:F,A1060)</f>
        <v>0.18248719660000001</v>
      </c>
      <c r="C1060">
        <f>COUNTIFS(data!D:D,data!$I$2,data!F:F,"&gt;="&amp;B1060)</f>
        <v>507</v>
      </c>
      <c r="D1060">
        <f>COUNTIFS(data!D:D,data!$J$2,data!F:F,"&gt;="&amp;B1060)</f>
        <v>552</v>
      </c>
      <c r="E1060">
        <f>COUNTIFS(data!D:D,data!$J$2,data!F:F,"&lt;"&amp;B1060)</f>
        <v>171</v>
      </c>
      <c r="F1060">
        <f>COUNTIFS(data!D:D,data!$I$2,data!F:F,"&lt;"&amp;B1060)</f>
        <v>27</v>
      </c>
      <c r="G1060">
        <f t="shared" si="114"/>
        <v>0.76348547717842319</v>
      </c>
      <c r="H1060">
        <f t="shared" si="115"/>
        <v>0.949438202247191</v>
      </c>
      <c r="I1060">
        <f t="shared" si="116"/>
        <v>1.3131925342284752E-3</v>
      </c>
      <c r="J1060">
        <f t="shared" si="117"/>
        <v>0.47875354107648727</v>
      </c>
      <c r="K1060">
        <f t="shared" si="118"/>
        <v>0.63653483992467053</v>
      </c>
      <c r="L1060">
        <f>A1060*COUNTIF(data!D:D,data!$I$2)/data!$L$2</f>
        <v>449.88544152744629</v>
      </c>
      <c r="M1060" s="1">
        <f>A1060/data!$L$2</f>
        <v>0.84248210023866343</v>
      </c>
      <c r="N1060">
        <f t="shared" si="119"/>
        <v>1.1269535601744278</v>
      </c>
    </row>
    <row r="1061" spans="1:14" x14ac:dyDescent="0.2">
      <c r="A1061">
        <v>1060</v>
      </c>
      <c r="B1061">
        <f>LARGE(data!F:F,A1061)</f>
        <v>0.1823518026</v>
      </c>
      <c r="C1061">
        <f>COUNTIFS(data!D:D,data!$I$2,data!F:F,"&gt;="&amp;B1061)</f>
        <v>509</v>
      </c>
      <c r="D1061">
        <f>COUNTIFS(data!D:D,data!$J$2,data!F:F,"&gt;="&amp;B1061)</f>
        <v>553</v>
      </c>
      <c r="E1061">
        <f>COUNTIFS(data!D:D,data!$J$2,data!F:F,"&lt;"&amp;B1061)</f>
        <v>170</v>
      </c>
      <c r="F1061">
        <f>COUNTIFS(data!D:D,data!$I$2,data!F:F,"&lt;"&amp;B1061)</f>
        <v>25</v>
      </c>
      <c r="G1061">
        <f t="shared" si="114"/>
        <v>0.76486860304287685</v>
      </c>
      <c r="H1061">
        <f t="shared" si="115"/>
        <v>0.95318352059925093</v>
      </c>
      <c r="I1061">
        <f t="shared" si="116"/>
        <v>1.3157826575701489E-3</v>
      </c>
      <c r="J1061">
        <f t="shared" si="117"/>
        <v>0.4792843691148776</v>
      </c>
      <c r="K1061">
        <f t="shared" si="118"/>
        <v>0.6378446115288221</v>
      </c>
      <c r="L1061">
        <f>A1061*COUNTIF(data!D:D,data!$I$2)/data!$L$2</f>
        <v>450.31026252983293</v>
      </c>
      <c r="M1061" s="1">
        <f>A1061/data!$L$2</f>
        <v>0.84327764518695303</v>
      </c>
      <c r="N1061">
        <f t="shared" si="119"/>
        <v>1.1303317786728853</v>
      </c>
    </row>
    <row r="1062" spans="1:14" x14ac:dyDescent="0.2">
      <c r="A1062">
        <v>1061</v>
      </c>
      <c r="B1062">
        <f>LARGE(data!F:F,A1062)</f>
        <v>0.1823518026</v>
      </c>
      <c r="C1062">
        <f>COUNTIFS(data!D:D,data!$I$2,data!F:F,"&gt;="&amp;B1062)</f>
        <v>509</v>
      </c>
      <c r="D1062">
        <f>COUNTIFS(data!D:D,data!$J$2,data!F:F,"&gt;="&amp;B1062)</f>
        <v>553</v>
      </c>
      <c r="E1062">
        <f>COUNTIFS(data!D:D,data!$J$2,data!F:F,"&lt;"&amp;B1062)</f>
        <v>170</v>
      </c>
      <c r="F1062">
        <f>COUNTIFS(data!D:D,data!$I$2,data!F:F,"&lt;"&amp;B1062)</f>
        <v>25</v>
      </c>
      <c r="G1062">
        <f t="shared" si="114"/>
        <v>0.76486860304287685</v>
      </c>
      <c r="H1062">
        <f t="shared" si="115"/>
        <v>0.95318352059925093</v>
      </c>
      <c r="I1062">
        <f t="shared" si="116"/>
        <v>0</v>
      </c>
      <c r="J1062">
        <f t="shared" si="117"/>
        <v>0.4792843691148776</v>
      </c>
      <c r="K1062">
        <f t="shared" si="118"/>
        <v>0.6378446115288221</v>
      </c>
      <c r="L1062">
        <f>A1062*COUNTIF(data!D:D,data!$I$2)/data!$L$2</f>
        <v>450.73508353221956</v>
      </c>
      <c r="M1062" s="1">
        <f>A1062/data!$L$2</f>
        <v>0.84407319013524262</v>
      </c>
      <c r="N1062">
        <f t="shared" si="119"/>
        <v>1.1292664329813935</v>
      </c>
    </row>
    <row r="1063" spans="1:14" x14ac:dyDescent="0.2">
      <c r="A1063">
        <v>1062</v>
      </c>
      <c r="B1063">
        <f>LARGE(data!F:F,A1063)</f>
        <v>0.1823518026</v>
      </c>
      <c r="C1063">
        <f>COUNTIFS(data!D:D,data!$I$2,data!F:F,"&gt;="&amp;B1063)</f>
        <v>509</v>
      </c>
      <c r="D1063">
        <f>COUNTIFS(data!D:D,data!$J$2,data!F:F,"&gt;="&amp;B1063)</f>
        <v>553</v>
      </c>
      <c r="E1063">
        <f>COUNTIFS(data!D:D,data!$J$2,data!F:F,"&lt;"&amp;B1063)</f>
        <v>170</v>
      </c>
      <c r="F1063">
        <f>COUNTIFS(data!D:D,data!$I$2,data!F:F,"&lt;"&amp;B1063)</f>
        <v>25</v>
      </c>
      <c r="G1063">
        <f t="shared" si="114"/>
        <v>0.76486860304287685</v>
      </c>
      <c r="H1063">
        <f t="shared" si="115"/>
        <v>0.95318352059925093</v>
      </c>
      <c r="I1063">
        <f t="shared" si="116"/>
        <v>0</v>
      </c>
      <c r="J1063">
        <f t="shared" si="117"/>
        <v>0.4792843691148776</v>
      </c>
      <c r="K1063">
        <f t="shared" si="118"/>
        <v>0.6378446115288221</v>
      </c>
      <c r="L1063">
        <f>A1063*COUNTIF(data!D:D,data!$I$2)/data!$L$2</f>
        <v>451.1599045346062</v>
      </c>
      <c r="M1063" s="1">
        <f>A1063/data!$L$2</f>
        <v>0.84486873508353222</v>
      </c>
      <c r="N1063">
        <f t="shared" si="119"/>
        <v>1.1282030935906389</v>
      </c>
    </row>
    <row r="1064" spans="1:14" x14ac:dyDescent="0.2">
      <c r="A1064">
        <v>1063</v>
      </c>
      <c r="B1064">
        <f>LARGE(data!F:F,A1064)</f>
        <v>0.18211437559999999</v>
      </c>
      <c r="C1064">
        <f>COUNTIFS(data!D:D,data!$I$2,data!F:F,"&gt;="&amp;B1064)</f>
        <v>509</v>
      </c>
      <c r="D1064">
        <f>COUNTIFS(data!D:D,data!$J$2,data!F:F,"&gt;="&amp;B1064)</f>
        <v>554</v>
      </c>
      <c r="E1064">
        <f>COUNTIFS(data!D:D,data!$J$2,data!F:F,"&lt;"&amp;B1064)</f>
        <v>169</v>
      </c>
      <c r="F1064">
        <f>COUNTIFS(data!D:D,data!$I$2,data!F:F,"&lt;"&amp;B1064)</f>
        <v>25</v>
      </c>
      <c r="G1064">
        <f t="shared" si="114"/>
        <v>0.76625172890733062</v>
      </c>
      <c r="H1064">
        <f t="shared" si="115"/>
        <v>0.95318352059925093</v>
      </c>
      <c r="I1064">
        <f t="shared" si="116"/>
        <v>1.3183727809119282E-3</v>
      </c>
      <c r="J1064">
        <f t="shared" si="117"/>
        <v>0.47883349012229537</v>
      </c>
      <c r="K1064">
        <f t="shared" si="118"/>
        <v>0.63744520976831553</v>
      </c>
      <c r="L1064">
        <f>A1064*COUNTIF(data!D:D,data!$I$2)/data!$L$2</f>
        <v>451.58472553699283</v>
      </c>
      <c r="M1064" s="1">
        <f>A1064/data!$L$2</f>
        <v>0.84566428003182181</v>
      </c>
      <c r="N1064">
        <f t="shared" si="119"/>
        <v>1.1271417548384368</v>
      </c>
    </row>
    <row r="1065" spans="1:14" x14ac:dyDescent="0.2">
      <c r="A1065">
        <v>1064</v>
      </c>
      <c r="B1065">
        <f>LARGE(data!F:F,A1065)</f>
        <v>0.1817504321</v>
      </c>
      <c r="C1065">
        <f>COUNTIFS(data!D:D,data!$I$2,data!F:F,"&gt;="&amp;B1065)</f>
        <v>509</v>
      </c>
      <c r="D1065">
        <f>COUNTIFS(data!D:D,data!$J$2,data!F:F,"&gt;="&amp;B1065)</f>
        <v>555</v>
      </c>
      <c r="E1065">
        <f>COUNTIFS(data!D:D,data!$J$2,data!F:F,"&lt;"&amp;B1065)</f>
        <v>168</v>
      </c>
      <c r="F1065">
        <f>COUNTIFS(data!D:D,data!$I$2,data!F:F,"&lt;"&amp;B1065)</f>
        <v>25</v>
      </c>
      <c r="G1065">
        <f t="shared" si="114"/>
        <v>0.76763485477178428</v>
      </c>
      <c r="H1065">
        <f t="shared" si="115"/>
        <v>0.95318352059925093</v>
      </c>
      <c r="I1065">
        <f t="shared" si="116"/>
        <v>1.3183727809118223E-3</v>
      </c>
      <c r="J1065">
        <f t="shared" si="117"/>
        <v>0.47838345864661652</v>
      </c>
      <c r="K1065">
        <f t="shared" si="118"/>
        <v>0.63704630788485606</v>
      </c>
      <c r="L1065">
        <f>A1065*COUNTIF(data!D:D,data!$I$2)/data!$L$2</f>
        <v>452.00954653937947</v>
      </c>
      <c r="M1065" s="1">
        <f>A1065/data!$L$2</f>
        <v>0.84645982498011141</v>
      </c>
      <c r="N1065">
        <f t="shared" si="119"/>
        <v>1.1260824110838894</v>
      </c>
    </row>
    <row r="1066" spans="1:14" x14ac:dyDescent="0.2">
      <c r="A1066">
        <v>1065</v>
      </c>
      <c r="B1066">
        <f>LARGE(data!F:F,A1066)</f>
        <v>0.1801009959</v>
      </c>
      <c r="C1066">
        <f>COUNTIFS(data!D:D,data!$I$2,data!F:F,"&gt;="&amp;B1066)</f>
        <v>509</v>
      </c>
      <c r="D1066">
        <f>COUNTIFS(data!D:D,data!$J$2,data!F:F,"&gt;="&amp;B1066)</f>
        <v>556</v>
      </c>
      <c r="E1066">
        <f>COUNTIFS(data!D:D,data!$J$2,data!F:F,"&lt;"&amp;B1066)</f>
        <v>167</v>
      </c>
      <c r="F1066">
        <f>COUNTIFS(data!D:D,data!$I$2,data!F:F,"&lt;"&amp;B1066)</f>
        <v>25</v>
      </c>
      <c r="G1066">
        <f t="shared" si="114"/>
        <v>0.76901798063623794</v>
      </c>
      <c r="H1066">
        <f t="shared" si="115"/>
        <v>0.95318352059925093</v>
      </c>
      <c r="I1066">
        <f t="shared" si="116"/>
        <v>1.3183727809118223E-3</v>
      </c>
      <c r="J1066">
        <f t="shared" si="117"/>
        <v>0.47793427230046948</v>
      </c>
      <c r="K1066">
        <f t="shared" si="118"/>
        <v>0.63664790494058787</v>
      </c>
      <c r="L1066">
        <f>A1066*COUNTIF(data!D:D,data!$I$2)/data!$L$2</f>
        <v>452.43436754176611</v>
      </c>
      <c r="M1066" s="1">
        <f>A1066/data!$L$2</f>
        <v>0.847255369928401</v>
      </c>
      <c r="N1066">
        <f t="shared" si="119"/>
        <v>1.1250250567072848</v>
      </c>
    </row>
    <row r="1067" spans="1:14" x14ac:dyDescent="0.2">
      <c r="A1067">
        <v>1066</v>
      </c>
      <c r="B1067">
        <f>LARGE(data!F:F,A1067)</f>
        <v>0.17937721579999999</v>
      </c>
      <c r="C1067">
        <f>COUNTIFS(data!D:D,data!$I$2,data!F:F,"&gt;="&amp;B1067)</f>
        <v>509</v>
      </c>
      <c r="D1067">
        <f>COUNTIFS(data!D:D,data!$J$2,data!F:F,"&gt;="&amp;B1067)</f>
        <v>557</v>
      </c>
      <c r="E1067">
        <f>COUNTIFS(data!D:D,data!$J$2,data!F:F,"&lt;"&amp;B1067)</f>
        <v>166</v>
      </c>
      <c r="F1067">
        <f>COUNTIFS(data!D:D,data!$I$2,data!F:F,"&lt;"&amp;B1067)</f>
        <v>25</v>
      </c>
      <c r="G1067">
        <f t="shared" si="114"/>
        <v>0.7704011065006916</v>
      </c>
      <c r="H1067">
        <f t="shared" si="115"/>
        <v>0.95318352059925093</v>
      </c>
      <c r="I1067">
        <f t="shared" si="116"/>
        <v>1.3183727809118223E-3</v>
      </c>
      <c r="J1067">
        <f t="shared" si="117"/>
        <v>0.47748592870544088</v>
      </c>
      <c r="K1067">
        <f t="shared" si="118"/>
        <v>0.63624999999999998</v>
      </c>
      <c r="L1067">
        <f>A1067*COUNTIF(data!D:D,data!$I$2)/data!$L$2</f>
        <v>452.85918854415274</v>
      </c>
      <c r="M1067" s="1">
        <f>A1067/data!$L$2</f>
        <v>0.84805091487669049</v>
      </c>
      <c r="N1067">
        <f t="shared" si="119"/>
        <v>1.1239696861099986</v>
      </c>
    </row>
    <row r="1068" spans="1:14" x14ac:dyDescent="0.2">
      <c r="A1068">
        <v>1067</v>
      </c>
      <c r="B1068">
        <f>LARGE(data!F:F,A1068)</f>
        <v>0.17892953440000001</v>
      </c>
      <c r="C1068">
        <f>COUNTIFS(data!D:D,data!$I$2,data!F:F,"&gt;="&amp;B1068)</f>
        <v>509</v>
      </c>
      <c r="D1068">
        <f>COUNTIFS(data!D:D,data!$J$2,data!F:F,"&gt;="&amp;B1068)</f>
        <v>558</v>
      </c>
      <c r="E1068">
        <f>COUNTIFS(data!D:D,data!$J$2,data!F:F,"&lt;"&amp;B1068)</f>
        <v>165</v>
      </c>
      <c r="F1068">
        <f>COUNTIFS(data!D:D,data!$I$2,data!F:F,"&lt;"&amp;B1068)</f>
        <v>25</v>
      </c>
      <c r="G1068">
        <f t="shared" si="114"/>
        <v>0.77178423236514526</v>
      </c>
      <c r="H1068">
        <f t="shared" si="115"/>
        <v>0.95318352059925093</v>
      </c>
      <c r="I1068">
        <f t="shared" si="116"/>
        <v>1.3183727809118223E-3</v>
      </c>
      <c r="J1068">
        <f t="shared" si="117"/>
        <v>0.47703842549203374</v>
      </c>
      <c r="K1068">
        <f t="shared" si="118"/>
        <v>0.63585259212991885</v>
      </c>
      <c r="L1068">
        <f>A1068*COUNTIF(data!D:D,data!$I$2)/data!$L$2</f>
        <v>453.28400954653938</v>
      </c>
      <c r="M1068" s="1">
        <f>A1068/data!$L$2</f>
        <v>0.84884645982498008</v>
      </c>
      <c r="N1068">
        <f t="shared" si="119"/>
        <v>1.1229162937143939</v>
      </c>
    </row>
    <row r="1069" spans="1:14" x14ac:dyDescent="0.2">
      <c r="A1069">
        <v>1068</v>
      </c>
      <c r="B1069">
        <f>LARGE(data!F:F,A1069)</f>
        <v>0.1788399175</v>
      </c>
      <c r="C1069">
        <f>COUNTIFS(data!D:D,data!$I$2,data!F:F,"&gt;="&amp;B1069)</f>
        <v>510</v>
      </c>
      <c r="D1069">
        <f>COUNTIFS(data!D:D,data!$J$2,data!F:F,"&gt;="&amp;B1069)</f>
        <v>558</v>
      </c>
      <c r="E1069">
        <f>COUNTIFS(data!D:D,data!$J$2,data!F:F,"&lt;"&amp;B1069)</f>
        <v>165</v>
      </c>
      <c r="F1069">
        <f>COUNTIFS(data!D:D,data!$I$2,data!F:F,"&lt;"&amp;B1069)</f>
        <v>24</v>
      </c>
      <c r="G1069">
        <f t="shared" si="114"/>
        <v>0.77178423236514526</v>
      </c>
      <c r="H1069">
        <f t="shared" si="115"/>
        <v>0.9550561797752809</v>
      </c>
      <c r="I1069">
        <f t="shared" si="116"/>
        <v>0</v>
      </c>
      <c r="J1069">
        <f t="shared" si="117"/>
        <v>0.47752808988764045</v>
      </c>
      <c r="K1069">
        <f t="shared" si="118"/>
        <v>0.63670411985018727</v>
      </c>
      <c r="L1069">
        <f>A1069*COUNTIF(data!D:D,data!$I$2)/data!$L$2</f>
        <v>453.70883054892602</v>
      </c>
      <c r="M1069" s="1">
        <f>A1069/data!$L$2</f>
        <v>0.84964200477326968</v>
      </c>
      <c r="N1069">
        <f t="shared" si="119"/>
        <v>1.1240689306905693</v>
      </c>
    </row>
    <row r="1070" spans="1:14" x14ac:dyDescent="0.2">
      <c r="A1070">
        <v>1069</v>
      </c>
      <c r="B1070">
        <f>LARGE(data!F:F,A1070)</f>
        <v>0.17852504820000001</v>
      </c>
      <c r="C1070">
        <f>COUNTIFS(data!D:D,data!$I$2,data!F:F,"&gt;="&amp;B1070)</f>
        <v>510</v>
      </c>
      <c r="D1070">
        <f>COUNTIFS(data!D:D,data!$J$2,data!F:F,"&gt;="&amp;B1070)</f>
        <v>559</v>
      </c>
      <c r="E1070">
        <f>COUNTIFS(data!D:D,data!$J$2,data!F:F,"&lt;"&amp;B1070)</f>
        <v>164</v>
      </c>
      <c r="F1070">
        <f>COUNTIFS(data!D:D,data!$I$2,data!F:F,"&lt;"&amp;B1070)</f>
        <v>24</v>
      </c>
      <c r="G1070">
        <f t="shared" si="114"/>
        <v>0.77316735822959892</v>
      </c>
      <c r="H1070">
        <f t="shared" si="115"/>
        <v>0.9550561797752809</v>
      </c>
      <c r="I1070">
        <f t="shared" si="116"/>
        <v>1.3209629042534958E-3</v>
      </c>
      <c r="J1070">
        <f t="shared" si="117"/>
        <v>0.47708138447146864</v>
      </c>
      <c r="K1070">
        <f t="shared" si="118"/>
        <v>0.63630692451653148</v>
      </c>
      <c r="L1070">
        <f>A1070*COUNTIF(data!D:D,data!$I$2)/data!$L$2</f>
        <v>454.13365155131265</v>
      </c>
      <c r="M1070" s="1">
        <f>A1070/data!$L$2</f>
        <v>0.85043754972155927</v>
      </c>
      <c r="N1070">
        <f t="shared" si="119"/>
        <v>1.1230174162558728</v>
      </c>
    </row>
    <row r="1071" spans="1:14" x14ac:dyDescent="0.2">
      <c r="A1071">
        <v>1070</v>
      </c>
      <c r="B1071">
        <f>LARGE(data!F:F,A1071)</f>
        <v>0.177932387</v>
      </c>
      <c r="C1071">
        <f>COUNTIFS(data!D:D,data!$I$2,data!F:F,"&gt;="&amp;B1071)</f>
        <v>510</v>
      </c>
      <c r="D1071">
        <f>COUNTIFS(data!D:D,data!$J$2,data!F:F,"&gt;="&amp;B1071)</f>
        <v>560</v>
      </c>
      <c r="E1071">
        <f>COUNTIFS(data!D:D,data!$J$2,data!F:F,"&lt;"&amp;B1071)</f>
        <v>163</v>
      </c>
      <c r="F1071">
        <f>COUNTIFS(data!D:D,data!$I$2,data!F:F,"&lt;"&amp;B1071)</f>
        <v>24</v>
      </c>
      <c r="G1071">
        <f t="shared" si="114"/>
        <v>0.77455048409405258</v>
      </c>
      <c r="H1071">
        <f t="shared" si="115"/>
        <v>0.9550561797752809</v>
      </c>
      <c r="I1071">
        <f t="shared" si="116"/>
        <v>1.3209629042534958E-3</v>
      </c>
      <c r="J1071">
        <f t="shared" si="117"/>
        <v>0.47663551401869159</v>
      </c>
      <c r="K1071">
        <f t="shared" si="118"/>
        <v>0.63591022443890266</v>
      </c>
      <c r="L1071">
        <f>A1071*COUNTIF(data!D:D,data!$I$2)/data!$L$2</f>
        <v>454.55847255369929</v>
      </c>
      <c r="M1071" s="1">
        <f>A1071/data!$L$2</f>
        <v>0.85123309466984887</v>
      </c>
      <c r="N1071">
        <f t="shared" si="119"/>
        <v>1.1219678672687179</v>
      </c>
    </row>
    <row r="1072" spans="1:14" x14ac:dyDescent="0.2">
      <c r="A1072">
        <v>1071</v>
      </c>
      <c r="B1072">
        <f>LARGE(data!F:F,A1072)</f>
        <v>0.17780106409999999</v>
      </c>
      <c r="C1072">
        <f>COUNTIFS(data!D:D,data!$I$2,data!F:F,"&gt;="&amp;B1072)</f>
        <v>510</v>
      </c>
      <c r="D1072">
        <f>COUNTIFS(data!D:D,data!$J$2,data!F:F,"&gt;="&amp;B1072)</f>
        <v>561</v>
      </c>
      <c r="E1072">
        <f>COUNTIFS(data!D:D,data!$J$2,data!F:F,"&lt;"&amp;B1072)</f>
        <v>162</v>
      </c>
      <c r="F1072">
        <f>COUNTIFS(data!D:D,data!$I$2,data!F:F,"&lt;"&amp;B1072)</f>
        <v>24</v>
      </c>
      <c r="G1072">
        <f t="shared" si="114"/>
        <v>0.77593360995850624</v>
      </c>
      <c r="H1072">
        <f t="shared" si="115"/>
        <v>0.9550561797752809</v>
      </c>
      <c r="I1072">
        <f t="shared" si="116"/>
        <v>1.3209629042534958E-3</v>
      </c>
      <c r="J1072">
        <f t="shared" si="117"/>
        <v>0.47619047619047616</v>
      </c>
      <c r="K1072">
        <f t="shared" si="118"/>
        <v>0.63551401869158874</v>
      </c>
      <c r="L1072">
        <f>A1072*COUNTIF(data!D:D,data!$I$2)/data!$L$2</f>
        <v>454.98329355608593</v>
      </c>
      <c r="M1072" s="1">
        <f>A1072/data!$L$2</f>
        <v>0.85202863961813846</v>
      </c>
      <c r="N1072">
        <f t="shared" si="119"/>
        <v>1.1209202782236489</v>
      </c>
    </row>
    <row r="1073" spans="1:14" x14ac:dyDescent="0.2">
      <c r="A1073">
        <v>1072</v>
      </c>
      <c r="B1073">
        <f>LARGE(data!F:F,A1073)</f>
        <v>0.17732391359999999</v>
      </c>
      <c r="C1073">
        <f>COUNTIFS(data!D:D,data!$I$2,data!F:F,"&gt;="&amp;B1073)</f>
        <v>511</v>
      </c>
      <c r="D1073">
        <f>COUNTIFS(data!D:D,data!$J$2,data!F:F,"&gt;="&amp;B1073)</f>
        <v>561</v>
      </c>
      <c r="E1073">
        <f>COUNTIFS(data!D:D,data!$J$2,data!F:F,"&lt;"&amp;B1073)</f>
        <v>162</v>
      </c>
      <c r="F1073">
        <f>COUNTIFS(data!D:D,data!$I$2,data!F:F,"&lt;"&amp;B1073)</f>
        <v>23</v>
      </c>
      <c r="G1073">
        <f t="shared" si="114"/>
        <v>0.77593360995850624</v>
      </c>
      <c r="H1073">
        <f t="shared" si="115"/>
        <v>0.95692883895131087</v>
      </c>
      <c r="I1073">
        <f t="shared" si="116"/>
        <v>0</v>
      </c>
      <c r="J1073">
        <f t="shared" si="117"/>
        <v>0.47667910447761191</v>
      </c>
      <c r="K1073">
        <f t="shared" si="118"/>
        <v>0.63636363636363624</v>
      </c>
      <c r="L1073">
        <f>A1073*COUNTIF(data!D:D,data!$I$2)/data!$L$2</f>
        <v>455.40811455847256</v>
      </c>
      <c r="M1073" s="1">
        <f>A1073/data!$L$2</f>
        <v>0.85282418456642806</v>
      </c>
      <c r="N1073">
        <f t="shared" si="119"/>
        <v>1.1220704762703337</v>
      </c>
    </row>
    <row r="1074" spans="1:14" x14ac:dyDescent="0.2">
      <c r="A1074">
        <v>1073</v>
      </c>
      <c r="B1074">
        <f>LARGE(data!F:F,A1074)</f>
        <v>0.17719515590000001</v>
      </c>
      <c r="C1074">
        <f>COUNTIFS(data!D:D,data!$I$2,data!F:F,"&gt;="&amp;B1074)</f>
        <v>511</v>
      </c>
      <c r="D1074">
        <f>COUNTIFS(data!D:D,data!$J$2,data!F:F,"&gt;="&amp;B1074)</f>
        <v>562</v>
      </c>
      <c r="E1074">
        <f>COUNTIFS(data!D:D,data!$J$2,data!F:F,"&lt;"&amp;B1074)</f>
        <v>161</v>
      </c>
      <c r="F1074">
        <f>COUNTIFS(data!D:D,data!$I$2,data!F:F,"&lt;"&amp;B1074)</f>
        <v>23</v>
      </c>
      <c r="G1074">
        <f t="shared" si="114"/>
        <v>0.7773167358229599</v>
      </c>
      <c r="H1074">
        <f t="shared" si="115"/>
        <v>0.95692883895131087</v>
      </c>
      <c r="I1074">
        <f t="shared" si="116"/>
        <v>1.3235530275951693E-3</v>
      </c>
      <c r="J1074">
        <f t="shared" si="117"/>
        <v>0.4762348555452004</v>
      </c>
      <c r="K1074">
        <f t="shared" si="118"/>
        <v>0.63596764156813934</v>
      </c>
      <c r="L1074">
        <f>A1074*COUNTIF(data!D:D,data!$I$2)/data!$L$2</f>
        <v>455.8329355608592</v>
      </c>
      <c r="M1074" s="1">
        <f>A1074/data!$L$2</f>
        <v>0.85361972951471754</v>
      </c>
      <c r="N1074">
        <f t="shared" si="119"/>
        <v>1.1210247442328032</v>
      </c>
    </row>
    <row r="1075" spans="1:14" x14ac:dyDescent="0.2">
      <c r="A1075">
        <v>1074</v>
      </c>
      <c r="B1075">
        <f>LARGE(data!F:F,A1075)</f>
        <v>0.17667425819999999</v>
      </c>
      <c r="C1075">
        <f>COUNTIFS(data!D:D,data!$I$2,data!F:F,"&gt;="&amp;B1075)</f>
        <v>511</v>
      </c>
      <c r="D1075">
        <f>COUNTIFS(data!D:D,data!$J$2,data!F:F,"&gt;="&amp;B1075)</f>
        <v>563</v>
      </c>
      <c r="E1075">
        <f>COUNTIFS(data!D:D,data!$J$2,data!F:F,"&lt;"&amp;B1075)</f>
        <v>160</v>
      </c>
      <c r="F1075">
        <f>COUNTIFS(data!D:D,data!$I$2,data!F:F,"&lt;"&amp;B1075)</f>
        <v>23</v>
      </c>
      <c r="G1075">
        <f t="shared" si="114"/>
        <v>0.77869986168741356</v>
      </c>
      <c r="H1075">
        <f t="shared" si="115"/>
        <v>0.95692883895131087</v>
      </c>
      <c r="I1075">
        <f t="shared" si="116"/>
        <v>1.3235530275951693E-3</v>
      </c>
      <c r="J1075">
        <f t="shared" si="117"/>
        <v>0.47579143389199258</v>
      </c>
      <c r="K1075">
        <f t="shared" si="118"/>
        <v>0.63557213930348255</v>
      </c>
      <c r="L1075">
        <f>A1075*COUNTIF(data!D:D,data!$I$2)/data!$L$2</f>
        <v>456.25775656324583</v>
      </c>
      <c r="M1075" s="1">
        <f>A1075/data!$L$2</f>
        <v>0.85441527446300713</v>
      </c>
      <c r="N1075">
        <f t="shared" si="119"/>
        <v>1.1199809595547465</v>
      </c>
    </row>
    <row r="1076" spans="1:14" x14ac:dyDescent="0.2">
      <c r="A1076">
        <v>1075</v>
      </c>
      <c r="B1076">
        <f>LARGE(data!F:F,A1076)</f>
        <v>0.1758213435</v>
      </c>
      <c r="C1076">
        <f>COUNTIFS(data!D:D,data!$I$2,data!F:F,"&gt;="&amp;B1076)</f>
        <v>511</v>
      </c>
      <c r="D1076">
        <f>COUNTIFS(data!D:D,data!$J$2,data!F:F,"&gt;="&amp;B1076)</f>
        <v>564</v>
      </c>
      <c r="E1076">
        <f>COUNTIFS(data!D:D,data!$J$2,data!F:F,"&lt;"&amp;B1076)</f>
        <v>159</v>
      </c>
      <c r="F1076">
        <f>COUNTIFS(data!D:D,data!$I$2,data!F:F,"&lt;"&amp;B1076)</f>
        <v>23</v>
      </c>
      <c r="G1076">
        <f t="shared" si="114"/>
        <v>0.78008298755186722</v>
      </c>
      <c r="H1076">
        <f t="shared" si="115"/>
        <v>0.95692883895131087</v>
      </c>
      <c r="I1076">
        <f t="shared" si="116"/>
        <v>1.3235530275951693E-3</v>
      </c>
      <c r="J1076">
        <f t="shared" si="117"/>
        <v>0.47534883720930232</v>
      </c>
      <c r="K1076">
        <f t="shared" si="118"/>
        <v>0.63517712865133613</v>
      </c>
      <c r="L1076">
        <f>A1076*COUNTIF(data!D:D,data!$I$2)/data!$L$2</f>
        <v>456.68257756563247</v>
      </c>
      <c r="M1076" s="1">
        <f>A1076/data!$L$2</f>
        <v>0.85521081941129673</v>
      </c>
      <c r="N1076">
        <f t="shared" si="119"/>
        <v>1.1189391168016722</v>
      </c>
    </row>
    <row r="1077" spans="1:14" x14ac:dyDescent="0.2">
      <c r="A1077">
        <v>1076</v>
      </c>
      <c r="B1077">
        <f>LARGE(data!F:F,A1077)</f>
        <v>0.17551486559999999</v>
      </c>
      <c r="C1077">
        <f>COUNTIFS(data!D:D,data!$I$2,data!F:F,"&gt;="&amp;B1077)</f>
        <v>511</v>
      </c>
      <c r="D1077">
        <f>COUNTIFS(data!D:D,data!$J$2,data!F:F,"&gt;="&amp;B1077)</f>
        <v>565</v>
      </c>
      <c r="E1077">
        <f>COUNTIFS(data!D:D,data!$J$2,data!F:F,"&lt;"&amp;B1077)</f>
        <v>158</v>
      </c>
      <c r="F1077">
        <f>COUNTIFS(data!D:D,data!$I$2,data!F:F,"&lt;"&amp;B1077)</f>
        <v>23</v>
      </c>
      <c r="G1077">
        <f t="shared" si="114"/>
        <v>0.78146611341632088</v>
      </c>
      <c r="H1077">
        <f t="shared" si="115"/>
        <v>0.95692883895131087</v>
      </c>
      <c r="I1077">
        <f t="shared" si="116"/>
        <v>1.3235530275951693E-3</v>
      </c>
      <c r="J1077">
        <f t="shared" si="117"/>
        <v>0.47490706319702602</v>
      </c>
      <c r="K1077">
        <f t="shared" si="118"/>
        <v>0.63478260869565217</v>
      </c>
      <c r="L1077">
        <f>A1077*COUNTIF(data!D:D,data!$I$2)/data!$L$2</f>
        <v>457.10739856801911</v>
      </c>
      <c r="M1077" s="1">
        <f>A1077/data!$L$2</f>
        <v>0.85600636435958632</v>
      </c>
      <c r="N1077">
        <f t="shared" si="119"/>
        <v>1.1178992105592915</v>
      </c>
    </row>
    <row r="1078" spans="1:14" x14ac:dyDescent="0.2">
      <c r="A1078">
        <v>1077</v>
      </c>
      <c r="B1078">
        <f>LARGE(data!F:F,A1078)</f>
        <v>0.1754094887</v>
      </c>
      <c r="C1078">
        <f>COUNTIFS(data!D:D,data!$I$2,data!F:F,"&gt;="&amp;B1078)</f>
        <v>511</v>
      </c>
      <c r="D1078">
        <f>COUNTIFS(data!D:D,data!$J$2,data!F:F,"&gt;="&amp;B1078)</f>
        <v>566</v>
      </c>
      <c r="E1078">
        <f>COUNTIFS(data!D:D,data!$J$2,data!F:F,"&lt;"&amp;B1078)</f>
        <v>157</v>
      </c>
      <c r="F1078">
        <f>COUNTIFS(data!D:D,data!$I$2,data!F:F,"&lt;"&amp;B1078)</f>
        <v>23</v>
      </c>
      <c r="G1078">
        <f t="shared" si="114"/>
        <v>0.78284923928077454</v>
      </c>
      <c r="H1078">
        <f t="shared" si="115"/>
        <v>0.95692883895131087</v>
      </c>
      <c r="I1078">
        <f t="shared" si="116"/>
        <v>1.3235530275951693E-3</v>
      </c>
      <c r="J1078">
        <f t="shared" si="117"/>
        <v>0.47446610956360258</v>
      </c>
      <c r="K1078">
        <f t="shared" si="118"/>
        <v>0.63438857852265673</v>
      </c>
      <c r="L1078">
        <f>A1078*COUNTIF(data!D:D,data!$I$2)/data!$L$2</f>
        <v>457.53221957040574</v>
      </c>
      <c r="M1078" s="1">
        <f>A1078/data!$L$2</f>
        <v>0.85680190930787592</v>
      </c>
      <c r="N1078">
        <f t="shared" si="119"/>
        <v>1.116861235433424</v>
      </c>
    </row>
    <row r="1079" spans="1:14" x14ac:dyDescent="0.2">
      <c r="A1079">
        <v>1078</v>
      </c>
      <c r="B1079">
        <f>LARGE(data!F:F,A1079)</f>
        <v>0.17468848100000001</v>
      </c>
      <c r="C1079">
        <f>COUNTIFS(data!D:D,data!$I$2,data!F:F,"&gt;="&amp;B1079)</f>
        <v>511</v>
      </c>
      <c r="D1079">
        <f>COUNTIFS(data!D:D,data!$J$2,data!F:F,"&gt;="&amp;B1079)</f>
        <v>567</v>
      </c>
      <c r="E1079">
        <f>COUNTIFS(data!D:D,data!$J$2,data!F:F,"&lt;"&amp;B1079)</f>
        <v>156</v>
      </c>
      <c r="F1079">
        <f>COUNTIFS(data!D:D,data!$I$2,data!F:F,"&lt;"&amp;B1079)</f>
        <v>23</v>
      </c>
      <c r="G1079">
        <f t="shared" si="114"/>
        <v>0.78423236514522821</v>
      </c>
      <c r="H1079">
        <f t="shared" si="115"/>
        <v>0.95692883895131087</v>
      </c>
      <c r="I1079">
        <f t="shared" si="116"/>
        <v>1.3235530275951693E-3</v>
      </c>
      <c r="J1079">
        <f t="shared" si="117"/>
        <v>0.47402597402597402</v>
      </c>
      <c r="K1079">
        <f t="shared" si="118"/>
        <v>0.6339950372208436</v>
      </c>
      <c r="L1079">
        <f>A1079*COUNTIF(data!D:D,data!$I$2)/data!$L$2</f>
        <v>457.95704057279238</v>
      </c>
      <c r="M1079" s="1">
        <f>A1079/data!$L$2</f>
        <v>0.85759745425616551</v>
      </c>
      <c r="N1079">
        <f t="shared" si="119"/>
        <v>1.1158251860499051</v>
      </c>
    </row>
    <row r="1080" spans="1:14" x14ac:dyDescent="0.2">
      <c r="A1080">
        <v>1079</v>
      </c>
      <c r="B1080">
        <f>LARGE(data!F:F,A1080)</f>
        <v>0.17463886640000001</v>
      </c>
      <c r="C1080">
        <f>COUNTIFS(data!D:D,data!$I$2,data!F:F,"&gt;="&amp;B1080)</f>
        <v>511</v>
      </c>
      <c r="D1080">
        <f>COUNTIFS(data!D:D,data!$J$2,data!F:F,"&gt;="&amp;B1080)</f>
        <v>568</v>
      </c>
      <c r="E1080">
        <f>COUNTIFS(data!D:D,data!$J$2,data!F:F,"&lt;"&amp;B1080)</f>
        <v>155</v>
      </c>
      <c r="F1080">
        <f>COUNTIFS(data!D:D,data!$I$2,data!F:F,"&lt;"&amp;B1080)</f>
        <v>23</v>
      </c>
      <c r="G1080">
        <f t="shared" si="114"/>
        <v>0.78561549100968187</v>
      </c>
      <c r="H1080">
        <f t="shared" si="115"/>
        <v>0.95692883895131087</v>
      </c>
      <c r="I1080">
        <f t="shared" si="116"/>
        <v>1.3235530275951693E-3</v>
      </c>
      <c r="J1080">
        <f t="shared" si="117"/>
        <v>0.47358665430954588</v>
      </c>
      <c r="K1080">
        <f t="shared" si="118"/>
        <v>0.63360198388096711</v>
      </c>
      <c r="L1080">
        <f>A1080*COUNTIF(data!D:D,data!$I$2)/data!$L$2</f>
        <v>458.38186157517902</v>
      </c>
      <c r="M1080" s="1">
        <f>A1080/data!$L$2</f>
        <v>0.858392999204455</v>
      </c>
      <c r="N1080">
        <f t="shared" si="119"/>
        <v>1.1147910570544928</v>
      </c>
    </row>
    <row r="1081" spans="1:14" x14ac:dyDescent="0.2">
      <c r="A1081">
        <v>1080</v>
      </c>
      <c r="B1081">
        <f>LARGE(data!F:F,A1081)</f>
        <v>0.17408696139999999</v>
      </c>
      <c r="C1081">
        <f>COUNTIFS(data!D:D,data!$I$2,data!F:F,"&gt;="&amp;B1081)</f>
        <v>511</v>
      </c>
      <c r="D1081">
        <f>COUNTIFS(data!D:D,data!$J$2,data!F:F,"&gt;="&amp;B1081)</f>
        <v>569</v>
      </c>
      <c r="E1081">
        <f>COUNTIFS(data!D:D,data!$J$2,data!F:F,"&lt;"&amp;B1081)</f>
        <v>154</v>
      </c>
      <c r="F1081">
        <f>COUNTIFS(data!D:D,data!$I$2,data!F:F,"&lt;"&amp;B1081)</f>
        <v>23</v>
      </c>
      <c r="G1081">
        <f t="shared" si="114"/>
        <v>0.78699861687413553</v>
      </c>
      <c r="H1081">
        <f t="shared" si="115"/>
        <v>0.95692883895131087</v>
      </c>
      <c r="I1081">
        <f t="shared" si="116"/>
        <v>1.3235530275951693E-3</v>
      </c>
      <c r="J1081">
        <f t="shared" si="117"/>
        <v>0.47314814814814815</v>
      </c>
      <c r="K1081">
        <f t="shared" si="118"/>
        <v>0.63320941759603477</v>
      </c>
      <c r="L1081">
        <f>A1081*COUNTIF(data!D:D,data!$I$2)/data!$L$2</f>
        <v>458.80668257756565</v>
      </c>
      <c r="M1081" s="1">
        <f>A1081/data!$L$2</f>
        <v>0.85918854415274459</v>
      </c>
      <c r="N1081">
        <f t="shared" si="119"/>
        <v>1.1137588431127756</v>
      </c>
    </row>
    <row r="1082" spans="1:14" x14ac:dyDescent="0.2">
      <c r="A1082">
        <v>1081</v>
      </c>
      <c r="B1082">
        <f>LARGE(data!F:F,A1082)</f>
        <v>0.1740368507</v>
      </c>
      <c r="C1082">
        <f>COUNTIFS(data!D:D,data!$I$2,data!F:F,"&gt;="&amp;B1082)</f>
        <v>511</v>
      </c>
      <c r="D1082">
        <f>COUNTIFS(data!D:D,data!$J$2,data!F:F,"&gt;="&amp;B1082)</f>
        <v>570</v>
      </c>
      <c r="E1082">
        <f>COUNTIFS(data!D:D,data!$J$2,data!F:F,"&lt;"&amp;B1082)</f>
        <v>153</v>
      </c>
      <c r="F1082">
        <f>COUNTIFS(data!D:D,data!$I$2,data!F:F,"&lt;"&amp;B1082)</f>
        <v>23</v>
      </c>
      <c r="G1082">
        <f t="shared" si="114"/>
        <v>0.78838174273858919</v>
      </c>
      <c r="H1082">
        <f t="shared" si="115"/>
        <v>0.95692883895131087</v>
      </c>
      <c r="I1082">
        <f t="shared" si="116"/>
        <v>1.3235530275951693E-3</v>
      </c>
      <c r="J1082">
        <f t="shared" si="117"/>
        <v>0.4727104532839963</v>
      </c>
      <c r="K1082">
        <f t="shared" si="118"/>
        <v>0.63281733746130031</v>
      </c>
      <c r="L1082">
        <f>A1082*COUNTIF(data!D:D,data!$I$2)/data!$L$2</f>
        <v>459.23150357995229</v>
      </c>
      <c r="M1082" s="1">
        <f>A1082/data!$L$2</f>
        <v>0.85998408910103419</v>
      </c>
      <c r="N1082">
        <f t="shared" si="119"/>
        <v>1.1127285389100812</v>
      </c>
    </row>
    <row r="1083" spans="1:14" x14ac:dyDescent="0.2">
      <c r="A1083">
        <v>1082</v>
      </c>
      <c r="B1083">
        <f>LARGE(data!F:F,A1083)</f>
        <v>0.1735767876</v>
      </c>
      <c r="C1083">
        <f>COUNTIFS(data!D:D,data!$I$2,data!F:F,"&gt;="&amp;B1083)</f>
        <v>511</v>
      </c>
      <c r="D1083">
        <f>COUNTIFS(data!D:D,data!$J$2,data!F:F,"&gt;="&amp;B1083)</f>
        <v>571</v>
      </c>
      <c r="E1083">
        <f>COUNTIFS(data!D:D,data!$J$2,data!F:F,"&lt;"&amp;B1083)</f>
        <v>152</v>
      </c>
      <c r="F1083">
        <f>COUNTIFS(data!D:D,data!$I$2,data!F:F,"&lt;"&amp;B1083)</f>
        <v>23</v>
      </c>
      <c r="G1083">
        <f t="shared" si="114"/>
        <v>0.78976486860304285</v>
      </c>
      <c r="H1083">
        <f t="shared" si="115"/>
        <v>0.95692883895131087</v>
      </c>
      <c r="I1083">
        <f t="shared" si="116"/>
        <v>1.3235530275951693E-3</v>
      </c>
      <c r="J1083">
        <f t="shared" si="117"/>
        <v>0.47227356746765248</v>
      </c>
      <c r="K1083">
        <f t="shared" si="118"/>
        <v>0.63242574257425732</v>
      </c>
      <c r="L1083">
        <f>A1083*COUNTIF(data!D:D,data!$I$2)/data!$L$2</f>
        <v>459.65632458233893</v>
      </c>
      <c r="M1083" s="1">
        <f>A1083/data!$L$2</f>
        <v>0.86077963404932378</v>
      </c>
      <c r="N1083">
        <f t="shared" si="119"/>
        <v>1.1117001391513841</v>
      </c>
    </row>
    <row r="1084" spans="1:14" x14ac:dyDescent="0.2">
      <c r="A1084">
        <v>1083</v>
      </c>
      <c r="B1084">
        <f>LARGE(data!F:F,A1084)</f>
        <v>0.17245409289999999</v>
      </c>
      <c r="C1084">
        <f>COUNTIFS(data!D:D,data!$I$2,data!F:F,"&gt;="&amp;B1084)</f>
        <v>511</v>
      </c>
      <c r="D1084">
        <f>COUNTIFS(data!D:D,data!$J$2,data!F:F,"&gt;="&amp;B1084)</f>
        <v>572</v>
      </c>
      <c r="E1084">
        <f>COUNTIFS(data!D:D,data!$J$2,data!F:F,"&lt;"&amp;B1084)</f>
        <v>151</v>
      </c>
      <c r="F1084">
        <f>COUNTIFS(data!D:D,data!$I$2,data!F:F,"&lt;"&amp;B1084)</f>
        <v>23</v>
      </c>
      <c r="G1084">
        <f t="shared" si="114"/>
        <v>0.79114799446749651</v>
      </c>
      <c r="H1084">
        <f t="shared" si="115"/>
        <v>0.95692883895131087</v>
      </c>
      <c r="I1084">
        <f t="shared" si="116"/>
        <v>1.3235530275951693E-3</v>
      </c>
      <c r="J1084">
        <f t="shared" si="117"/>
        <v>0.47183748845798706</v>
      </c>
      <c r="K1084">
        <f t="shared" si="118"/>
        <v>0.63203463203463206</v>
      </c>
      <c r="L1084">
        <f>A1084*COUNTIF(data!D:D,data!$I$2)/data!$L$2</f>
        <v>460.08114558472556</v>
      </c>
      <c r="M1084" s="1">
        <f>A1084/data!$L$2</f>
        <v>0.86157517899761338</v>
      </c>
      <c r="N1084">
        <f t="shared" si="119"/>
        <v>1.1106736385612166</v>
      </c>
    </row>
    <row r="1085" spans="1:14" x14ac:dyDescent="0.2">
      <c r="A1085">
        <v>1084</v>
      </c>
      <c r="B1085">
        <f>LARGE(data!F:F,A1085)</f>
        <v>0.17226465790000001</v>
      </c>
      <c r="C1085">
        <f>COUNTIFS(data!D:D,data!$I$2,data!F:F,"&gt;="&amp;B1085)</f>
        <v>511</v>
      </c>
      <c r="D1085">
        <f>COUNTIFS(data!D:D,data!$J$2,data!F:F,"&gt;="&amp;B1085)</f>
        <v>573</v>
      </c>
      <c r="E1085">
        <f>COUNTIFS(data!D:D,data!$J$2,data!F:F,"&lt;"&amp;B1085)</f>
        <v>150</v>
      </c>
      <c r="F1085">
        <f>COUNTIFS(data!D:D,data!$I$2,data!F:F,"&lt;"&amp;B1085)</f>
        <v>23</v>
      </c>
      <c r="G1085">
        <f t="shared" si="114"/>
        <v>0.79253112033195017</v>
      </c>
      <c r="H1085">
        <f t="shared" si="115"/>
        <v>0.95692883895131087</v>
      </c>
      <c r="I1085">
        <f t="shared" si="116"/>
        <v>1.3235530275951693E-3</v>
      </c>
      <c r="J1085">
        <f t="shared" si="117"/>
        <v>0.47140221402214022</v>
      </c>
      <c r="K1085">
        <f t="shared" si="118"/>
        <v>0.63164400494437589</v>
      </c>
      <c r="L1085">
        <f>A1085*COUNTIF(data!D:D,data!$I$2)/data!$L$2</f>
        <v>460.5059665871122</v>
      </c>
      <c r="M1085" s="1">
        <f>A1085/data!$L$2</f>
        <v>0.86237072394590297</v>
      </c>
      <c r="N1085">
        <f t="shared" si="119"/>
        <v>1.1096490318835772</v>
      </c>
    </row>
    <row r="1086" spans="1:14" x14ac:dyDescent="0.2">
      <c r="A1086">
        <v>1085</v>
      </c>
      <c r="B1086">
        <f>LARGE(data!F:F,A1086)</f>
        <v>0.17217871360000001</v>
      </c>
      <c r="C1086">
        <f>COUNTIFS(data!D:D,data!$I$2,data!F:F,"&gt;="&amp;B1086)</f>
        <v>511</v>
      </c>
      <c r="D1086">
        <f>COUNTIFS(data!D:D,data!$J$2,data!F:F,"&gt;="&amp;B1086)</f>
        <v>574</v>
      </c>
      <c r="E1086">
        <f>COUNTIFS(data!D:D,data!$J$2,data!F:F,"&lt;"&amp;B1086)</f>
        <v>149</v>
      </c>
      <c r="F1086">
        <f>COUNTIFS(data!D:D,data!$I$2,data!F:F,"&lt;"&amp;B1086)</f>
        <v>23</v>
      </c>
      <c r="G1086">
        <f t="shared" si="114"/>
        <v>0.79391424619640383</v>
      </c>
      <c r="H1086">
        <f t="shared" si="115"/>
        <v>0.95692883895131087</v>
      </c>
      <c r="I1086">
        <f t="shared" si="116"/>
        <v>1.3235530275951693E-3</v>
      </c>
      <c r="J1086">
        <f t="shared" si="117"/>
        <v>0.47096774193548385</v>
      </c>
      <c r="K1086">
        <f t="shared" si="118"/>
        <v>0.63125386040765907</v>
      </c>
      <c r="L1086">
        <f>A1086*COUNTIF(data!D:D,data!$I$2)/data!$L$2</f>
        <v>460.93078758949883</v>
      </c>
      <c r="M1086" s="1">
        <f>A1086/data!$L$2</f>
        <v>0.86316626889419257</v>
      </c>
      <c r="N1086">
        <f t="shared" si="119"/>
        <v>1.1086263138818411</v>
      </c>
    </row>
    <row r="1087" spans="1:14" x14ac:dyDescent="0.2">
      <c r="A1087">
        <v>1086</v>
      </c>
      <c r="B1087">
        <f>LARGE(data!F:F,A1087)</f>
        <v>0.17215731400000001</v>
      </c>
      <c r="C1087">
        <f>COUNTIFS(data!D:D,data!$I$2,data!F:F,"&gt;="&amp;B1087)</f>
        <v>513</v>
      </c>
      <c r="D1087">
        <f>COUNTIFS(data!D:D,data!$J$2,data!F:F,"&gt;="&amp;B1087)</f>
        <v>575</v>
      </c>
      <c r="E1087">
        <f>COUNTIFS(data!D:D,data!$J$2,data!F:F,"&lt;"&amp;B1087)</f>
        <v>148</v>
      </c>
      <c r="F1087">
        <f>COUNTIFS(data!D:D,data!$I$2,data!F:F,"&lt;"&amp;B1087)</f>
        <v>21</v>
      </c>
      <c r="G1087">
        <f t="shared" si="114"/>
        <v>0.79529737206085749</v>
      </c>
      <c r="H1087">
        <f t="shared" si="115"/>
        <v>0.9606741573033708</v>
      </c>
      <c r="I1087">
        <f t="shared" si="116"/>
        <v>1.326143150936843E-3</v>
      </c>
      <c r="J1087">
        <f t="shared" si="117"/>
        <v>0.47150735294117646</v>
      </c>
      <c r="K1087">
        <f t="shared" si="118"/>
        <v>0.63255240443896421</v>
      </c>
      <c r="L1087">
        <f>A1087*COUNTIF(data!D:D,data!$I$2)/data!$L$2</f>
        <v>461.35560859188541</v>
      </c>
      <c r="M1087" s="1">
        <f>A1087/data!$L$2</f>
        <v>0.86396181384248205</v>
      </c>
      <c r="N1087">
        <f t="shared" si="119"/>
        <v>1.111940530138432</v>
      </c>
    </row>
    <row r="1088" spans="1:14" x14ac:dyDescent="0.2">
      <c r="A1088">
        <v>1087</v>
      </c>
      <c r="B1088">
        <f>LARGE(data!F:F,A1088)</f>
        <v>0.17215731400000001</v>
      </c>
      <c r="C1088">
        <f>COUNTIFS(data!D:D,data!$I$2,data!F:F,"&gt;="&amp;B1088)</f>
        <v>513</v>
      </c>
      <c r="D1088">
        <f>COUNTIFS(data!D:D,data!$J$2,data!F:F,"&gt;="&amp;B1088)</f>
        <v>575</v>
      </c>
      <c r="E1088">
        <f>COUNTIFS(data!D:D,data!$J$2,data!F:F,"&lt;"&amp;B1088)</f>
        <v>148</v>
      </c>
      <c r="F1088">
        <f>COUNTIFS(data!D:D,data!$I$2,data!F:F,"&lt;"&amp;B1088)</f>
        <v>21</v>
      </c>
      <c r="G1088">
        <f t="shared" si="114"/>
        <v>0.79529737206085749</v>
      </c>
      <c r="H1088">
        <f t="shared" si="115"/>
        <v>0.9606741573033708</v>
      </c>
      <c r="I1088">
        <f t="shared" si="116"/>
        <v>0</v>
      </c>
      <c r="J1088">
        <f t="shared" si="117"/>
        <v>0.47150735294117646</v>
      </c>
      <c r="K1088">
        <f t="shared" si="118"/>
        <v>0.63255240443896421</v>
      </c>
      <c r="L1088">
        <f>A1088*COUNTIF(data!D:D,data!$I$2)/data!$L$2</f>
        <v>461.78042959427205</v>
      </c>
      <c r="M1088" s="1">
        <f>A1088/data!$L$2</f>
        <v>0.86475735879077165</v>
      </c>
      <c r="N1088">
        <f t="shared" si="119"/>
        <v>1.1109175857684794</v>
      </c>
    </row>
    <row r="1089" spans="1:14" x14ac:dyDescent="0.2">
      <c r="A1089">
        <v>1088</v>
      </c>
      <c r="B1089">
        <f>LARGE(data!F:F,A1089)</f>
        <v>0.17215731400000001</v>
      </c>
      <c r="C1089">
        <f>COUNTIFS(data!D:D,data!$I$2,data!F:F,"&gt;="&amp;B1089)</f>
        <v>513</v>
      </c>
      <c r="D1089">
        <f>COUNTIFS(data!D:D,data!$J$2,data!F:F,"&gt;="&amp;B1089)</f>
        <v>575</v>
      </c>
      <c r="E1089">
        <f>COUNTIFS(data!D:D,data!$J$2,data!F:F,"&lt;"&amp;B1089)</f>
        <v>148</v>
      </c>
      <c r="F1089">
        <f>COUNTIFS(data!D:D,data!$I$2,data!F:F,"&lt;"&amp;B1089)</f>
        <v>21</v>
      </c>
      <c r="G1089">
        <f t="shared" si="114"/>
        <v>0.79529737206085749</v>
      </c>
      <c r="H1089">
        <f t="shared" si="115"/>
        <v>0.9606741573033708</v>
      </c>
      <c r="I1089">
        <f t="shared" si="116"/>
        <v>0</v>
      </c>
      <c r="J1089">
        <f t="shared" si="117"/>
        <v>0.47150735294117646</v>
      </c>
      <c r="K1089">
        <f t="shared" si="118"/>
        <v>0.63255240443896421</v>
      </c>
      <c r="L1089">
        <f>A1089*COUNTIF(data!D:D,data!$I$2)/data!$L$2</f>
        <v>462.20525059665869</v>
      </c>
      <c r="M1089" s="1">
        <f>A1089/data!$L$2</f>
        <v>0.86555290373906124</v>
      </c>
      <c r="N1089">
        <f t="shared" si="119"/>
        <v>1.1098965218109715</v>
      </c>
    </row>
    <row r="1090" spans="1:14" x14ac:dyDescent="0.2">
      <c r="A1090">
        <v>1089</v>
      </c>
      <c r="B1090">
        <f>LARGE(data!F:F,A1090)</f>
        <v>0.1710737903</v>
      </c>
      <c r="C1090">
        <f>COUNTIFS(data!D:D,data!$I$2,data!F:F,"&gt;="&amp;B1090)</f>
        <v>513</v>
      </c>
      <c r="D1090">
        <f>COUNTIFS(data!D:D,data!$J$2,data!F:F,"&gt;="&amp;B1090)</f>
        <v>576</v>
      </c>
      <c r="E1090">
        <f>COUNTIFS(data!D:D,data!$J$2,data!F:F,"&lt;"&amp;B1090)</f>
        <v>147</v>
      </c>
      <c r="F1090">
        <f>COUNTIFS(data!D:D,data!$I$2,data!F:F,"&lt;"&amp;B1090)</f>
        <v>21</v>
      </c>
      <c r="G1090">
        <f t="shared" si="114"/>
        <v>0.79668049792531115</v>
      </c>
      <c r="H1090">
        <f t="shared" si="115"/>
        <v>0.9606741573033708</v>
      </c>
      <c r="I1090">
        <f t="shared" si="116"/>
        <v>1.3287332742785165E-3</v>
      </c>
      <c r="J1090">
        <f t="shared" si="117"/>
        <v>0.47107438016528924</v>
      </c>
      <c r="K1090">
        <f t="shared" si="118"/>
        <v>0.63216266173752311</v>
      </c>
      <c r="L1090">
        <f>A1090*COUNTIF(data!D:D,data!$I$2)/data!$L$2</f>
        <v>462.63007159904532</v>
      </c>
      <c r="M1090" s="1">
        <f>A1090/data!$L$2</f>
        <v>0.86634844868735084</v>
      </c>
      <c r="N1090">
        <f t="shared" si="119"/>
        <v>1.1088773330857091</v>
      </c>
    </row>
    <row r="1091" spans="1:14" x14ac:dyDescent="0.2">
      <c r="A1091">
        <v>1090</v>
      </c>
      <c r="B1091">
        <f>LARGE(data!F:F,A1091)</f>
        <v>0.1684444933</v>
      </c>
      <c r="C1091">
        <f>COUNTIFS(data!D:D,data!$I$2,data!F:F,"&gt;="&amp;B1091)</f>
        <v>513</v>
      </c>
      <c r="D1091">
        <f>COUNTIFS(data!D:D,data!$J$2,data!F:F,"&gt;="&amp;B1091)</f>
        <v>577</v>
      </c>
      <c r="E1091">
        <f>COUNTIFS(data!D:D,data!$J$2,data!F:F,"&lt;"&amp;B1091)</f>
        <v>146</v>
      </c>
      <c r="F1091">
        <f>COUNTIFS(data!D:D,data!$I$2,data!F:F,"&lt;"&amp;B1091)</f>
        <v>21</v>
      </c>
      <c r="G1091">
        <f t="shared" si="114"/>
        <v>0.79806362378976492</v>
      </c>
      <c r="H1091">
        <f t="shared" si="115"/>
        <v>0.9606741573033708</v>
      </c>
      <c r="I1091">
        <f t="shared" si="116"/>
        <v>1.3287332742786232E-3</v>
      </c>
      <c r="J1091">
        <f t="shared" si="117"/>
        <v>0.47064220183486238</v>
      </c>
      <c r="K1091">
        <f t="shared" si="118"/>
        <v>0.63177339901477825</v>
      </c>
      <c r="L1091">
        <f>A1091*COUNTIF(data!D:D,data!$I$2)/data!$L$2</f>
        <v>463.05489260143196</v>
      </c>
      <c r="M1091" s="1">
        <f>A1091/data!$L$2</f>
        <v>0.86714399363564043</v>
      </c>
      <c r="N1091">
        <f t="shared" si="119"/>
        <v>1.1078600144315021</v>
      </c>
    </row>
    <row r="1092" spans="1:14" x14ac:dyDescent="0.2">
      <c r="A1092">
        <v>1091</v>
      </c>
      <c r="B1092">
        <f>LARGE(data!F:F,A1092)</f>
        <v>0.16775358430000001</v>
      </c>
      <c r="C1092">
        <f>COUNTIFS(data!D:D,data!$I$2,data!F:F,"&gt;="&amp;B1092)</f>
        <v>513</v>
      </c>
      <c r="D1092">
        <f>COUNTIFS(data!D:D,data!$J$2,data!F:F,"&gt;="&amp;B1092)</f>
        <v>578</v>
      </c>
      <c r="E1092">
        <f>COUNTIFS(data!D:D,data!$J$2,data!F:F,"&lt;"&amp;B1092)</f>
        <v>145</v>
      </c>
      <c r="F1092">
        <f>COUNTIFS(data!D:D,data!$I$2,data!F:F,"&lt;"&amp;B1092)</f>
        <v>21</v>
      </c>
      <c r="G1092">
        <f t="shared" si="114"/>
        <v>0.79944674965421858</v>
      </c>
      <c r="H1092">
        <f t="shared" si="115"/>
        <v>0.9606741573033708</v>
      </c>
      <c r="I1092">
        <f t="shared" si="116"/>
        <v>1.3287332742785165E-3</v>
      </c>
      <c r="J1092">
        <f t="shared" si="117"/>
        <v>0.4702108157653529</v>
      </c>
      <c r="K1092">
        <f t="shared" si="118"/>
        <v>0.63138461538461543</v>
      </c>
      <c r="L1092">
        <f>A1092*COUNTIF(data!D:D,data!$I$2)/data!$L$2</f>
        <v>463.4797136038186</v>
      </c>
      <c r="M1092" s="1">
        <f>A1092/data!$L$2</f>
        <v>0.86793953858393003</v>
      </c>
      <c r="N1092">
        <f t="shared" si="119"/>
        <v>1.1068445607060835</v>
      </c>
    </row>
    <row r="1093" spans="1:14" x14ac:dyDescent="0.2">
      <c r="A1093">
        <v>1092</v>
      </c>
      <c r="B1093">
        <f>LARGE(data!F:F,A1093)</f>
        <v>0.16772030290000001</v>
      </c>
      <c r="C1093">
        <f>COUNTIFS(data!D:D,data!$I$2,data!F:F,"&gt;="&amp;B1093)</f>
        <v>513</v>
      </c>
      <c r="D1093">
        <f>COUNTIFS(data!D:D,data!$J$2,data!F:F,"&gt;="&amp;B1093)</f>
        <v>579</v>
      </c>
      <c r="E1093">
        <f>COUNTIFS(data!D:D,data!$J$2,data!F:F,"&lt;"&amp;B1093)</f>
        <v>144</v>
      </c>
      <c r="F1093">
        <f>COUNTIFS(data!D:D,data!$I$2,data!F:F,"&lt;"&amp;B1093)</f>
        <v>21</v>
      </c>
      <c r="G1093">
        <f t="shared" si="114"/>
        <v>0.80082987551867224</v>
      </c>
      <c r="H1093">
        <f t="shared" si="115"/>
        <v>0.9606741573033708</v>
      </c>
      <c r="I1093">
        <f t="shared" si="116"/>
        <v>1.3287332742785165E-3</v>
      </c>
      <c r="J1093">
        <f t="shared" si="117"/>
        <v>0.46978021978021978</v>
      </c>
      <c r="K1093">
        <f t="shared" si="118"/>
        <v>0.63099630996309963</v>
      </c>
      <c r="L1093">
        <f>A1093*COUNTIF(data!D:D,data!$I$2)/data!$L$2</f>
        <v>463.90453460620523</v>
      </c>
      <c r="M1093" s="1">
        <f>A1093/data!$L$2</f>
        <v>0.86873508353221962</v>
      </c>
      <c r="N1093">
        <f t="shared" si="119"/>
        <v>1.1058309667860231</v>
      </c>
    </row>
    <row r="1094" spans="1:14" x14ac:dyDescent="0.2">
      <c r="A1094">
        <v>1093</v>
      </c>
      <c r="B1094">
        <f>LARGE(data!F:F,A1094)</f>
        <v>0.1659812249</v>
      </c>
      <c r="C1094">
        <f>COUNTIFS(data!D:D,data!$I$2,data!F:F,"&gt;="&amp;B1094)</f>
        <v>513</v>
      </c>
      <c r="D1094">
        <f>COUNTIFS(data!D:D,data!$J$2,data!F:F,"&gt;="&amp;B1094)</f>
        <v>580</v>
      </c>
      <c r="E1094">
        <f>COUNTIFS(data!D:D,data!$J$2,data!F:F,"&lt;"&amp;B1094)</f>
        <v>143</v>
      </c>
      <c r="F1094">
        <f>COUNTIFS(data!D:D,data!$I$2,data!F:F,"&lt;"&amp;B1094)</f>
        <v>21</v>
      </c>
      <c r="G1094">
        <f t="shared" si="114"/>
        <v>0.8022130013831259</v>
      </c>
      <c r="H1094">
        <f t="shared" si="115"/>
        <v>0.9606741573033708</v>
      </c>
      <c r="I1094">
        <f t="shared" si="116"/>
        <v>1.3287332742785165E-3</v>
      </c>
      <c r="J1094">
        <f t="shared" si="117"/>
        <v>0.46935041171088748</v>
      </c>
      <c r="K1094">
        <f t="shared" si="118"/>
        <v>0.63060848186846952</v>
      </c>
      <c r="L1094">
        <f>A1094*COUNTIF(data!D:D,data!$I$2)/data!$L$2</f>
        <v>464.32935560859187</v>
      </c>
      <c r="M1094" s="1">
        <f>A1094/data!$L$2</f>
        <v>0.8695306284805091</v>
      </c>
      <c r="N1094">
        <f t="shared" si="119"/>
        <v>1.1048192275666395</v>
      </c>
    </row>
    <row r="1095" spans="1:14" x14ac:dyDescent="0.2">
      <c r="A1095">
        <v>1094</v>
      </c>
      <c r="B1095">
        <f>LARGE(data!F:F,A1095)</f>
        <v>0.16515312700000001</v>
      </c>
      <c r="C1095">
        <f>COUNTIFS(data!D:D,data!$I$2,data!F:F,"&gt;="&amp;B1095)</f>
        <v>514</v>
      </c>
      <c r="D1095">
        <f>COUNTIFS(data!D:D,data!$J$2,data!F:F,"&gt;="&amp;B1095)</f>
        <v>581</v>
      </c>
      <c r="E1095">
        <f>COUNTIFS(data!D:D,data!$J$2,data!F:F,"&lt;"&amp;B1095)</f>
        <v>142</v>
      </c>
      <c r="F1095">
        <f>COUNTIFS(data!D:D,data!$I$2,data!F:F,"&lt;"&amp;B1095)</f>
        <v>20</v>
      </c>
      <c r="G1095">
        <f t="shared" si="114"/>
        <v>0.80359612724757956</v>
      </c>
      <c r="H1095">
        <f t="shared" si="115"/>
        <v>0.96254681647940077</v>
      </c>
      <c r="I1095">
        <f t="shared" si="116"/>
        <v>1.3300283359493532E-3</v>
      </c>
      <c r="J1095">
        <f t="shared" si="117"/>
        <v>0.46940639269406392</v>
      </c>
      <c r="K1095">
        <f t="shared" si="118"/>
        <v>0.63106200122774703</v>
      </c>
      <c r="L1095">
        <f>A1095*COUNTIF(data!D:D,data!$I$2)/data!$L$2</f>
        <v>464.7541766109785</v>
      </c>
      <c r="M1095" s="1">
        <f>A1095/data!$L$2</f>
        <v>0.8703261734287987</v>
      </c>
      <c r="N1095">
        <f t="shared" si="119"/>
        <v>1.1059610130846498</v>
      </c>
    </row>
    <row r="1096" spans="1:14" x14ac:dyDescent="0.2">
      <c r="A1096">
        <v>1095</v>
      </c>
      <c r="B1096">
        <f>LARGE(data!F:F,A1096)</f>
        <v>0.16515312700000001</v>
      </c>
      <c r="C1096">
        <f>COUNTIFS(data!D:D,data!$I$2,data!F:F,"&gt;="&amp;B1096)</f>
        <v>514</v>
      </c>
      <c r="D1096">
        <f>COUNTIFS(data!D:D,data!$J$2,data!F:F,"&gt;="&amp;B1096)</f>
        <v>581</v>
      </c>
      <c r="E1096">
        <f>COUNTIFS(data!D:D,data!$J$2,data!F:F,"&lt;"&amp;B1096)</f>
        <v>142</v>
      </c>
      <c r="F1096">
        <f>COUNTIFS(data!D:D,data!$I$2,data!F:F,"&lt;"&amp;B1096)</f>
        <v>20</v>
      </c>
      <c r="G1096">
        <f t="shared" si="114"/>
        <v>0.80359612724757956</v>
      </c>
      <c r="H1096">
        <f t="shared" si="115"/>
        <v>0.96254681647940077</v>
      </c>
      <c r="I1096">
        <f t="shared" si="116"/>
        <v>0</v>
      </c>
      <c r="J1096">
        <f t="shared" si="117"/>
        <v>0.46940639269406392</v>
      </c>
      <c r="K1096">
        <f t="shared" si="118"/>
        <v>0.63106200122774703</v>
      </c>
      <c r="L1096">
        <f>A1096*COUNTIF(data!D:D,data!$I$2)/data!$L$2</f>
        <v>465.17899761336514</v>
      </c>
      <c r="M1096" s="1">
        <f>A1096/data!$L$2</f>
        <v>0.87112171837708829</v>
      </c>
      <c r="N1096">
        <f t="shared" si="119"/>
        <v>1.1049510030270382</v>
      </c>
    </row>
    <row r="1097" spans="1:14" x14ac:dyDescent="0.2">
      <c r="A1097">
        <v>1096</v>
      </c>
      <c r="B1097">
        <f>LARGE(data!F:F,A1097)</f>
        <v>0.1648282442</v>
      </c>
      <c r="C1097">
        <f>COUNTIFS(data!D:D,data!$I$2,data!F:F,"&gt;="&amp;B1097)</f>
        <v>514</v>
      </c>
      <c r="D1097">
        <f>COUNTIFS(data!D:D,data!$J$2,data!F:F,"&gt;="&amp;B1097)</f>
        <v>582</v>
      </c>
      <c r="E1097">
        <f>COUNTIFS(data!D:D,data!$J$2,data!F:F,"&lt;"&amp;B1097)</f>
        <v>141</v>
      </c>
      <c r="F1097">
        <f>COUNTIFS(data!D:D,data!$I$2,data!F:F,"&lt;"&amp;B1097)</f>
        <v>20</v>
      </c>
      <c r="G1097">
        <f t="shared" si="114"/>
        <v>0.80497925311203322</v>
      </c>
      <c r="H1097">
        <f t="shared" si="115"/>
        <v>0.96254681647940077</v>
      </c>
      <c r="I1097">
        <f t="shared" si="116"/>
        <v>1.33132339762019E-3</v>
      </c>
      <c r="J1097">
        <f t="shared" si="117"/>
        <v>0.46897810218978103</v>
      </c>
      <c r="K1097">
        <f t="shared" si="118"/>
        <v>0.63067484662576678</v>
      </c>
      <c r="L1097">
        <f>A1097*COUNTIF(data!D:D,data!$I$2)/data!$L$2</f>
        <v>465.60381861575178</v>
      </c>
      <c r="M1097" s="1">
        <f>A1097/data!$L$2</f>
        <v>0.87191726332537789</v>
      </c>
      <c r="N1097">
        <f t="shared" si="119"/>
        <v>1.1039428360534733</v>
      </c>
    </row>
    <row r="1098" spans="1:14" x14ac:dyDescent="0.2">
      <c r="A1098">
        <v>1097</v>
      </c>
      <c r="B1098">
        <f>LARGE(data!F:F,A1098)</f>
        <v>0.1640655178</v>
      </c>
      <c r="C1098">
        <f>COUNTIFS(data!D:D,data!$I$2,data!F:F,"&gt;="&amp;B1098)</f>
        <v>514</v>
      </c>
      <c r="D1098">
        <f>COUNTIFS(data!D:D,data!$J$2,data!F:F,"&gt;="&amp;B1098)</f>
        <v>583</v>
      </c>
      <c r="E1098">
        <f>COUNTIFS(data!D:D,data!$J$2,data!F:F,"&lt;"&amp;B1098)</f>
        <v>140</v>
      </c>
      <c r="F1098">
        <f>COUNTIFS(data!D:D,data!$I$2,data!F:F,"&lt;"&amp;B1098)</f>
        <v>20</v>
      </c>
      <c r="G1098">
        <f t="shared" si="114"/>
        <v>0.80636237897648688</v>
      </c>
      <c r="H1098">
        <f t="shared" si="115"/>
        <v>0.96254681647940077</v>
      </c>
      <c r="I1098">
        <f t="shared" si="116"/>
        <v>1.33132339762019E-3</v>
      </c>
      <c r="J1098">
        <f t="shared" si="117"/>
        <v>0.46855059252506837</v>
      </c>
      <c r="K1098">
        <f t="shared" si="118"/>
        <v>0.63028816676885346</v>
      </c>
      <c r="L1098">
        <f>A1098*COUNTIF(data!D:D,data!$I$2)/data!$L$2</f>
        <v>466.02863961813841</v>
      </c>
      <c r="M1098" s="1">
        <f>A1098/data!$L$2</f>
        <v>0.87271280827366748</v>
      </c>
      <c r="N1098">
        <f t="shared" si="119"/>
        <v>1.1029365071236161</v>
      </c>
    </row>
    <row r="1099" spans="1:14" x14ac:dyDescent="0.2">
      <c r="A1099">
        <v>1098</v>
      </c>
      <c r="B1099">
        <f>LARGE(data!F:F,A1099)</f>
        <v>0.16325080910000001</v>
      </c>
      <c r="C1099">
        <f>COUNTIFS(data!D:D,data!$I$2,data!F:F,"&gt;="&amp;B1099)</f>
        <v>515</v>
      </c>
      <c r="D1099">
        <f>COUNTIFS(data!D:D,data!$J$2,data!F:F,"&gt;="&amp;B1099)</f>
        <v>583</v>
      </c>
      <c r="E1099">
        <f>COUNTIFS(data!D:D,data!$J$2,data!F:F,"&lt;"&amp;B1099)</f>
        <v>140</v>
      </c>
      <c r="F1099">
        <f>COUNTIFS(data!D:D,data!$I$2,data!F:F,"&lt;"&amp;B1099)</f>
        <v>19</v>
      </c>
      <c r="G1099">
        <f t="shared" si="114"/>
        <v>0.80636237897648688</v>
      </c>
      <c r="H1099">
        <f t="shared" si="115"/>
        <v>0.96441947565543074</v>
      </c>
      <c r="I1099">
        <f t="shared" si="116"/>
        <v>0</v>
      </c>
      <c r="J1099">
        <f t="shared" si="117"/>
        <v>0.46903460837887068</v>
      </c>
      <c r="K1099">
        <f t="shared" si="118"/>
        <v>0.63112745098039214</v>
      </c>
      <c r="L1099">
        <f>A1099*COUNTIF(data!D:D,data!$I$2)/data!$L$2</f>
        <v>466.45346062052505</v>
      </c>
      <c r="M1099" s="1">
        <f>A1099/data!$L$2</f>
        <v>0.87350835322195708</v>
      </c>
      <c r="N1099">
        <f t="shared" si="119"/>
        <v>1.1040758478131845</v>
      </c>
    </row>
    <row r="1100" spans="1:14" x14ac:dyDescent="0.2">
      <c r="A1100">
        <v>1099</v>
      </c>
      <c r="B1100">
        <f>LARGE(data!F:F,A1100)</f>
        <v>0.1624576358</v>
      </c>
      <c r="C1100">
        <f>COUNTIFS(data!D:D,data!$I$2,data!F:F,"&gt;="&amp;B1100)</f>
        <v>515</v>
      </c>
      <c r="D1100">
        <f>COUNTIFS(data!D:D,data!$J$2,data!F:F,"&gt;="&amp;B1100)</f>
        <v>584</v>
      </c>
      <c r="E1100">
        <f>COUNTIFS(data!D:D,data!$J$2,data!F:F,"&lt;"&amp;B1100)</f>
        <v>139</v>
      </c>
      <c r="F1100">
        <f>COUNTIFS(data!D:D,data!$I$2,data!F:F,"&lt;"&amp;B1100)</f>
        <v>19</v>
      </c>
      <c r="G1100">
        <f t="shared" si="114"/>
        <v>0.80774550484094054</v>
      </c>
      <c r="H1100">
        <f t="shared" si="115"/>
        <v>0.96441947565543074</v>
      </c>
      <c r="I1100">
        <f t="shared" si="116"/>
        <v>1.3339135209618634E-3</v>
      </c>
      <c r="J1100">
        <f t="shared" si="117"/>
        <v>0.46860782529572337</v>
      </c>
      <c r="K1100">
        <f t="shared" si="118"/>
        <v>0.63074096754439679</v>
      </c>
      <c r="L1100">
        <f>A1100*COUNTIF(data!D:D,data!$I$2)/data!$L$2</f>
        <v>466.87828162291169</v>
      </c>
      <c r="M1100" s="1">
        <f>A1100/data!$L$2</f>
        <v>0.87430389817024667</v>
      </c>
      <c r="N1100">
        <f t="shared" si="119"/>
        <v>1.1030712292073488</v>
      </c>
    </row>
    <row r="1101" spans="1:14" x14ac:dyDescent="0.2">
      <c r="A1101">
        <v>1100</v>
      </c>
      <c r="B1101">
        <f>LARGE(data!F:F,A1101)</f>
        <v>0.1619288351</v>
      </c>
      <c r="C1101">
        <f>COUNTIFS(data!D:D,data!$I$2,data!F:F,"&gt;="&amp;B1101)</f>
        <v>515</v>
      </c>
      <c r="D1101">
        <f>COUNTIFS(data!D:D,data!$J$2,data!F:F,"&gt;="&amp;B1101)</f>
        <v>585</v>
      </c>
      <c r="E1101">
        <f>COUNTIFS(data!D:D,data!$J$2,data!F:F,"&lt;"&amp;B1101)</f>
        <v>138</v>
      </c>
      <c r="F1101">
        <f>COUNTIFS(data!D:D,data!$I$2,data!F:F,"&lt;"&amp;B1101)</f>
        <v>19</v>
      </c>
      <c r="G1101">
        <f t="shared" si="114"/>
        <v>0.8091286307053942</v>
      </c>
      <c r="H1101">
        <f t="shared" si="115"/>
        <v>0.96441947565543074</v>
      </c>
      <c r="I1101">
        <f t="shared" si="116"/>
        <v>1.3339135209618634E-3</v>
      </c>
      <c r="J1101">
        <f t="shared" si="117"/>
        <v>0.4681818181818182</v>
      </c>
      <c r="K1101">
        <f t="shared" si="118"/>
        <v>0.63035495716034273</v>
      </c>
      <c r="L1101">
        <f>A1101*COUNTIF(data!D:D,data!$I$2)/data!$L$2</f>
        <v>467.30310262529832</v>
      </c>
      <c r="M1101" s="1">
        <f>A1101/data!$L$2</f>
        <v>0.87509944311853616</v>
      </c>
      <c r="N1101">
        <f t="shared" si="119"/>
        <v>1.1020684371807967</v>
      </c>
    </row>
    <row r="1102" spans="1:14" x14ac:dyDescent="0.2">
      <c r="A1102">
        <v>1101</v>
      </c>
      <c r="B1102">
        <f>LARGE(data!F:F,A1102)</f>
        <v>0.16166853740000001</v>
      </c>
      <c r="C1102">
        <f>COUNTIFS(data!D:D,data!$I$2,data!F:F,"&gt;="&amp;B1102)</f>
        <v>515</v>
      </c>
      <c r="D1102">
        <f>COUNTIFS(data!D:D,data!$J$2,data!F:F,"&gt;="&amp;B1102)</f>
        <v>586</v>
      </c>
      <c r="E1102">
        <f>COUNTIFS(data!D:D,data!$J$2,data!F:F,"&lt;"&amp;B1102)</f>
        <v>137</v>
      </c>
      <c r="F1102">
        <f>COUNTIFS(data!D:D,data!$I$2,data!F:F,"&lt;"&amp;B1102)</f>
        <v>19</v>
      </c>
      <c r="G1102">
        <f t="shared" si="114"/>
        <v>0.81051175656984786</v>
      </c>
      <c r="H1102">
        <f t="shared" si="115"/>
        <v>0.96441947565543074</v>
      </c>
      <c r="I1102">
        <f t="shared" si="116"/>
        <v>1.3339135209618634E-3</v>
      </c>
      <c r="J1102">
        <f t="shared" si="117"/>
        <v>0.46775658492279748</v>
      </c>
      <c r="K1102">
        <f t="shared" si="118"/>
        <v>0.62996941896024461</v>
      </c>
      <c r="L1102">
        <f>A1102*COUNTIF(data!D:D,data!$I$2)/data!$L$2</f>
        <v>467.72792362768496</v>
      </c>
      <c r="M1102" s="1">
        <f>A1102/data!$L$2</f>
        <v>0.87589498806682575</v>
      </c>
      <c r="N1102">
        <f t="shared" si="119"/>
        <v>1.1010674667564726</v>
      </c>
    </row>
    <row r="1103" spans="1:14" x14ac:dyDescent="0.2">
      <c r="A1103">
        <v>1102</v>
      </c>
      <c r="B1103">
        <f>LARGE(data!F:F,A1103)</f>
        <v>0.1602570338</v>
      </c>
      <c r="C1103">
        <f>COUNTIFS(data!D:D,data!$I$2,data!F:F,"&gt;="&amp;B1103)</f>
        <v>515</v>
      </c>
      <c r="D1103">
        <f>COUNTIFS(data!D:D,data!$J$2,data!F:F,"&gt;="&amp;B1103)</f>
        <v>587</v>
      </c>
      <c r="E1103">
        <f>COUNTIFS(data!D:D,data!$J$2,data!F:F,"&lt;"&amp;B1103)</f>
        <v>136</v>
      </c>
      <c r="F1103">
        <f>COUNTIFS(data!D:D,data!$I$2,data!F:F,"&lt;"&amp;B1103)</f>
        <v>19</v>
      </c>
      <c r="G1103">
        <f t="shared" si="114"/>
        <v>0.81189488243430152</v>
      </c>
      <c r="H1103">
        <f t="shared" si="115"/>
        <v>0.96441947565543074</v>
      </c>
      <c r="I1103">
        <f t="shared" si="116"/>
        <v>1.3339135209618634E-3</v>
      </c>
      <c r="J1103">
        <f t="shared" si="117"/>
        <v>0.46733212341197822</v>
      </c>
      <c r="K1103">
        <f t="shared" si="118"/>
        <v>0.6295843520782396</v>
      </c>
      <c r="L1103">
        <f>A1103*COUNTIF(data!D:D,data!$I$2)/data!$L$2</f>
        <v>468.1527446300716</v>
      </c>
      <c r="M1103" s="1">
        <f>A1103/data!$L$2</f>
        <v>0.87669053301511535</v>
      </c>
      <c r="N1103">
        <f t="shared" si="119"/>
        <v>1.100068312975387</v>
      </c>
    </row>
    <row r="1104" spans="1:14" x14ac:dyDescent="0.2">
      <c r="A1104">
        <v>1103</v>
      </c>
      <c r="B1104">
        <f>LARGE(data!F:F,A1104)</f>
        <v>0.16021174099999999</v>
      </c>
      <c r="C1104">
        <f>COUNTIFS(data!D:D,data!$I$2,data!F:F,"&gt;="&amp;B1104)</f>
        <v>515</v>
      </c>
      <c r="D1104">
        <f>COUNTIFS(data!D:D,data!$J$2,data!F:F,"&gt;="&amp;B1104)</f>
        <v>588</v>
      </c>
      <c r="E1104">
        <f>COUNTIFS(data!D:D,data!$J$2,data!F:F,"&lt;"&amp;B1104)</f>
        <v>135</v>
      </c>
      <c r="F1104">
        <f>COUNTIFS(data!D:D,data!$I$2,data!F:F,"&lt;"&amp;B1104)</f>
        <v>19</v>
      </c>
      <c r="G1104">
        <f t="shared" si="114"/>
        <v>0.81327800829875518</v>
      </c>
      <c r="H1104">
        <f t="shared" si="115"/>
        <v>0.96441947565543074</v>
      </c>
      <c r="I1104">
        <f t="shared" si="116"/>
        <v>1.3339135209618634E-3</v>
      </c>
      <c r="J1104">
        <f t="shared" si="117"/>
        <v>0.4669084315503173</v>
      </c>
      <c r="K1104">
        <f t="shared" si="118"/>
        <v>0.62919975565058028</v>
      </c>
      <c r="L1104">
        <f>A1104*COUNTIF(data!D:D,data!$I$2)/data!$L$2</f>
        <v>468.57756563245823</v>
      </c>
      <c r="M1104" s="1">
        <f>A1104/data!$L$2</f>
        <v>0.87748607796340494</v>
      </c>
      <c r="N1104">
        <f t="shared" si="119"/>
        <v>1.0990709708965334</v>
      </c>
    </row>
    <row r="1105" spans="1:14" x14ac:dyDescent="0.2">
      <c r="A1105">
        <v>1104</v>
      </c>
      <c r="B1105">
        <f>LARGE(data!F:F,A1105)</f>
        <v>0.1601243426</v>
      </c>
      <c r="C1105">
        <f>COUNTIFS(data!D:D,data!$I$2,data!F:F,"&gt;="&amp;B1105)</f>
        <v>515</v>
      </c>
      <c r="D1105">
        <f>COUNTIFS(data!D:D,data!$J$2,data!F:F,"&gt;="&amp;B1105)</f>
        <v>589</v>
      </c>
      <c r="E1105">
        <f>COUNTIFS(data!D:D,data!$J$2,data!F:F,"&lt;"&amp;B1105)</f>
        <v>134</v>
      </c>
      <c r="F1105">
        <f>COUNTIFS(data!D:D,data!$I$2,data!F:F,"&lt;"&amp;B1105)</f>
        <v>19</v>
      </c>
      <c r="G1105">
        <f t="shared" si="114"/>
        <v>0.81466113416320884</v>
      </c>
      <c r="H1105">
        <f t="shared" si="115"/>
        <v>0.96441947565543074</v>
      </c>
      <c r="I1105">
        <f t="shared" si="116"/>
        <v>1.3339135209618634E-3</v>
      </c>
      <c r="J1105">
        <f t="shared" si="117"/>
        <v>0.46648550724637683</v>
      </c>
      <c r="K1105">
        <f t="shared" si="118"/>
        <v>0.62881562881562891</v>
      </c>
      <c r="L1105">
        <f>A1105*COUNTIF(data!D:D,data!$I$2)/data!$L$2</f>
        <v>469.00238663484487</v>
      </c>
      <c r="M1105" s="1">
        <f>A1105/data!$L$2</f>
        <v>0.87828162291169454</v>
      </c>
      <c r="N1105">
        <f t="shared" si="119"/>
        <v>1.0980754355968083</v>
      </c>
    </row>
    <row r="1106" spans="1:14" x14ac:dyDescent="0.2">
      <c r="A1106">
        <v>1105</v>
      </c>
      <c r="B1106">
        <f>LARGE(data!F:F,A1106)</f>
        <v>0.1592447357</v>
      </c>
      <c r="C1106">
        <f>COUNTIFS(data!D:D,data!$I$2,data!F:F,"&gt;="&amp;B1106)</f>
        <v>515</v>
      </c>
      <c r="D1106">
        <f>COUNTIFS(data!D:D,data!$J$2,data!F:F,"&gt;="&amp;B1106)</f>
        <v>590</v>
      </c>
      <c r="E1106">
        <f>COUNTIFS(data!D:D,data!$J$2,data!F:F,"&lt;"&amp;B1106)</f>
        <v>133</v>
      </c>
      <c r="F1106">
        <f>COUNTIFS(data!D:D,data!$I$2,data!F:F,"&lt;"&amp;B1106)</f>
        <v>19</v>
      </c>
      <c r="G1106">
        <f t="shared" si="114"/>
        <v>0.8160442600276625</v>
      </c>
      <c r="H1106">
        <f t="shared" si="115"/>
        <v>0.96441947565543074</v>
      </c>
      <c r="I1106">
        <f t="shared" si="116"/>
        <v>1.3339135209618634E-3</v>
      </c>
      <c r="J1106">
        <f t="shared" si="117"/>
        <v>0.4660633484162896</v>
      </c>
      <c r="K1106">
        <f t="shared" si="118"/>
        <v>0.62843197071384993</v>
      </c>
      <c r="L1106">
        <f>A1106*COUNTIF(data!D:D,data!$I$2)/data!$L$2</f>
        <v>469.4272076372315</v>
      </c>
      <c r="M1106" s="1">
        <f>A1106/data!$L$2</f>
        <v>0.87907716785998413</v>
      </c>
      <c r="N1106">
        <f t="shared" si="119"/>
        <v>1.0970817021709289</v>
      </c>
    </row>
    <row r="1107" spans="1:14" x14ac:dyDescent="0.2">
      <c r="A1107">
        <v>1106</v>
      </c>
      <c r="B1107">
        <f>LARGE(data!F:F,A1107)</f>
        <v>0.1589580246</v>
      </c>
      <c r="C1107">
        <f>COUNTIFS(data!D:D,data!$I$2,data!F:F,"&gt;="&amp;B1107)</f>
        <v>515</v>
      </c>
      <c r="D1107">
        <f>COUNTIFS(data!D:D,data!$J$2,data!F:F,"&gt;="&amp;B1107)</f>
        <v>591</v>
      </c>
      <c r="E1107">
        <f>COUNTIFS(data!D:D,data!$J$2,data!F:F,"&lt;"&amp;B1107)</f>
        <v>132</v>
      </c>
      <c r="F1107">
        <f>COUNTIFS(data!D:D,data!$I$2,data!F:F,"&lt;"&amp;B1107)</f>
        <v>19</v>
      </c>
      <c r="G1107">
        <f t="shared" si="114"/>
        <v>0.81742738589211617</v>
      </c>
      <c r="H1107">
        <f t="shared" si="115"/>
        <v>0.96441947565543074</v>
      </c>
      <c r="I1107">
        <f t="shared" si="116"/>
        <v>1.3339135209618634E-3</v>
      </c>
      <c r="J1107">
        <f t="shared" si="117"/>
        <v>0.46564195298372513</v>
      </c>
      <c r="K1107">
        <f t="shared" si="118"/>
        <v>0.62804878048780488</v>
      </c>
      <c r="L1107">
        <f>A1107*COUNTIF(data!D:D,data!$I$2)/data!$L$2</f>
        <v>469.85202863961814</v>
      </c>
      <c r="M1107" s="1">
        <f>A1107/data!$L$2</f>
        <v>0.87987271280827362</v>
      </c>
      <c r="N1107">
        <f t="shared" si="119"/>
        <v>1.0960897657313531</v>
      </c>
    </row>
    <row r="1108" spans="1:14" x14ac:dyDescent="0.2">
      <c r="A1108">
        <v>1107</v>
      </c>
      <c r="B1108">
        <f>LARGE(data!F:F,A1108)</f>
        <v>0.15858127299999999</v>
      </c>
      <c r="C1108">
        <f>COUNTIFS(data!D:D,data!$I$2,data!F:F,"&gt;="&amp;B1108)</f>
        <v>515</v>
      </c>
      <c r="D1108">
        <f>COUNTIFS(data!D:D,data!$J$2,data!F:F,"&gt;="&amp;B1108)</f>
        <v>592</v>
      </c>
      <c r="E1108">
        <f>COUNTIFS(data!D:D,data!$J$2,data!F:F,"&lt;"&amp;B1108)</f>
        <v>131</v>
      </c>
      <c r="F1108">
        <f>COUNTIFS(data!D:D,data!$I$2,data!F:F,"&lt;"&amp;B1108)</f>
        <v>19</v>
      </c>
      <c r="G1108">
        <f t="shared" si="114"/>
        <v>0.81881051175656983</v>
      </c>
      <c r="H1108">
        <f t="shared" si="115"/>
        <v>0.96441947565543074</v>
      </c>
      <c r="I1108">
        <f t="shared" si="116"/>
        <v>1.3339135209618634E-3</v>
      </c>
      <c r="J1108">
        <f t="shared" si="117"/>
        <v>0.46522131887985546</v>
      </c>
      <c r="K1108">
        <f t="shared" si="118"/>
        <v>0.62766605728214497</v>
      </c>
      <c r="L1108">
        <f>A1108*COUNTIF(data!D:D,data!$I$2)/data!$L$2</f>
        <v>470.27684964200478</v>
      </c>
      <c r="M1108" s="1">
        <f>A1108/data!$L$2</f>
        <v>0.88066825775656321</v>
      </c>
      <c r="N1108">
        <f t="shared" si="119"/>
        <v>1.0950996214081992</v>
      </c>
    </row>
    <row r="1109" spans="1:14" x14ac:dyDescent="0.2">
      <c r="A1109">
        <v>1108</v>
      </c>
      <c r="B1109">
        <f>LARGE(data!F:F,A1109)</f>
        <v>0.15828238859999999</v>
      </c>
      <c r="C1109">
        <f>COUNTIFS(data!D:D,data!$I$2,data!F:F,"&gt;="&amp;B1109)</f>
        <v>515</v>
      </c>
      <c r="D1109">
        <f>COUNTIFS(data!D:D,data!$J$2,data!F:F,"&gt;="&amp;B1109)</f>
        <v>593</v>
      </c>
      <c r="E1109">
        <f>COUNTIFS(data!D:D,data!$J$2,data!F:F,"&lt;"&amp;B1109)</f>
        <v>130</v>
      </c>
      <c r="F1109">
        <f>COUNTIFS(data!D:D,data!$I$2,data!F:F,"&lt;"&amp;B1109)</f>
        <v>19</v>
      </c>
      <c r="G1109">
        <f t="shared" si="114"/>
        <v>0.82019363762102349</v>
      </c>
      <c r="H1109">
        <f t="shared" si="115"/>
        <v>0.96441947565543074</v>
      </c>
      <c r="I1109">
        <f t="shared" si="116"/>
        <v>1.3339135209618634E-3</v>
      </c>
      <c r="J1109">
        <f t="shared" si="117"/>
        <v>0.4648014440433213</v>
      </c>
      <c r="K1109">
        <f t="shared" si="118"/>
        <v>0.62728380024360542</v>
      </c>
      <c r="L1109">
        <f>A1109*COUNTIF(data!D:D,data!$I$2)/data!$L$2</f>
        <v>470.70167064439141</v>
      </c>
      <c r="M1109" s="1">
        <f>A1109/data!$L$2</f>
        <v>0.88146380270485281</v>
      </c>
      <c r="N1109">
        <f t="shared" si="119"/>
        <v>1.0941112643491664</v>
      </c>
    </row>
    <row r="1110" spans="1:14" x14ac:dyDescent="0.2">
      <c r="A1110">
        <v>1109</v>
      </c>
      <c r="B1110">
        <f>LARGE(data!F:F,A1110)</f>
        <v>0.15814519360000001</v>
      </c>
      <c r="C1110">
        <f>COUNTIFS(data!D:D,data!$I$2,data!F:F,"&gt;="&amp;B1110)</f>
        <v>515</v>
      </c>
      <c r="D1110">
        <f>COUNTIFS(data!D:D,data!$J$2,data!F:F,"&gt;="&amp;B1110)</f>
        <v>594</v>
      </c>
      <c r="E1110">
        <f>COUNTIFS(data!D:D,data!$J$2,data!F:F,"&lt;"&amp;B1110)</f>
        <v>129</v>
      </c>
      <c r="F1110">
        <f>COUNTIFS(data!D:D,data!$I$2,data!F:F,"&lt;"&amp;B1110)</f>
        <v>19</v>
      </c>
      <c r="G1110">
        <f t="shared" si="114"/>
        <v>0.82157676348547715</v>
      </c>
      <c r="H1110">
        <f t="shared" si="115"/>
        <v>0.96441947565543074</v>
      </c>
      <c r="I1110">
        <f t="shared" si="116"/>
        <v>1.3339135209618634E-3</v>
      </c>
      <c r="J1110">
        <f t="shared" si="117"/>
        <v>0.46438232642019839</v>
      </c>
      <c r="K1110">
        <f t="shared" si="118"/>
        <v>0.62690200852099831</v>
      </c>
      <c r="L1110">
        <f>A1110*COUNTIF(data!D:D,data!$I$2)/data!$L$2</f>
        <v>471.12649164677805</v>
      </c>
      <c r="M1110" s="1">
        <f>A1110/data!$L$2</f>
        <v>0.8822593476531424</v>
      </c>
      <c r="N1110">
        <f t="shared" si="119"/>
        <v>1.0931246897194558</v>
      </c>
    </row>
    <row r="1111" spans="1:14" x14ac:dyDescent="0.2">
      <c r="A1111">
        <v>1110</v>
      </c>
      <c r="B1111">
        <f>LARGE(data!F:F,A1111)</f>
        <v>0.15705201790000001</v>
      </c>
      <c r="C1111">
        <f>COUNTIFS(data!D:D,data!$I$2,data!F:F,"&gt;="&amp;B1111)</f>
        <v>516</v>
      </c>
      <c r="D1111">
        <f>COUNTIFS(data!D:D,data!$J$2,data!F:F,"&gt;="&amp;B1111)</f>
        <v>594</v>
      </c>
      <c r="E1111">
        <f>COUNTIFS(data!D:D,data!$J$2,data!F:F,"&lt;"&amp;B1111)</f>
        <v>129</v>
      </c>
      <c r="F1111">
        <f>COUNTIFS(data!D:D,data!$I$2,data!F:F,"&lt;"&amp;B1111)</f>
        <v>18</v>
      </c>
      <c r="G1111">
        <f t="shared" si="114"/>
        <v>0.82157676348547715</v>
      </c>
      <c r="H1111">
        <f t="shared" si="115"/>
        <v>0.9662921348314607</v>
      </c>
      <c r="I1111">
        <f t="shared" si="116"/>
        <v>0</v>
      </c>
      <c r="J1111">
        <f t="shared" si="117"/>
        <v>0.46486486486486489</v>
      </c>
      <c r="K1111">
        <f t="shared" si="118"/>
        <v>0.62773722627737227</v>
      </c>
      <c r="L1111">
        <f>A1111*COUNTIF(data!D:D,data!$I$2)/data!$L$2</f>
        <v>471.55131264916469</v>
      </c>
      <c r="M1111" s="1">
        <f>A1111/data!$L$2</f>
        <v>0.883054892601432</v>
      </c>
      <c r="N1111">
        <f t="shared" si="119"/>
        <v>1.0942605526875189</v>
      </c>
    </row>
    <row r="1112" spans="1:14" x14ac:dyDescent="0.2">
      <c r="A1112">
        <v>1111</v>
      </c>
      <c r="B1112">
        <f>LARGE(data!F:F,A1112)</f>
        <v>0.1562483855</v>
      </c>
      <c r="C1112">
        <f>COUNTIFS(data!D:D,data!$I$2,data!F:F,"&gt;="&amp;B1112)</f>
        <v>516</v>
      </c>
      <c r="D1112">
        <f>COUNTIFS(data!D:D,data!$J$2,data!F:F,"&gt;="&amp;B1112)</f>
        <v>595</v>
      </c>
      <c r="E1112">
        <f>COUNTIFS(data!D:D,data!$J$2,data!F:F,"&lt;"&amp;B1112)</f>
        <v>128</v>
      </c>
      <c r="F1112">
        <f>COUNTIFS(data!D:D,data!$I$2,data!F:F,"&lt;"&amp;B1112)</f>
        <v>18</v>
      </c>
      <c r="G1112">
        <f t="shared" si="114"/>
        <v>0.82295988934993081</v>
      </c>
      <c r="H1112">
        <f t="shared" si="115"/>
        <v>0.9662921348314607</v>
      </c>
      <c r="I1112">
        <f t="shared" si="116"/>
        <v>1.3365036443035371E-3</v>
      </c>
      <c r="J1112">
        <f t="shared" si="117"/>
        <v>0.46444644464446444</v>
      </c>
      <c r="K1112">
        <f t="shared" si="118"/>
        <v>0.62735562310030402</v>
      </c>
      <c r="L1112">
        <f>A1112*COUNTIF(data!D:D,data!$I$2)/data!$L$2</f>
        <v>471.97613365155132</v>
      </c>
      <c r="M1112" s="1">
        <f>A1112/data!$L$2</f>
        <v>0.88385043754972159</v>
      </c>
      <c r="N1112">
        <f t="shared" si="119"/>
        <v>1.0932756196968012</v>
      </c>
    </row>
    <row r="1113" spans="1:14" x14ac:dyDescent="0.2">
      <c r="A1113">
        <v>1112</v>
      </c>
      <c r="B1113">
        <f>LARGE(data!F:F,A1113)</f>
        <v>0.15564404170000001</v>
      </c>
      <c r="C1113">
        <f>COUNTIFS(data!D:D,data!$I$2,data!F:F,"&gt;="&amp;B1113)</f>
        <v>516</v>
      </c>
      <c r="D1113">
        <f>COUNTIFS(data!D:D,data!$J$2,data!F:F,"&gt;="&amp;B1113)</f>
        <v>596</v>
      </c>
      <c r="E1113">
        <f>COUNTIFS(data!D:D,data!$J$2,data!F:F,"&lt;"&amp;B1113)</f>
        <v>127</v>
      </c>
      <c r="F1113">
        <f>COUNTIFS(data!D:D,data!$I$2,data!F:F,"&lt;"&amp;B1113)</f>
        <v>18</v>
      </c>
      <c r="G1113">
        <f t="shared" si="114"/>
        <v>0.82434301521438447</v>
      </c>
      <c r="H1113">
        <f t="shared" si="115"/>
        <v>0.9662921348314607</v>
      </c>
      <c r="I1113">
        <f t="shared" si="116"/>
        <v>1.3365036443035371E-3</v>
      </c>
      <c r="J1113">
        <f t="shared" si="117"/>
        <v>0.46402877697841727</v>
      </c>
      <c r="K1113">
        <f t="shared" si="118"/>
        <v>0.62697448359659791</v>
      </c>
      <c r="L1113">
        <f>A1113*COUNTIF(data!D:D,data!$I$2)/data!$L$2</f>
        <v>472.40095465393796</v>
      </c>
      <c r="M1113" s="1">
        <f>A1113/data!$L$2</f>
        <v>0.88464598249801119</v>
      </c>
      <c r="N1113">
        <f t="shared" si="119"/>
        <v>1.0922924581682969</v>
      </c>
    </row>
    <row r="1114" spans="1:14" x14ac:dyDescent="0.2">
      <c r="A1114">
        <v>1113</v>
      </c>
      <c r="B1114">
        <f>LARGE(data!F:F,A1114)</f>
        <v>0.15544321259999999</v>
      </c>
      <c r="C1114">
        <f>COUNTIFS(data!D:D,data!$I$2,data!F:F,"&gt;="&amp;B1114)</f>
        <v>516</v>
      </c>
      <c r="D1114">
        <f>COUNTIFS(data!D:D,data!$J$2,data!F:F,"&gt;="&amp;B1114)</f>
        <v>597</v>
      </c>
      <c r="E1114">
        <f>COUNTIFS(data!D:D,data!$J$2,data!F:F,"&lt;"&amp;B1114)</f>
        <v>126</v>
      </c>
      <c r="F1114">
        <f>COUNTIFS(data!D:D,data!$I$2,data!F:F,"&lt;"&amp;B1114)</f>
        <v>18</v>
      </c>
      <c r="G1114">
        <f t="shared" si="114"/>
        <v>0.82572614107883813</v>
      </c>
      <c r="H1114">
        <f t="shared" si="115"/>
        <v>0.9662921348314607</v>
      </c>
      <c r="I1114">
        <f t="shared" si="116"/>
        <v>1.3365036443035371E-3</v>
      </c>
      <c r="J1114">
        <f t="shared" si="117"/>
        <v>0.46361185983827491</v>
      </c>
      <c r="K1114">
        <f t="shared" si="118"/>
        <v>0.62659380692167577</v>
      </c>
      <c r="L1114">
        <f>A1114*COUNTIF(data!D:D,data!$I$2)/data!$L$2</f>
        <v>472.82577565632459</v>
      </c>
      <c r="M1114" s="1">
        <f>A1114/data!$L$2</f>
        <v>0.88544152744630067</v>
      </c>
      <c r="N1114">
        <f t="shared" si="119"/>
        <v>1.0913110633271752</v>
      </c>
    </row>
    <row r="1115" spans="1:14" x14ac:dyDescent="0.2">
      <c r="A1115">
        <v>1114</v>
      </c>
      <c r="B1115">
        <f>LARGE(data!F:F,A1115)</f>
        <v>0.15477823390000001</v>
      </c>
      <c r="C1115">
        <f>COUNTIFS(data!D:D,data!$I$2,data!F:F,"&gt;="&amp;B1115)</f>
        <v>517</v>
      </c>
      <c r="D1115">
        <f>COUNTIFS(data!D:D,data!$J$2,data!F:F,"&gt;="&amp;B1115)</f>
        <v>597</v>
      </c>
      <c r="E1115">
        <f>COUNTIFS(data!D:D,data!$J$2,data!F:F,"&lt;"&amp;B1115)</f>
        <v>126</v>
      </c>
      <c r="F1115">
        <f>COUNTIFS(data!D:D,data!$I$2,data!F:F,"&lt;"&amp;B1115)</f>
        <v>17</v>
      </c>
      <c r="G1115">
        <f t="shared" ref="G1115:G1178" si="120">D1115/(E1115+D1115)</f>
        <v>0.82572614107883813</v>
      </c>
      <c r="H1115">
        <f t="shared" ref="H1115:H1178" si="121">C1115/(C1115+F1115)</f>
        <v>0.96816479400749067</v>
      </c>
      <c r="I1115">
        <f t="shared" ref="I1115:I1178" si="122">(G1115-G1114)*(H1115+H1114)*0.5</f>
        <v>0</v>
      </c>
      <c r="J1115">
        <f t="shared" ref="J1115:J1178" si="123">C1115/(C1115+D1115)</f>
        <v>0.46409335727109513</v>
      </c>
      <c r="K1115">
        <f t="shared" ref="K1115:K1178" si="124">2*J1115*H1115/(J1115+H1115)</f>
        <v>0.62742718446601942</v>
      </c>
      <c r="L1115">
        <f>A1115*COUNTIF(data!D:D,data!$I$2)/data!$L$2</f>
        <v>473.25059665871123</v>
      </c>
      <c r="M1115" s="1">
        <f>A1115/data!$L$2</f>
        <v>0.88623707239459026</v>
      </c>
      <c r="N1115">
        <f t="shared" ref="N1115:N1178" si="125">C1115/L1115</f>
        <v>1.092444475823533</v>
      </c>
    </row>
    <row r="1116" spans="1:14" x14ac:dyDescent="0.2">
      <c r="A1116">
        <v>1115</v>
      </c>
      <c r="B1116">
        <f>LARGE(data!F:F,A1116)</f>
        <v>0.15464966490000001</v>
      </c>
      <c r="C1116">
        <f>COUNTIFS(data!D:D,data!$I$2,data!F:F,"&gt;="&amp;B1116)</f>
        <v>517</v>
      </c>
      <c r="D1116">
        <f>COUNTIFS(data!D:D,data!$J$2,data!F:F,"&gt;="&amp;B1116)</f>
        <v>598</v>
      </c>
      <c r="E1116">
        <f>COUNTIFS(data!D:D,data!$J$2,data!F:F,"&lt;"&amp;B1116)</f>
        <v>125</v>
      </c>
      <c r="F1116">
        <f>COUNTIFS(data!D:D,data!$I$2,data!F:F,"&lt;"&amp;B1116)</f>
        <v>17</v>
      </c>
      <c r="G1116">
        <f t="shared" si="120"/>
        <v>0.82710926694329179</v>
      </c>
      <c r="H1116">
        <f t="shared" si="121"/>
        <v>0.96816479400749067</v>
      </c>
      <c r="I1116">
        <f t="shared" si="122"/>
        <v>1.3390937676452106E-3</v>
      </c>
      <c r="J1116">
        <f t="shared" si="123"/>
        <v>0.46367713004484307</v>
      </c>
      <c r="K1116">
        <f t="shared" si="124"/>
        <v>0.62704669496664656</v>
      </c>
      <c r="L1116">
        <f>A1116*COUNTIF(data!D:D,data!$I$2)/data!$L$2</f>
        <v>473.67541766109787</v>
      </c>
      <c r="M1116" s="1">
        <f>A1116/data!$L$2</f>
        <v>0.88703261734287986</v>
      </c>
      <c r="N1116">
        <f t="shared" si="125"/>
        <v>1.091464704993198</v>
      </c>
    </row>
    <row r="1117" spans="1:14" x14ac:dyDescent="0.2">
      <c r="A1117">
        <v>1116</v>
      </c>
      <c r="B1117">
        <f>LARGE(data!F:F,A1117)</f>
        <v>0.15429440150000001</v>
      </c>
      <c r="C1117">
        <f>COUNTIFS(data!D:D,data!$I$2,data!F:F,"&gt;="&amp;B1117)</f>
        <v>517</v>
      </c>
      <c r="D1117">
        <f>COUNTIFS(data!D:D,data!$J$2,data!F:F,"&gt;="&amp;B1117)</f>
        <v>599</v>
      </c>
      <c r="E1117">
        <f>COUNTIFS(data!D:D,data!$J$2,data!F:F,"&lt;"&amp;B1117)</f>
        <v>124</v>
      </c>
      <c r="F1117">
        <f>COUNTIFS(data!D:D,data!$I$2,data!F:F,"&lt;"&amp;B1117)</f>
        <v>17</v>
      </c>
      <c r="G1117">
        <f t="shared" si="120"/>
        <v>0.82849239280774556</v>
      </c>
      <c r="H1117">
        <f t="shared" si="121"/>
        <v>0.96816479400749067</v>
      </c>
      <c r="I1117">
        <f t="shared" si="122"/>
        <v>1.3390937676453179E-3</v>
      </c>
      <c r="J1117">
        <f t="shared" si="123"/>
        <v>0.46326164874551973</v>
      </c>
      <c r="K1117">
        <f t="shared" si="124"/>
        <v>0.62666666666666671</v>
      </c>
      <c r="L1117">
        <f>A1117*COUNTIF(data!D:D,data!$I$2)/data!$L$2</f>
        <v>474.1002386634845</v>
      </c>
      <c r="M1117" s="1">
        <f>A1117/data!$L$2</f>
        <v>0.88782816229116945</v>
      </c>
      <c r="N1117">
        <f t="shared" si="125"/>
        <v>1.090486690024566</v>
      </c>
    </row>
    <row r="1118" spans="1:14" x14ac:dyDescent="0.2">
      <c r="A1118">
        <v>1117</v>
      </c>
      <c r="B1118">
        <f>LARGE(data!F:F,A1118)</f>
        <v>0.15382048840000001</v>
      </c>
      <c r="C1118">
        <f>COUNTIFS(data!D:D,data!$I$2,data!F:F,"&gt;="&amp;B1118)</f>
        <v>517</v>
      </c>
      <c r="D1118">
        <f>COUNTIFS(data!D:D,data!$J$2,data!F:F,"&gt;="&amp;B1118)</f>
        <v>600</v>
      </c>
      <c r="E1118">
        <f>COUNTIFS(data!D:D,data!$J$2,data!F:F,"&lt;"&amp;B1118)</f>
        <v>123</v>
      </c>
      <c r="F1118">
        <f>COUNTIFS(data!D:D,data!$I$2,data!F:F,"&lt;"&amp;B1118)</f>
        <v>17</v>
      </c>
      <c r="G1118">
        <f t="shared" si="120"/>
        <v>0.82987551867219922</v>
      </c>
      <c r="H1118">
        <f t="shared" si="121"/>
        <v>0.96816479400749067</v>
      </c>
      <c r="I1118">
        <f t="shared" si="122"/>
        <v>1.3390937676452106E-3</v>
      </c>
      <c r="J1118">
        <f t="shared" si="123"/>
        <v>0.46284691136974038</v>
      </c>
      <c r="K1118">
        <f t="shared" si="124"/>
        <v>0.62628709872804367</v>
      </c>
      <c r="L1118">
        <f>A1118*COUNTIF(data!D:D,data!$I$2)/data!$L$2</f>
        <v>474.52505966587114</v>
      </c>
      <c r="M1118" s="1">
        <f>A1118/data!$L$2</f>
        <v>0.88862370723945905</v>
      </c>
      <c r="N1118">
        <f t="shared" si="125"/>
        <v>1.0895104262018045</v>
      </c>
    </row>
    <row r="1119" spans="1:14" x14ac:dyDescent="0.2">
      <c r="A1119">
        <v>1118</v>
      </c>
      <c r="B1119">
        <f>LARGE(data!F:F,A1119)</f>
        <v>0.15328061309999999</v>
      </c>
      <c r="C1119">
        <f>COUNTIFS(data!D:D,data!$I$2,data!F:F,"&gt;="&amp;B1119)</f>
        <v>517</v>
      </c>
      <c r="D1119">
        <f>COUNTIFS(data!D:D,data!$J$2,data!F:F,"&gt;="&amp;B1119)</f>
        <v>601</v>
      </c>
      <c r="E1119">
        <f>COUNTIFS(data!D:D,data!$J$2,data!F:F,"&lt;"&amp;B1119)</f>
        <v>122</v>
      </c>
      <c r="F1119">
        <f>COUNTIFS(data!D:D,data!$I$2,data!F:F,"&lt;"&amp;B1119)</f>
        <v>17</v>
      </c>
      <c r="G1119">
        <f t="shared" si="120"/>
        <v>0.83125864453665288</v>
      </c>
      <c r="H1119">
        <f t="shared" si="121"/>
        <v>0.96816479400749067</v>
      </c>
      <c r="I1119">
        <f t="shared" si="122"/>
        <v>1.3390937676452106E-3</v>
      </c>
      <c r="J1119">
        <f t="shared" si="123"/>
        <v>0.46243291592128799</v>
      </c>
      <c r="K1119">
        <f t="shared" si="124"/>
        <v>0.62590799031477007</v>
      </c>
      <c r="L1119">
        <f>A1119*COUNTIF(data!D:D,data!$I$2)/data!$L$2</f>
        <v>474.94988066825778</v>
      </c>
      <c r="M1119" s="1">
        <f>A1119/data!$L$2</f>
        <v>0.88941925218774864</v>
      </c>
      <c r="N1119">
        <f t="shared" si="125"/>
        <v>1.0885359088259532</v>
      </c>
    </row>
    <row r="1120" spans="1:14" x14ac:dyDescent="0.2">
      <c r="A1120">
        <v>1119</v>
      </c>
      <c r="B1120">
        <f>LARGE(data!F:F,A1120)</f>
        <v>0.15254371410000001</v>
      </c>
      <c r="C1120">
        <f>COUNTIFS(data!D:D,data!$I$2,data!F:F,"&gt;="&amp;B1120)</f>
        <v>518</v>
      </c>
      <c r="D1120">
        <f>COUNTIFS(data!D:D,data!$J$2,data!F:F,"&gt;="&amp;B1120)</f>
        <v>601</v>
      </c>
      <c r="E1120">
        <f>COUNTIFS(data!D:D,data!$J$2,data!F:F,"&lt;"&amp;B1120)</f>
        <v>122</v>
      </c>
      <c r="F1120">
        <f>COUNTIFS(data!D:D,data!$I$2,data!F:F,"&lt;"&amp;B1120)</f>
        <v>16</v>
      </c>
      <c r="G1120">
        <f t="shared" si="120"/>
        <v>0.83125864453665288</v>
      </c>
      <c r="H1120">
        <f t="shared" si="121"/>
        <v>0.97003745318352064</v>
      </c>
      <c r="I1120">
        <f t="shared" si="122"/>
        <v>0</v>
      </c>
      <c r="J1120">
        <f t="shared" si="123"/>
        <v>0.46291331546023234</v>
      </c>
      <c r="K1120">
        <f t="shared" si="124"/>
        <v>0.62673926194797336</v>
      </c>
      <c r="L1120">
        <f>A1120*COUNTIF(data!D:D,data!$I$2)/data!$L$2</f>
        <v>475.37470167064441</v>
      </c>
      <c r="M1120" s="1">
        <f>A1120/data!$L$2</f>
        <v>0.89021479713603824</v>
      </c>
      <c r="N1120">
        <f t="shared" si="125"/>
        <v>1.0896667369541424</v>
      </c>
    </row>
    <row r="1121" spans="1:14" x14ac:dyDescent="0.2">
      <c r="A1121">
        <v>1120</v>
      </c>
      <c r="B1121">
        <f>LARGE(data!F:F,A1121)</f>
        <v>0.1524642413</v>
      </c>
      <c r="C1121">
        <f>COUNTIFS(data!D:D,data!$I$2,data!F:F,"&gt;="&amp;B1121)</f>
        <v>519</v>
      </c>
      <c r="D1121">
        <f>COUNTIFS(data!D:D,data!$J$2,data!F:F,"&gt;="&amp;B1121)</f>
        <v>601</v>
      </c>
      <c r="E1121">
        <f>COUNTIFS(data!D:D,data!$J$2,data!F:F,"&lt;"&amp;B1121)</f>
        <v>122</v>
      </c>
      <c r="F1121">
        <f>COUNTIFS(data!D:D,data!$I$2,data!F:F,"&lt;"&amp;B1121)</f>
        <v>15</v>
      </c>
      <c r="G1121">
        <f t="shared" si="120"/>
        <v>0.83125864453665288</v>
      </c>
      <c r="H1121">
        <f t="shared" si="121"/>
        <v>0.9719101123595506</v>
      </c>
      <c r="I1121">
        <f t="shared" si="122"/>
        <v>0</v>
      </c>
      <c r="J1121">
        <f t="shared" si="123"/>
        <v>0.46339285714285716</v>
      </c>
      <c r="K1121">
        <f t="shared" si="124"/>
        <v>0.62756952841596125</v>
      </c>
      <c r="L1121">
        <f>A1121*COUNTIF(data!D:D,data!$I$2)/data!$L$2</f>
        <v>475.79952267303105</v>
      </c>
      <c r="M1121" s="1">
        <f>A1121/data!$L$2</f>
        <v>0.89101034208432772</v>
      </c>
      <c r="N1121">
        <f t="shared" si="125"/>
        <v>1.0907955457463885</v>
      </c>
    </row>
    <row r="1122" spans="1:14" x14ac:dyDescent="0.2">
      <c r="A1122">
        <v>1121</v>
      </c>
      <c r="B1122">
        <f>LARGE(data!F:F,A1122)</f>
        <v>0.1523155876</v>
      </c>
      <c r="C1122">
        <f>COUNTIFS(data!D:D,data!$I$2,data!F:F,"&gt;="&amp;B1122)</f>
        <v>520</v>
      </c>
      <c r="D1122">
        <f>COUNTIFS(data!D:D,data!$J$2,data!F:F,"&gt;="&amp;B1122)</f>
        <v>601</v>
      </c>
      <c r="E1122">
        <f>COUNTIFS(data!D:D,data!$J$2,data!F:F,"&lt;"&amp;B1122)</f>
        <v>122</v>
      </c>
      <c r="F1122">
        <f>COUNTIFS(data!D:D,data!$I$2,data!F:F,"&lt;"&amp;B1122)</f>
        <v>14</v>
      </c>
      <c r="G1122">
        <f t="shared" si="120"/>
        <v>0.83125864453665288</v>
      </c>
      <c r="H1122">
        <f t="shared" si="121"/>
        <v>0.97378277153558057</v>
      </c>
      <c r="I1122">
        <f t="shared" si="122"/>
        <v>0</v>
      </c>
      <c r="J1122">
        <f t="shared" si="123"/>
        <v>0.46387154326494201</v>
      </c>
      <c r="K1122">
        <f t="shared" si="124"/>
        <v>0.62839879154078548</v>
      </c>
      <c r="L1122">
        <f>A1122*COUNTIF(data!D:D,data!$I$2)/data!$L$2</f>
        <v>476.22434367541769</v>
      </c>
      <c r="M1122" s="1">
        <f>A1122/data!$L$2</f>
        <v>0.89180588703261732</v>
      </c>
      <c r="N1122">
        <f t="shared" si="125"/>
        <v>1.0919223406068017</v>
      </c>
    </row>
    <row r="1123" spans="1:14" x14ac:dyDescent="0.2">
      <c r="A1123">
        <v>1122</v>
      </c>
      <c r="B1123">
        <f>LARGE(data!F:F,A1123)</f>
        <v>0.1521963798</v>
      </c>
      <c r="C1123">
        <f>COUNTIFS(data!D:D,data!$I$2,data!F:F,"&gt;="&amp;B1123)</f>
        <v>520</v>
      </c>
      <c r="D1123">
        <f>COUNTIFS(data!D:D,data!$J$2,data!F:F,"&gt;="&amp;B1123)</f>
        <v>602</v>
      </c>
      <c r="E1123">
        <f>COUNTIFS(data!D:D,data!$J$2,data!F:F,"&lt;"&amp;B1123)</f>
        <v>121</v>
      </c>
      <c r="F1123">
        <f>COUNTIFS(data!D:D,data!$I$2,data!F:F,"&lt;"&amp;B1123)</f>
        <v>14</v>
      </c>
      <c r="G1123">
        <f t="shared" si="120"/>
        <v>0.83264177040110654</v>
      </c>
      <c r="H1123">
        <f t="shared" si="121"/>
        <v>0.97378277153558057</v>
      </c>
      <c r="I1123">
        <f t="shared" si="122"/>
        <v>1.346864137670231E-3</v>
      </c>
      <c r="J1123">
        <f t="shared" si="123"/>
        <v>0.46345811051693403</v>
      </c>
      <c r="K1123">
        <f t="shared" si="124"/>
        <v>0.6280193236714976</v>
      </c>
      <c r="L1123">
        <f>A1123*COUNTIF(data!D:D,data!$I$2)/data!$L$2</f>
        <v>476.64916467780432</v>
      </c>
      <c r="M1123" s="1">
        <f>A1123/data!$L$2</f>
        <v>0.89260143198090691</v>
      </c>
      <c r="N1123">
        <f t="shared" si="125"/>
        <v>1.0909491477898616</v>
      </c>
    </row>
    <row r="1124" spans="1:14" x14ac:dyDescent="0.2">
      <c r="A1124">
        <v>1123</v>
      </c>
      <c r="B1124">
        <f>LARGE(data!F:F,A1124)</f>
        <v>0.15182877619999999</v>
      </c>
      <c r="C1124">
        <f>COUNTIFS(data!D:D,data!$I$2,data!F:F,"&gt;="&amp;B1124)</f>
        <v>520</v>
      </c>
      <c r="D1124">
        <f>COUNTIFS(data!D:D,data!$J$2,data!F:F,"&gt;="&amp;B1124)</f>
        <v>603</v>
      </c>
      <c r="E1124">
        <f>COUNTIFS(data!D:D,data!$J$2,data!F:F,"&lt;"&amp;B1124)</f>
        <v>120</v>
      </c>
      <c r="F1124">
        <f>COUNTIFS(data!D:D,data!$I$2,data!F:F,"&lt;"&amp;B1124)</f>
        <v>14</v>
      </c>
      <c r="G1124">
        <f t="shared" si="120"/>
        <v>0.8340248962655602</v>
      </c>
      <c r="H1124">
        <f t="shared" si="121"/>
        <v>0.97378277153558057</v>
      </c>
      <c r="I1124">
        <f t="shared" si="122"/>
        <v>1.346864137670231E-3</v>
      </c>
      <c r="J1124">
        <f t="shared" si="123"/>
        <v>0.46304541406945682</v>
      </c>
      <c r="K1124">
        <f t="shared" si="124"/>
        <v>0.62764031382015695</v>
      </c>
      <c r="L1124">
        <f>A1124*COUNTIF(data!D:D,data!$I$2)/data!$L$2</f>
        <v>477.07398568019096</v>
      </c>
      <c r="M1124" s="1">
        <f>A1124/data!$L$2</f>
        <v>0.89339697692919651</v>
      </c>
      <c r="N1124">
        <f t="shared" si="125"/>
        <v>1.0899776881747325</v>
      </c>
    </row>
    <row r="1125" spans="1:14" x14ac:dyDescent="0.2">
      <c r="A1125">
        <v>1124</v>
      </c>
      <c r="B1125">
        <f>LARGE(data!F:F,A1125)</f>
        <v>0.1516012477</v>
      </c>
      <c r="C1125">
        <f>COUNTIFS(data!D:D,data!$I$2,data!F:F,"&gt;="&amp;B1125)</f>
        <v>520</v>
      </c>
      <c r="D1125">
        <f>COUNTIFS(data!D:D,data!$J$2,data!F:F,"&gt;="&amp;B1125)</f>
        <v>604</v>
      </c>
      <c r="E1125">
        <f>COUNTIFS(data!D:D,data!$J$2,data!F:F,"&lt;"&amp;B1125)</f>
        <v>119</v>
      </c>
      <c r="F1125">
        <f>COUNTIFS(data!D:D,data!$I$2,data!F:F,"&lt;"&amp;B1125)</f>
        <v>14</v>
      </c>
      <c r="G1125">
        <f t="shared" si="120"/>
        <v>0.83540802213001386</v>
      </c>
      <c r="H1125">
        <f t="shared" si="121"/>
        <v>0.97378277153558057</v>
      </c>
      <c r="I1125">
        <f t="shared" si="122"/>
        <v>1.346864137670231E-3</v>
      </c>
      <c r="J1125">
        <f t="shared" si="123"/>
        <v>0.46263345195729538</v>
      </c>
      <c r="K1125">
        <f t="shared" si="124"/>
        <v>0.62726176115802179</v>
      </c>
      <c r="L1125">
        <f>A1125*COUNTIF(data!D:D,data!$I$2)/data!$L$2</f>
        <v>477.49880668257754</v>
      </c>
      <c r="M1125" s="1">
        <f>A1125/data!$L$2</f>
        <v>0.8941925218774861</v>
      </c>
      <c r="N1125">
        <f t="shared" si="125"/>
        <v>1.0890079571354314</v>
      </c>
    </row>
    <row r="1126" spans="1:14" x14ac:dyDescent="0.2">
      <c r="A1126">
        <v>1125</v>
      </c>
      <c r="B1126">
        <f>LARGE(data!F:F,A1126)</f>
        <v>0.1515743178</v>
      </c>
      <c r="C1126">
        <f>COUNTIFS(data!D:D,data!$I$2,data!F:F,"&gt;="&amp;B1126)</f>
        <v>520</v>
      </c>
      <c r="D1126">
        <f>COUNTIFS(data!D:D,data!$J$2,data!F:F,"&gt;="&amp;B1126)</f>
        <v>605</v>
      </c>
      <c r="E1126">
        <f>COUNTIFS(data!D:D,data!$J$2,data!F:F,"&lt;"&amp;B1126)</f>
        <v>118</v>
      </c>
      <c r="F1126">
        <f>COUNTIFS(data!D:D,data!$I$2,data!F:F,"&lt;"&amp;B1126)</f>
        <v>14</v>
      </c>
      <c r="G1126">
        <f t="shared" si="120"/>
        <v>0.83679114799446752</v>
      </c>
      <c r="H1126">
        <f t="shared" si="121"/>
        <v>0.97378277153558057</v>
      </c>
      <c r="I1126">
        <f t="shared" si="122"/>
        <v>1.346864137670231E-3</v>
      </c>
      <c r="J1126">
        <f t="shared" si="123"/>
        <v>0.4622222222222222</v>
      </c>
      <c r="K1126">
        <f t="shared" si="124"/>
        <v>0.62688366485834834</v>
      </c>
      <c r="L1126">
        <f>A1126*COUNTIF(data!D:D,data!$I$2)/data!$L$2</f>
        <v>477.92362768496417</v>
      </c>
      <c r="M1126" s="1">
        <f>A1126/data!$L$2</f>
        <v>0.8949880668257757</v>
      </c>
      <c r="N1126">
        <f t="shared" si="125"/>
        <v>1.088039950062422</v>
      </c>
    </row>
    <row r="1127" spans="1:14" x14ac:dyDescent="0.2">
      <c r="A1127">
        <v>1126</v>
      </c>
      <c r="B1127">
        <f>LARGE(data!F:F,A1127)</f>
        <v>0.1510333163</v>
      </c>
      <c r="C1127">
        <f>COUNTIFS(data!D:D,data!$I$2,data!F:F,"&gt;="&amp;B1127)</f>
        <v>520</v>
      </c>
      <c r="D1127">
        <f>COUNTIFS(data!D:D,data!$J$2,data!F:F,"&gt;="&amp;B1127)</f>
        <v>606</v>
      </c>
      <c r="E1127">
        <f>COUNTIFS(data!D:D,data!$J$2,data!F:F,"&lt;"&amp;B1127)</f>
        <v>117</v>
      </c>
      <c r="F1127">
        <f>COUNTIFS(data!D:D,data!$I$2,data!F:F,"&lt;"&amp;B1127)</f>
        <v>14</v>
      </c>
      <c r="G1127">
        <f t="shared" si="120"/>
        <v>0.83817427385892118</v>
      </c>
      <c r="H1127">
        <f t="shared" si="121"/>
        <v>0.97378277153558057</v>
      </c>
      <c r="I1127">
        <f t="shared" si="122"/>
        <v>1.346864137670231E-3</v>
      </c>
      <c r="J1127">
        <f t="shared" si="123"/>
        <v>0.46181172291296624</v>
      </c>
      <c r="K1127">
        <f t="shared" si="124"/>
        <v>0.62650602409638556</v>
      </c>
      <c r="L1127">
        <f>A1127*COUNTIF(data!D:D,data!$I$2)/data!$L$2</f>
        <v>478.34844868735081</v>
      </c>
      <c r="M1127" s="1">
        <f>A1127/data!$L$2</f>
        <v>0.89578361177406518</v>
      </c>
      <c r="N1127">
        <f t="shared" si="125"/>
        <v>1.0870736623625441</v>
      </c>
    </row>
    <row r="1128" spans="1:14" x14ac:dyDescent="0.2">
      <c r="A1128">
        <v>1127</v>
      </c>
      <c r="B1128">
        <f>LARGE(data!F:F,A1128)</f>
        <v>0.1508270854</v>
      </c>
      <c r="C1128">
        <f>COUNTIFS(data!D:D,data!$I$2,data!F:F,"&gt;="&amp;B1128)</f>
        <v>520</v>
      </c>
      <c r="D1128">
        <f>COUNTIFS(data!D:D,data!$J$2,data!F:F,"&gt;="&amp;B1128)</f>
        <v>607</v>
      </c>
      <c r="E1128">
        <f>COUNTIFS(data!D:D,data!$J$2,data!F:F,"&lt;"&amp;B1128)</f>
        <v>116</v>
      </c>
      <c r="F1128">
        <f>COUNTIFS(data!D:D,data!$I$2,data!F:F,"&lt;"&amp;B1128)</f>
        <v>14</v>
      </c>
      <c r="G1128">
        <f t="shared" si="120"/>
        <v>0.83955739972337484</v>
      </c>
      <c r="H1128">
        <f t="shared" si="121"/>
        <v>0.97378277153558057</v>
      </c>
      <c r="I1128">
        <f t="shared" si="122"/>
        <v>1.346864137670231E-3</v>
      </c>
      <c r="J1128">
        <f t="shared" si="123"/>
        <v>0.46140195208518192</v>
      </c>
      <c r="K1128">
        <f t="shared" si="124"/>
        <v>0.62612883804936792</v>
      </c>
      <c r="L1128">
        <f>A1128*COUNTIF(data!D:D,data!$I$2)/data!$L$2</f>
        <v>478.77326968973745</v>
      </c>
      <c r="M1128" s="1">
        <f>A1128/data!$L$2</f>
        <v>0.89657915672235478</v>
      </c>
      <c r="N1128">
        <f t="shared" si="125"/>
        <v>1.0861090894589394</v>
      </c>
    </row>
    <row r="1129" spans="1:14" x14ac:dyDescent="0.2">
      <c r="A1129">
        <v>1128</v>
      </c>
      <c r="B1129">
        <f>LARGE(data!F:F,A1129)</f>
        <v>0.15030104420000001</v>
      </c>
      <c r="C1129">
        <f>COUNTIFS(data!D:D,data!$I$2,data!F:F,"&gt;="&amp;B1129)</f>
        <v>521</v>
      </c>
      <c r="D1129">
        <f>COUNTIFS(data!D:D,data!$J$2,data!F:F,"&gt;="&amp;B1129)</f>
        <v>607</v>
      </c>
      <c r="E1129">
        <f>COUNTIFS(data!D:D,data!$J$2,data!F:F,"&lt;"&amp;B1129)</f>
        <v>116</v>
      </c>
      <c r="F1129">
        <f>COUNTIFS(data!D:D,data!$I$2,data!F:F,"&lt;"&amp;B1129)</f>
        <v>13</v>
      </c>
      <c r="G1129">
        <f t="shared" si="120"/>
        <v>0.83955739972337484</v>
      </c>
      <c r="H1129">
        <f t="shared" si="121"/>
        <v>0.97565543071161054</v>
      </c>
      <c r="I1129">
        <f t="shared" si="122"/>
        <v>0</v>
      </c>
      <c r="J1129">
        <f t="shared" si="123"/>
        <v>0.46187943262411346</v>
      </c>
      <c r="K1129">
        <f t="shared" si="124"/>
        <v>0.62695547533092655</v>
      </c>
      <c r="L1129">
        <f>A1129*COUNTIF(data!D:D,data!$I$2)/data!$L$2</f>
        <v>479.19809069212408</v>
      </c>
      <c r="M1129" s="1">
        <f>A1129/data!$L$2</f>
        <v>0.89737470167064437</v>
      </c>
      <c r="N1129">
        <f t="shared" si="125"/>
        <v>1.0872330464578852</v>
      </c>
    </row>
    <row r="1130" spans="1:14" x14ac:dyDescent="0.2">
      <c r="A1130">
        <v>1129</v>
      </c>
      <c r="B1130">
        <f>LARGE(data!F:F,A1130)</f>
        <v>0.15022160009999999</v>
      </c>
      <c r="C1130">
        <f>COUNTIFS(data!D:D,data!$I$2,data!F:F,"&gt;="&amp;B1130)</f>
        <v>521</v>
      </c>
      <c r="D1130">
        <f>COUNTIFS(data!D:D,data!$J$2,data!F:F,"&gt;="&amp;B1130)</f>
        <v>608</v>
      </c>
      <c r="E1130">
        <f>COUNTIFS(data!D:D,data!$J$2,data!F:F,"&lt;"&amp;B1130)</f>
        <v>115</v>
      </c>
      <c r="F1130">
        <f>COUNTIFS(data!D:D,data!$I$2,data!F:F,"&lt;"&amp;B1130)</f>
        <v>13</v>
      </c>
      <c r="G1130">
        <f t="shared" si="120"/>
        <v>0.8409405255878285</v>
      </c>
      <c r="H1130">
        <f t="shared" si="121"/>
        <v>0.97565543071161054</v>
      </c>
      <c r="I1130">
        <f t="shared" si="122"/>
        <v>1.3494542610119047E-3</v>
      </c>
      <c r="J1130">
        <f t="shared" si="123"/>
        <v>0.46147032772364927</v>
      </c>
      <c r="K1130">
        <f t="shared" si="124"/>
        <v>0.62657847263980759</v>
      </c>
      <c r="L1130">
        <f>A1130*COUNTIF(data!D:D,data!$I$2)/data!$L$2</f>
        <v>479.62291169451072</v>
      </c>
      <c r="M1130" s="1">
        <f>A1130/data!$L$2</f>
        <v>0.89817024661893397</v>
      </c>
      <c r="N1130">
        <f t="shared" si="125"/>
        <v>1.0862700411022981</v>
      </c>
    </row>
    <row r="1131" spans="1:14" x14ac:dyDescent="0.2">
      <c r="A1131">
        <v>1130</v>
      </c>
      <c r="B1131">
        <f>LARGE(data!F:F,A1131)</f>
        <v>0.15000760560000001</v>
      </c>
      <c r="C1131">
        <f>COUNTIFS(data!D:D,data!$I$2,data!F:F,"&gt;="&amp;B1131)</f>
        <v>521</v>
      </c>
      <c r="D1131">
        <f>COUNTIFS(data!D:D,data!$J$2,data!F:F,"&gt;="&amp;B1131)</f>
        <v>609</v>
      </c>
      <c r="E1131">
        <f>COUNTIFS(data!D:D,data!$J$2,data!F:F,"&lt;"&amp;B1131)</f>
        <v>114</v>
      </c>
      <c r="F1131">
        <f>COUNTIFS(data!D:D,data!$I$2,data!F:F,"&lt;"&amp;B1131)</f>
        <v>13</v>
      </c>
      <c r="G1131">
        <f t="shared" si="120"/>
        <v>0.84232365145228216</v>
      </c>
      <c r="H1131">
        <f t="shared" si="121"/>
        <v>0.97565543071161054</v>
      </c>
      <c r="I1131">
        <f t="shared" si="122"/>
        <v>1.3494542610119047E-3</v>
      </c>
      <c r="J1131">
        <f t="shared" si="123"/>
        <v>0.46106194690265484</v>
      </c>
      <c r="K1131">
        <f t="shared" si="124"/>
        <v>0.62620192307692302</v>
      </c>
      <c r="L1131">
        <f>A1131*COUNTIF(data!D:D,data!$I$2)/data!$L$2</f>
        <v>480.04773269689736</v>
      </c>
      <c r="M1131" s="1">
        <f>A1131/data!$L$2</f>
        <v>0.89896579156722356</v>
      </c>
      <c r="N1131">
        <f t="shared" si="125"/>
        <v>1.0853087401809685</v>
      </c>
    </row>
    <row r="1132" spans="1:14" x14ac:dyDescent="0.2">
      <c r="A1132">
        <v>1131</v>
      </c>
      <c r="B1132">
        <f>LARGE(data!F:F,A1132)</f>
        <v>0.1499516135</v>
      </c>
      <c r="C1132">
        <f>COUNTIFS(data!D:D,data!$I$2,data!F:F,"&gt;="&amp;B1132)</f>
        <v>521</v>
      </c>
      <c r="D1132">
        <f>COUNTIFS(data!D:D,data!$J$2,data!F:F,"&gt;="&amp;B1132)</f>
        <v>610</v>
      </c>
      <c r="E1132">
        <f>COUNTIFS(data!D:D,data!$J$2,data!F:F,"&lt;"&amp;B1132)</f>
        <v>113</v>
      </c>
      <c r="F1132">
        <f>COUNTIFS(data!D:D,data!$I$2,data!F:F,"&lt;"&amp;B1132)</f>
        <v>13</v>
      </c>
      <c r="G1132">
        <f t="shared" si="120"/>
        <v>0.84370677731673582</v>
      </c>
      <c r="H1132">
        <f t="shared" si="121"/>
        <v>0.97565543071161054</v>
      </c>
      <c r="I1132">
        <f t="shared" si="122"/>
        <v>1.3494542610119047E-3</v>
      </c>
      <c r="J1132">
        <f t="shared" si="123"/>
        <v>0.46065428824049515</v>
      </c>
      <c r="K1132">
        <f t="shared" si="124"/>
        <v>0.62582582582582591</v>
      </c>
      <c r="L1132">
        <f>A1132*COUNTIF(data!D:D,data!$I$2)/data!$L$2</f>
        <v>480.47255369928399</v>
      </c>
      <c r="M1132" s="1">
        <f>A1132/data!$L$2</f>
        <v>0.89976133651551315</v>
      </c>
      <c r="N1132">
        <f t="shared" si="125"/>
        <v>1.084349139172851</v>
      </c>
    </row>
    <row r="1133" spans="1:14" x14ac:dyDescent="0.2">
      <c r="A1133">
        <v>1132</v>
      </c>
      <c r="B1133">
        <f>LARGE(data!F:F,A1133)</f>
        <v>0.14991930179999999</v>
      </c>
      <c r="C1133">
        <f>COUNTIFS(data!D:D,data!$I$2,data!F:F,"&gt;="&amp;B1133)</f>
        <v>521</v>
      </c>
      <c r="D1133">
        <f>COUNTIFS(data!D:D,data!$J$2,data!F:F,"&gt;="&amp;B1133)</f>
        <v>611</v>
      </c>
      <c r="E1133">
        <f>COUNTIFS(data!D:D,data!$J$2,data!F:F,"&lt;"&amp;B1133)</f>
        <v>112</v>
      </c>
      <c r="F1133">
        <f>COUNTIFS(data!D:D,data!$I$2,data!F:F,"&lt;"&amp;B1133)</f>
        <v>13</v>
      </c>
      <c r="G1133">
        <f t="shared" si="120"/>
        <v>0.84508990318118948</v>
      </c>
      <c r="H1133">
        <f t="shared" si="121"/>
        <v>0.97565543071161054</v>
      </c>
      <c r="I1133">
        <f t="shared" si="122"/>
        <v>1.3494542610119047E-3</v>
      </c>
      <c r="J1133">
        <f t="shared" si="123"/>
        <v>0.46024734982332155</v>
      </c>
      <c r="K1133">
        <f t="shared" si="124"/>
        <v>0.62545018007202891</v>
      </c>
      <c r="L1133">
        <f>A1133*COUNTIF(data!D:D,data!$I$2)/data!$L$2</f>
        <v>480.89737470167063</v>
      </c>
      <c r="M1133" s="1">
        <f>A1133/data!$L$2</f>
        <v>0.90055688146380275</v>
      </c>
      <c r="N1133">
        <f t="shared" si="125"/>
        <v>1.083391233572875</v>
      </c>
    </row>
    <row r="1134" spans="1:14" x14ac:dyDescent="0.2">
      <c r="A1134">
        <v>1133</v>
      </c>
      <c r="B1134">
        <f>LARGE(data!F:F,A1134)</f>
        <v>0.14950536980000001</v>
      </c>
      <c r="C1134">
        <f>COUNTIFS(data!D:D,data!$I$2,data!F:F,"&gt;="&amp;B1134)</f>
        <v>522</v>
      </c>
      <c r="D1134">
        <f>COUNTIFS(data!D:D,data!$J$2,data!F:F,"&gt;="&amp;B1134)</f>
        <v>611</v>
      </c>
      <c r="E1134">
        <f>COUNTIFS(data!D:D,data!$J$2,data!F:F,"&lt;"&amp;B1134)</f>
        <v>112</v>
      </c>
      <c r="F1134">
        <f>COUNTIFS(data!D:D,data!$I$2,data!F:F,"&lt;"&amp;B1134)</f>
        <v>12</v>
      </c>
      <c r="G1134">
        <f t="shared" si="120"/>
        <v>0.84508990318118948</v>
      </c>
      <c r="H1134">
        <f t="shared" si="121"/>
        <v>0.97752808988764039</v>
      </c>
      <c r="I1134">
        <f t="shared" si="122"/>
        <v>0</v>
      </c>
      <c r="J1134">
        <f t="shared" si="123"/>
        <v>0.46072374227714036</v>
      </c>
      <c r="K1134">
        <f t="shared" si="124"/>
        <v>0.62627474505098979</v>
      </c>
      <c r="L1134">
        <f>A1134*COUNTIF(data!D:D,data!$I$2)/data!$L$2</f>
        <v>481.32219570405726</v>
      </c>
      <c r="M1134" s="1">
        <f>A1134/data!$L$2</f>
        <v>0.90135242641209223</v>
      </c>
      <c r="N1134">
        <f t="shared" si="125"/>
        <v>1.0845126292928191</v>
      </c>
    </row>
    <row r="1135" spans="1:14" x14ac:dyDescent="0.2">
      <c r="A1135">
        <v>1134</v>
      </c>
      <c r="B1135">
        <f>LARGE(data!F:F,A1135)</f>
        <v>0.14919599189999999</v>
      </c>
      <c r="C1135">
        <f>COUNTIFS(data!D:D,data!$I$2,data!F:F,"&gt;="&amp;B1135)</f>
        <v>522</v>
      </c>
      <c r="D1135">
        <f>COUNTIFS(data!D:D,data!$J$2,data!F:F,"&gt;="&amp;B1135)</f>
        <v>612</v>
      </c>
      <c r="E1135">
        <f>COUNTIFS(data!D:D,data!$J$2,data!F:F,"&lt;"&amp;B1135)</f>
        <v>111</v>
      </c>
      <c r="F1135">
        <f>COUNTIFS(data!D:D,data!$I$2,data!F:F,"&lt;"&amp;B1135)</f>
        <v>12</v>
      </c>
      <c r="G1135">
        <f t="shared" si="120"/>
        <v>0.84647302904564314</v>
      </c>
      <c r="H1135">
        <f t="shared" si="121"/>
        <v>0.97752808988764039</v>
      </c>
      <c r="I1135">
        <f t="shared" si="122"/>
        <v>1.352044384353578E-3</v>
      </c>
      <c r="J1135">
        <f t="shared" si="123"/>
        <v>0.46031746031746029</v>
      </c>
      <c r="K1135">
        <f t="shared" si="124"/>
        <v>0.62589928057553956</v>
      </c>
      <c r="L1135">
        <f>A1135*COUNTIF(data!D:D,data!$I$2)/data!$L$2</f>
        <v>481.7470167064439</v>
      </c>
      <c r="M1135" s="1">
        <f>A1135/data!$L$2</f>
        <v>0.90214797136038183</v>
      </c>
      <c r="N1135">
        <f t="shared" si="125"/>
        <v>1.0835562689495275</v>
      </c>
    </row>
    <row r="1136" spans="1:14" x14ac:dyDescent="0.2">
      <c r="A1136">
        <v>1135</v>
      </c>
      <c r="B1136">
        <f>LARGE(data!F:F,A1136)</f>
        <v>0.1491889642</v>
      </c>
      <c r="C1136">
        <f>COUNTIFS(data!D:D,data!$I$2,data!F:F,"&gt;="&amp;B1136)</f>
        <v>522</v>
      </c>
      <c r="D1136">
        <f>COUNTIFS(data!D:D,data!$J$2,data!F:F,"&gt;="&amp;B1136)</f>
        <v>613</v>
      </c>
      <c r="E1136">
        <f>COUNTIFS(data!D:D,data!$J$2,data!F:F,"&lt;"&amp;B1136)</f>
        <v>110</v>
      </c>
      <c r="F1136">
        <f>COUNTIFS(data!D:D,data!$I$2,data!F:F,"&lt;"&amp;B1136)</f>
        <v>12</v>
      </c>
      <c r="G1136">
        <f t="shared" si="120"/>
        <v>0.8478561549100968</v>
      </c>
      <c r="H1136">
        <f t="shared" si="121"/>
        <v>0.97752808988764039</v>
      </c>
      <c r="I1136">
        <f t="shared" si="122"/>
        <v>1.352044384353578E-3</v>
      </c>
      <c r="J1136">
        <f t="shared" si="123"/>
        <v>0.45991189427312773</v>
      </c>
      <c r="K1136">
        <f t="shared" si="124"/>
        <v>0.62552426602756139</v>
      </c>
      <c r="L1136">
        <f>A1136*COUNTIF(data!D:D,data!$I$2)/data!$L$2</f>
        <v>482.17183770883054</v>
      </c>
      <c r="M1136" s="1">
        <f>A1136/data!$L$2</f>
        <v>0.90294351630867142</v>
      </c>
      <c r="N1136">
        <f t="shared" si="125"/>
        <v>1.0826015938226996</v>
      </c>
    </row>
    <row r="1137" spans="1:14" x14ac:dyDescent="0.2">
      <c r="A1137">
        <v>1136</v>
      </c>
      <c r="B1137">
        <f>LARGE(data!F:F,A1137)</f>
        <v>0.14870896049999999</v>
      </c>
      <c r="C1137">
        <f>COUNTIFS(data!D:D,data!$I$2,data!F:F,"&gt;="&amp;B1137)</f>
        <v>522</v>
      </c>
      <c r="D1137">
        <f>COUNTIFS(data!D:D,data!$J$2,data!F:F,"&gt;="&amp;B1137)</f>
        <v>614</v>
      </c>
      <c r="E1137">
        <f>COUNTIFS(data!D:D,data!$J$2,data!F:F,"&lt;"&amp;B1137)</f>
        <v>109</v>
      </c>
      <c r="F1137">
        <f>COUNTIFS(data!D:D,data!$I$2,data!F:F,"&lt;"&amp;B1137)</f>
        <v>12</v>
      </c>
      <c r="G1137">
        <f t="shared" si="120"/>
        <v>0.84923928077455046</v>
      </c>
      <c r="H1137">
        <f t="shared" si="121"/>
        <v>0.97752808988764039</v>
      </c>
      <c r="I1137">
        <f t="shared" si="122"/>
        <v>1.352044384353578E-3</v>
      </c>
      <c r="J1137">
        <f t="shared" si="123"/>
        <v>0.45950704225352113</v>
      </c>
      <c r="K1137">
        <f t="shared" si="124"/>
        <v>0.62514970059880248</v>
      </c>
      <c r="L1137">
        <f>A1137*COUNTIF(data!D:D,data!$I$2)/data!$L$2</f>
        <v>482.59665871121717</v>
      </c>
      <c r="M1137" s="1">
        <f>A1137/data!$L$2</f>
        <v>0.90373906125696102</v>
      </c>
      <c r="N1137">
        <f t="shared" si="125"/>
        <v>1.0816485994619403</v>
      </c>
    </row>
    <row r="1138" spans="1:14" x14ac:dyDescent="0.2">
      <c r="A1138">
        <v>1137</v>
      </c>
      <c r="B1138">
        <f>LARGE(data!F:F,A1138)</f>
        <v>0.1486207168</v>
      </c>
      <c r="C1138">
        <f>COUNTIFS(data!D:D,data!$I$2,data!F:F,"&gt;="&amp;B1138)</f>
        <v>522</v>
      </c>
      <c r="D1138">
        <f>COUNTIFS(data!D:D,data!$J$2,data!F:F,"&gt;="&amp;B1138)</f>
        <v>615</v>
      </c>
      <c r="E1138">
        <f>COUNTIFS(data!D:D,data!$J$2,data!F:F,"&lt;"&amp;B1138)</f>
        <v>108</v>
      </c>
      <c r="F1138">
        <f>COUNTIFS(data!D:D,data!$I$2,data!F:F,"&lt;"&amp;B1138)</f>
        <v>12</v>
      </c>
      <c r="G1138">
        <f t="shared" si="120"/>
        <v>0.85062240663900412</v>
      </c>
      <c r="H1138">
        <f t="shared" si="121"/>
        <v>0.97752808988764039</v>
      </c>
      <c r="I1138">
        <f t="shared" si="122"/>
        <v>1.352044384353578E-3</v>
      </c>
      <c r="J1138">
        <f t="shared" si="123"/>
        <v>0.45910290237467016</v>
      </c>
      <c r="K1138">
        <f t="shared" si="124"/>
        <v>0.62477558348294426</v>
      </c>
      <c r="L1138">
        <f>A1138*COUNTIF(data!D:D,data!$I$2)/data!$L$2</f>
        <v>483.02147971360381</v>
      </c>
      <c r="M1138" s="1">
        <f>A1138/data!$L$2</f>
        <v>0.90453460620525061</v>
      </c>
      <c r="N1138">
        <f t="shared" si="125"/>
        <v>1.0806972814325102</v>
      </c>
    </row>
    <row r="1139" spans="1:14" x14ac:dyDescent="0.2">
      <c r="A1139">
        <v>1138</v>
      </c>
      <c r="B1139">
        <f>LARGE(data!F:F,A1139)</f>
        <v>0.14623561390000001</v>
      </c>
      <c r="C1139">
        <f>COUNTIFS(data!D:D,data!$I$2,data!F:F,"&gt;="&amp;B1139)</f>
        <v>523</v>
      </c>
      <c r="D1139">
        <f>COUNTIFS(data!D:D,data!$J$2,data!F:F,"&gt;="&amp;B1139)</f>
        <v>615</v>
      </c>
      <c r="E1139">
        <f>COUNTIFS(data!D:D,data!$J$2,data!F:F,"&lt;"&amp;B1139)</f>
        <v>108</v>
      </c>
      <c r="F1139">
        <f>COUNTIFS(data!D:D,data!$I$2,data!F:F,"&lt;"&amp;B1139)</f>
        <v>11</v>
      </c>
      <c r="G1139">
        <f t="shared" si="120"/>
        <v>0.85062240663900412</v>
      </c>
      <c r="H1139">
        <f t="shared" si="121"/>
        <v>0.97940074906367036</v>
      </c>
      <c r="I1139">
        <f t="shared" si="122"/>
        <v>0</v>
      </c>
      <c r="J1139">
        <f t="shared" si="123"/>
        <v>0.45957820738137084</v>
      </c>
      <c r="K1139">
        <f t="shared" si="124"/>
        <v>0.62559808612440193</v>
      </c>
      <c r="L1139">
        <f>A1139*COUNTIF(data!D:D,data!$I$2)/data!$L$2</f>
        <v>483.44630071599045</v>
      </c>
      <c r="M1139" s="1">
        <f>A1139/data!$L$2</f>
        <v>0.90533015115354021</v>
      </c>
      <c r="N1139">
        <f t="shared" si="125"/>
        <v>1.0818161173752494</v>
      </c>
    </row>
    <row r="1140" spans="1:14" x14ac:dyDescent="0.2">
      <c r="A1140">
        <v>1139</v>
      </c>
      <c r="B1140">
        <f>LARGE(data!F:F,A1140)</f>
        <v>0.14574040129999999</v>
      </c>
      <c r="C1140">
        <f>COUNTIFS(data!D:D,data!$I$2,data!F:F,"&gt;="&amp;B1140)</f>
        <v>524</v>
      </c>
      <c r="D1140">
        <f>COUNTIFS(data!D:D,data!$J$2,data!F:F,"&gt;="&amp;B1140)</f>
        <v>616</v>
      </c>
      <c r="E1140">
        <f>COUNTIFS(data!D:D,data!$J$2,data!F:F,"&lt;"&amp;B1140)</f>
        <v>107</v>
      </c>
      <c r="F1140">
        <f>COUNTIFS(data!D:D,data!$I$2,data!F:F,"&lt;"&amp;B1140)</f>
        <v>10</v>
      </c>
      <c r="G1140">
        <f t="shared" si="120"/>
        <v>0.85200553250345779</v>
      </c>
      <c r="H1140">
        <f t="shared" si="121"/>
        <v>0.98127340823970033</v>
      </c>
      <c r="I1140">
        <f t="shared" si="122"/>
        <v>1.3559295693660884E-3</v>
      </c>
      <c r="J1140">
        <f t="shared" si="123"/>
        <v>0.45964912280701753</v>
      </c>
      <c r="K1140">
        <f t="shared" si="124"/>
        <v>0.62604540023894872</v>
      </c>
      <c r="L1140">
        <f>A1140*COUNTIF(data!D:D,data!$I$2)/data!$L$2</f>
        <v>483.87112171837708</v>
      </c>
      <c r="M1140" s="1">
        <f>A1140/data!$L$2</f>
        <v>0.9061256961018298</v>
      </c>
      <c r="N1140">
        <f t="shared" si="125"/>
        <v>1.082932988724586</v>
      </c>
    </row>
    <row r="1141" spans="1:14" x14ac:dyDescent="0.2">
      <c r="A1141">
        <v>1140</v>
      </c>
      <c r="B1141">
        <f>LARGE(data!F:F,A1141)</f>
        <v>0.14574040129999999</v>
      </c>
      <c r="C1141">
        <f>COUNTIFS(data!D:D,data!$I$2,data!F:F,"&gt;="&amp;B1141)</f>
        <v>524</v>
      </c>
      <c r="D1141">
        <f>COUNTIFS(data!D:D,data!$J$2,data!F:F,"&gt;="&amp;B1141)</f>
        <v>616</v>
      </c>
      <c r="E1141">
        <f>COUNTIFS(data!D:D,data!$J$2,data!F:F,"&lt;"&amp;B1141)</f>
        <v>107</v>
      </c>
      <c r="F1141">
        <f>COUNTIFS(data!D:D,data!$I$2,data!F:F,"&lt;"&amp;B1141)</f>
        <v>10</v>
      </c>
      <c r="G1141">
        <f t="shared" si="120"/>
        <v>0.85200553250345779</v>
      </c>
      <c r="H1141">
        <f t="shared" si="121"/>
        <v>0.98127340823970033</v>
      </c>
      <c r="I1141">
        <f t="shared" si="122"/>
        <v>0</v>
      </c>
      <c r="J1141">
        <f t="shared" si="123"/>
        <v>0.45964912280701753</v>
      </c>
      <c r="K1141">
        <f t="shared" si="124"/>
        <v>0.62604540023894872</v>
      </c>
      <c r="L1141">
        <f>A1141*COUNTIF(data!D:D,data!$I$2)/data!$L$2</f>
        <v>484.29594272076372</v>
      </c>
      <c r="M1141" s="1">
        <f>A1141/data!$L$2</f>
        <v>0.90692124105011929</v>
      </c>
      <c r="N1141">
        <f t="shared" si="125"/>
        <v>1.0819830475064065</v>
      </c>
    </row>
    <row r="1142" spans="1:14" x14ac:dyDescent="0.2">
      <c r="A1142">
        <v>1141</v>
      </c>
      <c r="B1142">
        <f>LARGE(data!F:F,A1142)</f>
        <v>0.14555622879999999</v>
      </c>
      <c r="C1142">
        <f>COUNTIFS(data!D:D,data!$I$2,data!F:F,"&gt;="&amp;B1142)</f>
        <v>524</v>
      </c>
      <c r="D1142">
        <f>COUNTIFS(data!D:D,data!$J$2,data!F:F,"&gt;="&amp;B1142)</f>
        <v>617</v>
      </c>
      <c r="E1142">
        <f>COUNTIFS(data!D:D,data!$J$2,data!F:F,"&lt;"&amp;B1142)</f>
        <v>106</v>
      </c>
      <c r="F1142">
        <f>COUNTIFS(data!D:D,data!$I$2,data!F:F,"&lt;"&amp;B1142)</f>
        <v>10</v>
      </c>
      <c r="G1142">
        <f t="shared" si="120"/>
        <v>0.85338865836791145</v>
      </c>
      <c r="H1142">
        <f t="shared" si="121"/>
        <v>0.98127340823970033</v>
      </c>
      <c r="I1142">
        <f t="shared" si="122"/>
        <v>1.3572246310369252E-3</v>
      </c>
      <c r="J1142">
        <f t="shared" si="123"/>
        <v>0.45924627519719546</v>
      </c>
      <c r="K1142">
        <f t="shared" si="124"/>
        <v>0.62567164179104473</v>
      </c>
      <c r="L1142">
        <f>A1142*COUNTIF(data!D:D,data!$I$2)/data!$L$2</f>
        <v>484.72076372315036</v>
      </c>
      <c r="M1142" s="1">
        <f>A1142/data!$L$2</f>
        <v>0.90771678599840888</v>
      </c>
      <c r="N1142">
        <f t="shared" si="125"/>
        <v>1.081034771391151</v>
      </c>
    </row>
    <row r="1143" spans="1:14" x14ac:dyDescent="0.2">
      <c r="A1143">
        <v>1142</v>
      </c>
      <c r="B1143">
        <f>LARGE(data!F:F,A1143)</f>
        <v>0.14510648300000001</v>
      </c>
      <c r="C1143">
        <f>COUNTIFS(data!D:D,data!$I$2,data!F:F,"&gt;="&amp;B1143)</f>
        <v>524</v>
      </c>
      <c r="D1143">
        <f>COUNTIFS(data!D:D,data!$J$2,data!F:F,"&gt;="&amp;B1143)</f>
        <v>618</v>
      </c>
      <c r="E1143">
        <f>COUNTIFS(data!D:D,data!$J$2,data!F:F,"&lt;"&amp;B1143)</f>
        <v>105</v>
      </c>
      <c r="F1143">
        <f>COUNTIFS(data!D:D,data!$I$2,data!F:F,"&lt;"&amp;B1143)</f>
        <v>10</v>
      </c>
      <c r="G1143">
        <f t="shared" si="120"/>
        <v>0.85477178423236511</v>
      </c>
      <c r="H1143">
        <f t="shared" si="121"/>
        <v>0.98127340823970033</v>
      </c>
      <c r="I1143">
        <f t="shared" si="122"/>
        <v>1.3572246310369252E-3</v>
      </c>
      <c r="J1143">
        <f t="shared" si="123"/>
        <v>0.45884413309982486</v>
      </c>
      <c r="K1143">
        <f t="shared" si="124"/>
        <v>0.6252983293556087</v>
      </c>
      <c r="L1143">
        <f>A1143*COUNTIF(data!D:D,data!$I$2)/data!$L$2</f>
        <v>485.14558472553699</v>
      </c>
      <c r="M1143" s="1">
        <f>A1143/data!$L$2</f>
        <v>0.90851233094669848</v>
      </c>
      <c r="N1143">
        <f t="shared" si="125"/>
        <v>1.080088156004644</v>
      </c>
    </row>
    <row r="1144" spans="1:14" x14ac:dyDescent="0.2">
      <c r="A1144">
        <v>1143</v>
      </c>
      <c r="B1144">
        <f>LARGE(data!F:F,A1144)</f>
        <v>0.14488361729999999</v>
      </c>
      <c r="C1144">
        <f>COUNTIFS(data!D:D,data!$I$2,data!F:F,"&gt;="&amp;B1144)</f>
        <v>524</v>
      </c>
      <c r="D1144">
        <f>COUNTIFS(data!D:D,data!$J$2,data!F:F,"&gt;="&amp;B1144)</f>
        <v>619</v>
      </c>
      <c r="E1144">
        <f>COUNTIFS(data!D:D,data!$J$2,data!F:F,"&lt;"&amp;B1144)</f>
        <v>104</v>
      </c>
      <c r="F1144">
        <f>COUNTIFS(data!D:D,data!$I$2,data!F:F,"&lt;"&amp;B1144)</f>
        <v>10</v>
      </c>
      <c r="G1144">
        <f t="shared" si="120"/>
        <v>0.85615491009681877</v>
      </c>
      <c r="H1144">
        <f t="shared" si="121"/>
        <v>0.98127340823970033</v>
      </c>
      <c r="I1144">
        <f t="shared" si="122"/>
        <v>1.3572246310369252E-3</v>
      </c>
      <c r="J1144">
        <f t="shared" si="123"/>
        <v>0.45844269466316712</v>
      </c>
      <c r="K1144">
        <f t="shared" si="124"/>
        <v>0.62492546213476452</v>
      </c>
      <c r="L1144">
        <f>A1144*COUNTIF(data!D:D,data!$I$2)/data!$L$2</f>
        <v>485.57040572792363</v>
      </c>
      <c r="M1144" s="1">
        <f>A1144/data!$L$2</f>
        <v>0.90930787589498807</v>
      </c>
      <c r="N1144">
        <f t="shared" si="125"/>
        <v>1.079143196988017</v>
      </c>
    </row>
    <row r="1145" spans="1:14" x14ac:dyDescent="0.2">
      <c r="A1145">
        <v>1144</v>
      </c>
      <c r="B1145">
        <f>LARGE(data!F:F,A1145)</f>
        <v>0.14399468770000001</v>
      </c>
      <c r="C1145">
        <f>COUNTIFS(data!D:D,data!$I$2,data!F:F,"&gt;="&amp;B1145)</f>
        <v>524</v>
      </c>
      <c r="D1145">
        <f>COUNTIFS(data!D:D,data!$J$2,data!F:F,"&gt;="&amp;B1145)</f>
        <v>620</v>
      </c>
      <c r="E1145">
        <f>COUNTIFS(data!D:D,data!$J$2,data!F:F,"&lt;"&amp;B1145)</f>
        <v>103</v>
      </c>
      <c r="F1145">
        <f>COUNTIFS(data!D:D,data!$I$2,data!F:F,"&lt;"&amp;B1145)</f>
        <v>10</v>
      </c>
      <c r="G1145">
        <f t="shared" si="120"/>
        <v>0.85753803596127243</v>
      </c>
      <c r="H1145">
        <f t="shared" si="121"/>
        <v>0.98127340823970033</v>
      </c>
      <c r="I1145">
        <f t="shared" si="122"/>
        <v>1.3572246310369252E-3</v>
      </c>
      <c r="J1145">
        <f t="shared" si="123"/>
        <v>0.45804195804195802</v>
      </c>
      <c r="K1145">
        <f t="shared" si="124"/>
        <v>0.6245530393325387</v>
      </c>
      <c r="L1145">
        <f>A1145*COUNTIF(data!D:D,data!$I$2)/data!$L$2</f>
        <v>485.99522673031026</v>
      </c>
      <c r="M1145" s="1">
        <f>A1145/data!$L$2</f>
        <v>0.91010342084327767</v>
      </c>
      <c r="N1145">
        <f t="shared" si="125"/>
        <v>1.0781998899976428</v>
      </c>
    </row>
    <row r="1146" spans="1:14" x14ac:dyDescent="0.2">
      <c r="A1146">
        <v>1145</v>
      </c>
      <c r="B1146">
        <f>LARGE(data!F:F,A1146)</f>
        <v>0.14393709730000001</v>
      </c>
      <c r="C1146">
        <f>COUNTIFS(data!D:D,data!$I$2,data!F:F,"&gt;="&amp;B1146)</f>
        <v>524</v>
      </c>
      <c r="D1146">
        <f>COUNTIFS(data!D:D,data!$J$2,data!F:F,"&gt;="&amp;B1146)</f>
        <v>621</v>
      </c>
      <c r="E1146">
        <f>COUNTIFS(data!D:D,data!$J$2,data!F:F,"&lt;"&amp;B1146)</f>
        <v>102</v>
      </c>
      <c r="F1146">
        <f>COUNTIFS(data!D:D,data!$I$2,data!F:F,"&lt;"&amp;B1146)</f>
        <v>10</v>
      </c>
      <c r="G1146">
        <f t="shared" si="120"/>
        <v>0.85892116182572609</v>
      </c>
      <c r="H1146">
        <f t="shared" si="121"/>
        <v>0.98127340823970033</v>
      </c>
      <c r="I1146">
        <f t="shared" si="122"/>
        <v>1.3572246310369252E-3</v>
      </c>
      <c r="J1146">
        <f t="shared" si="123"/>
        <v>0.45764192139737991</v>
      </c>
      <c r="K1146">
        <f t="shared" si="124"/>
        <v>0.62418106015485408</v>
      </c>
      <c r="L1146">
        <f>A1146*COUNTIF(data!D:D,data!$I$2)/data!$L$2</f>
        <v>486.4200477326969</v>
      </c>
      <c r="M1146" s="1">
        <f>A1146/data!$L$2</f>
        <v>0.91089896579156726</v>
      </c>
      <c r="N1146">
        <f t="shared" si="125"/>
        <v>1.0772582307050684</v>
      </c>
    </row>
    <row r="1147" spans="1:14" x14ac:dyDescent="0.2">
      <c r="A1147">
        <v>1146</v>
      </c>
      <c r="B1147">
        <f>LARGE(data!F:F,A1147)</f>
        <v>0.14343702729999999</v>
      </c>
      <c r="C1147">
        <f>COUNTIFS(data!D:D,data!$I$2,data!F:F,"&gt;="&amp;B1147)</f>
        <v>524</v>
      </c>
      <c r="D1147">
        <f>COUNTIFS(data!D:D,data!$J$2,data!F:F,"&gt;="&amp;B1147)</f>
        <v>622</v>
      </c>
      <c r="E1147">
        <f>COUNTIFS(data!D:D,data!$J$2,data!F:F,"&lt;"&amp;B1147)</f>
        <v>101</v>
      </c>
      <c r="F1147">
        <f>COUNTIFS(data!D:D,data!$I$2,data!F:F,"&lt;"&amp;B1147)</f>
        <v>10</v>
      </c>
      <c r="G1147">
        <f t="shared" si="120"/>
        <v>0.86030428769017986</v>
      </c>
      <c r="H1147">
        <f t="shared" si="121"/>
        <v>0.98127340823970033</v>
      </c>
      <c r="I1147">
        <f t="shared" si="122"/>
        <v>1.357224631037034E-3</v>
      </c>
      <c r="J1147">
        <f t="shared" si="123"/>
        <v>0.45724258289703318</v>
      </c>
      <c r="K1147">
        <f t="shared" si="124"/>
        <v>0.62380952380952381</v>
      </c>
      <c r="L1147">
        <f>A1147*COUNTIF(data!D:D,data!$I$2)/data!$L$2</f>
        <v>486.84486873508354</v>
      </c>
      <c r="M1147" s="1">
        <f>A1147/data!$L$2</f>
        <v>0.91169451073985686</v>
      </c>
      <c r="N1147">
        <f t="shared" si="125"/>
        <v>1.0763182147969488</v>
      </c>
    </row>
    <row r="1148" spans="1:14" x14ac:dyDescent="0.2">
      <c r="A1148">
        <v>1147</v>
      </c>
      <c r="B1148">
        <f>LARGE(data!F:F,A1148)</f>
        <v>0.14282523529999999</v>
      </c>
      <c r="C1148">
        <f>COUNTIFS(data!D:D,data!$I$2,data!F:F,"&gt;="&amp;B1148)</f>
        <v>525</v>
      </c>
      <c r="D1148">
        <f>COUNTIFS(data!D:D,data!$J$2,data!F:F,"&gt;="&amp;B1148)</f>
        <v>622</v>
      </c>
      <c r="E1148">
        <f>COUNTIFS(data!D:D,data!$J$2,data!F:F,"&lt;"&amp;B1148)</f>
        <v>101</v>
      </c>
      <c r="F1148">
        <f>COUNTIFS(data!D:D,data!$I$2,data!F:F,"&lt;"&amp;B1148)</f>
        <v>9</v>
      </c>
      <c r="G1148">
        <f t="shared" si="120"/>
        <v>0.86030428769017986</v>
      </c>
      <c r="H1148">
        <f t="shared" si="121"/>
        <v>0.9831460674157303</v>
      </c>
      <c r="I1148">
        <f t="shared" si="122"/>
        <v>0</v>
      </c>
      <c r="J1148">
        <f t="shared" si="123"/>
        <v>0.45771578029642546</v>
      </c>
      <c r="K1148">
        <f t="shared" si="124"/>
        <v>0.62462819750148724</v>
      </c>
      <c r="L1148">
        <f>A1148*COUNTIF(data!D:D,data!$I$2)/data!$L$2</f>
        <v>487.26968973747017</v>
      </c>
      <c r="M1148" s="1">
        <f>A1148/data!$L$2</f>
        <v>0.91249005568814634</v>
      </c>
      <c r="N1148">
        <f t="shared" si="125"/>
        <v>1.07743208957417</v>
      </c>
    </row>
    <row r="1149" spans="1:14" x14ac:dyDescent="0.2">
      <c r="A1149">
        <v>1148</v>
      </c>
      <c r="B1149">
        <f>LARGE(data!F:F,A1149)</f>
        <v>0.14192487610000001</v>
      </c>
      <c r="C1149">
        <f>COUNTIFS(data!D:D,data!$I$2,data!F:F,"&gt;="&amp;B1149)</f>
        <v>525</v>
      </c>
      <c r="D1149">
        <f>COUNTIFS(data!D:D,data!$J$2,data!F:F,"&gt;="&amp;B1149)</f>
        <v>623</v>
      </c>
      <c r="E1149">
        <f>COUNTIFS(data!D:D,data!$J$2,data!F:F,"&lt;"&amp;B1149)</f>
        <v>100</v>
      </c>
      <c r="F1149">
        <f>COUNTIFS(data!D:D,data!$I$2,data!F:F,"&lt;"&amp;B1149)</f>
        <v>9</v>
      </c>
      <c r="G1149">
        <f t="shared" si="120"/>
        <v>0.86168741355463352</v>
      </c>
      <c r="H1149">
        <f t="shared" si="121"/>
        <v>0.9831460674157303</v>
      </c>
      <c r="I1149">
        <f t="shared" si="122"/>
        <v>1.3598147543785986E-3</v>
      </c>
      <c r="J1149">
        <f t="shared" si="123"/>
        <v>0.45731707317073172</v>
      </c>
      <c r="K1149">
        <f t="shared" si="124"/>
        <v>0.62425683709869195</v>
      </c>
      <c r="L1149">
        <f>A1149*COUNTIF(data!D:D,data!$I$2)/data!$L$2</f>
        <v>487.69451073985681</v>
      </c>
      <c r="M1149" s="1">
        <f>A1149/data!$L$2</f>
        <v>0.91328560063643593</v>
      </c>
      <c r="N1149">
        <f t="shared" si="125"/>
        <v>1.076493559879419</v>
      </c>
    </row>
    <row r="1150" spans="1:14" x14ac:dyDescent="0.2">
      <c r="A1150">
        <v>1149</v>
      </c>
      <c r="B1150">
        <f>LARGE(data!F:F,A1150)</f>
        <v>0.14153101209999999</v>
      </c>
      <c r="C1150">
        <f>COUNTIFS(data!D:D,data!$I$2,data!F:F,"&gt;="&amp;B1150)</f>
        <v>525</v>
      </c>
      <c r="D1150">
        <f>COUNTIFS(data!D:D,data!$J$2,data!F:F,"&gt;="&amp;B1150)</f>
        <v>624</v>
      </c>
      <c r="E1150">
        <f>COUNTIFS(data!D:D,data!$J$2,data!F:F,"&lt;"&amp;B1150)</f>
        <v>99</v>
      </c>
      <c r="F1150">
        <f>COUNTIFS(data!D:D,data!$I$2,data!F:F,"&lt;"&amp;B1150)</f>
        <v>9</v>
      </c>
      <c r="G1150">
        <f t="shared" si="120"/>
        <v>0.86307053941908718</v>
      </c>
      <c r="H1150">
        <f t="shared" si="121"/>
        <v>0.9831460674157303</v>
      </c>
      <c r="I1150">
        <f t="shared" si="122"/>
        <v>1.3598147543785986E-3</v>
      </c>
      <c r="J1150">
        <f t="shared" si="123"/>
        <v>0.45691906005221933</v>
      </c>
      <c r="K1150">
        <f t="shared" si="124"/>
        <v>0.62388591800356508</v>
      </c>
      <c r="L1150">
        <f>A1150*COUNTIF(data!D:D,data!$I$2)/data!$L$2</f>
        <v>488.11933174224345</v>
      </c>
      <c r="M1150" s="1">
        <f>A1150/data!$L$2</f>
        <v>0.91408114558472553</v>
      </c>
      <c r="N1150">
        <f t="shared" si="125"/>
        <v>1.0755566638307859</v>
      </c>
    </row>
    <row r="1151" spans="1:14" x14ac:dyDescent="0.2">
      <c r="A1151">
        <v>1150</v>
      </c>
      <c r="B1151">
        <f>LARGE(data!F:F,A1151)</f>
        <v>0.14114558869999999</v>
      </c>
      <c r="C1151">
        <f>COUNTIFS(data!D:D,data!$I$2,data!F:F,"&gt;="&amp;B1151)</f>
        <v>525</v>
      </c>
      <c r="D1151">
        <f>COUNTIFS(data!D:D,data!$J$2,data!F:F,"&gt;="&amp;B1151)</f>
        <v>625</v>
      </c>
      <c r="E1151">
        <f>COUNTIFS(data!D:D,data!$J$2,data!F:F,"&lt;"&amp;B1151)</f>
        <v>98</v>
      </c>
      <c r="F1151">
        <f>COUNTIFS(data!D:D,data!$I$2,data!F:F,"&lt;"&amp;B1151)</f>
        <v>9</v>
      </c>
      <c r="G1151">
        <f t="shared" si="120"/>
        <v>0.86445366528354084</v>
      </c>
      <c r="H1151">
        <f t="shared" si="121"/>
        <v>0.9831460674157303</v>
      </c>
      <c r="I1151">
        <f t="shared" si="122"/>
        <v>1.3598147543785986E-3</v>
      </c>
      <c r="J1151">
        <f t="shared" si="123"/>
        <v>0.45652173913043476</v>
      </c>
      <c r="K1151">
        <f t="shared" si="124"/>
        <v>0.62351543942992871</v>
      </c>
      <c r="L1151">
        <f>A1151*COUNTIF(data!D:D,data!$I$2)/data!$L$2</f>
        <v>488.54415274463008</v>
      </c>
      <c r="M1151" s="1">
        <f>A1151/data!$L$2</f>
        <v>0.91487669053301512</v>
      </c>
      <c r="N1151">
        <f t="shared" si="125"/>
        <v>1.0746213971665852</v>
      </c>
    </row>
    <row r="1152" spans="1:14" x14ac:dyDescent="0.2">
      <c r="A1152">
        <v>1151</v>
      </c>
      <c r="B1152">
        <f>LARGE(data!F:F,A1152)</f>
        <v>0.1410555835</v>
      </c>
      <c r="C1152">
        <f>COUNTIFS(data!D:D,data!$I$2,data!F:F,"&gt;="&amp;B1152)</f>
        <v>525</v>
      </c>
      <c r="D1152">
        <f>COUNTIFS(data!D:D,data!$J$2,data!F:F,"&gt;="&amp;B1152)</f>
        <v>626</v>
      </c>
      <c r="E1152">
        <f>COUNTIFS(data!D:D,data!$J$2,data!F:F,"&lt;"&amp;B1152)</f>
        <v>97</v>
      </c>
      <c r="F1152">
        <f>COUNTIFS(data!D:D,data!$I$2,data!F:F,"&lt;"&amp;B1152)</f>
        <v>9</v>
      </c>
      <c r="G1152">
        <f t="shared" si="120"/>
        <v>0.8658367911479945</v>
      </c>
      <c r="H1152">
        <f t="shared" si="121"/>
        <v>0.9831460674157303</v>
      </c>
      <c r="I1152">
        <f t="shared" si="122"/>
        <v>1.3598147543785986E-3</v>
      </c>
      <c r="J1152">
        <f t="shared" si="123"/>
        <v>0.45612510860121636</v>
      </c>
      <c r="K1152">
        <f t="shared" si="124"/>
        <v>0.6231454005934719</v>
      </c>
      <c r="L1152">
        <f>A1152*COUNTIF(data!D:D,data!$I$2)/data!$L$2</f>
        <v>488.96897374701672</v>
      </c>
      <c r="M1152" s="1">
        <f>A1152/data!$L$2</f>
        <v>0.91567223548130472</v>
      </c>
      <c r="N1152">
        <f t="shared" si="125"/>
        <v>1.0736877556399418</v>
      </c>
    </row>
    <row r="1153" spans="1:14" x14ac:dyDescent="0.2">
      <c r="A1153">
        <v>1152</v>
      </c>
      <c r="B1153">
        <f>LARGE(data!F:F,A1153)</f>
        <v>0.14067121630000001</v>
      </c>
      <c r="C1153">
        <f>COUNTIFS(data!D:D,data!$I$2,data!F:F,"&gt;="&amp;B1153)</f>
        <v>525</v>
      </c>
      <c r="D1153">
        <f>COUNTIFS(data!D:D,data!$J$2,data!F:F,"&gt;="&amp;B1153)</f>
        <v>627</v>
      </c>
      <c r="E1153">
        <f>COUNTIFS(data!D:D,data!$J$2,data!F:F,"&lt;"&amp;B1153)</f>
        <v>96</v>
      </c>
      <c r="F1153">
        <f>COUNTIFS(data!D:D,data!$I$2,data!F:F,"&lt;"&amp;B1153)</f>
        <v>9</v>
      </c>
      <c r="G1153">
        <f t="shared" si="120"/>
        <v>0.86721991701244816</v>
      </c>
      <c r="H1153">
        <f t="shared" si="121"/>
        <v>0.9831460674157303</v>
      </c>
      <c r="I1153">
        <f t="shared" si="122"/>
        <v>1.3598147543785986E-3</v>
      </c>
      <c r="J1153">
        <f t="shared" si="123"/>
        <v>0.45572916666666669</v>
      </c>
      <c r="K1153">
        <f t="shared" si="124"/>
        <v>0.62277580071174388</v>
      </c>
      <c r="L1153">
        <f>A1153*COUNTIF(data!D:D,data!$I$2)/data!$L$2</f>
        <v>489.39379474940336</v>
      </c>
      <c r="M1153" s="1">
        <f>A1153/data!$L$2</f>
        <v>0.91646778042959431</v>
      </c>
      <c r="N1153">
        <f t="shared" si="125"/>
        <v>1.0727557350187265</v>
      </c>
    </row>
    <row r="1154" spans="1:14" x14ac:dyDescent="0.2">
      <c r="A1154">
        <v>1153</v>
      </c>
      <c r="B1154">
        <f>LARGE(data!F:F,A1154)</f>
        <v>0.1406520819</v>
      </c>
      <c r="C1154">
        <f>COUNTIFS(data!D:D,data!$I$2,data!F:F,"&gt;="&amp;B1154)</f>
        <v>527</v>
      </c>
      <c r="D1154">
        <f>COUNTIFS(data!D:D,data!$J$2,data!F:F,"&gt;="&amp;B1154)</f>
        <v>627</v>
      </c>
      <c r="E1154">
        <f>COUNTIFS(data!D:D,data!$J$2,data!F:F,"&lt;"&amp;B1154)</f>
        <v>96</v>
      </c>
      <c r="F1154">
        <f>COUNTIFS(data!D:D,data!$I$2,data!F:F,"&lt;"&amp;B1154)</f>
        <v>7</v>
      </c>
      <c r="G1154">
        <f t="shared" si="120"/>
        <v>0.86721991701244816</v>
      </c>
      <c r="H1154">
        <f t="shared" si="121"/>
        <v>0.98689138576779023</v>
      </c>
      <c r="I1154">
        <f t="shared" si="122"/>
        <v>0</v>
      </c>
      <c r="J1154">
        <f t="shared" si="123"/>
        <v>0.45667244367417675</v>
      </c>
      <c r="K1154">
        <f t="shared" si="124"/>
        <v>0.62440758293838861</v>
      </c>
      <c r="L1154">
        <f>A1154*COUNTIF(data!D:D,data!$I$2)/data!$L$2</f>
        <v>489.81861575178999</v>
      </c>
      <c r="M1154" s="1">
        <f>A1154/data!$L$2</f>
        <v>0.9172633253778838</v>
      </c>
      <c r="N1154">
        <f t="shared" si="125"/>
        <v>1.0759084752039136</v>
      </c>
    </row>
    <row r="1155" spans="1:14" x14ac:dyDescent="0.2">
      <c r="A1155">
        <v>1154</v>
      </c>
      <c r="B1155">
        <f>LARGE(data!F:F,A1155)</f>
        <v>0.1406520819</v>
      </c>
      <c r="C1155">
        <f>COUNTIFS(data!D:D,data!$I$2,data!F:F,"&gt;="&amp;B1155)</f>
        <v>527</v>
      </c>
      <c r="D1155">
        <f>COUNTIFS(data!D:D,data!$J$2,data!F:F,"&gt;="&amp;B1155)</f>
        <v>627</v>
      </c>
      <c r="E1155">
        <f>COUNTIFS(data!D:D,data!$J$2,data!F:F,"&lt;"&amp;B1155)</f>
        <v>96</v>
      </c>
      <c r="F1155">
        <f>COUNTIFS(data!D:D,data!$I$2,data!F:F,"&lt;"&amp;B1155)</f>
        <v>7</v>
      </c>
      <c r="G1155">
        <f t="shared" si="120"/>
        <v>0.86721991701244816</v>
      </c>
      <c r="H1155">
        <f t="shared" si="121"/>
        <v>0.98689138576779023</v>
      </c>
      <c r="I1155">
        <f t="shared" si="122"/>
        <v>0</v>
      </c>
      <c r="J1155">
        <f t="shared" si="123"/>
        <v>0.45667244367417675</v>
      </c>
      <c r="K1155">
        <f t="shared" si="124"/>
        <v>0.62440758293838861</v>
      </c>
      <c r="L1155">
        <f>A1155*COUNTIF(data!D:D,data!$I$2)/data!$L$2</f>
        <v>490.24343675417663</v>
      </c>
      <c r="M1155" s="1">
        <f>A1155/data!$L$2</f>
        <v>0.91805887032617339</v>
      </c>
      <c r="N1155">
        <f t="shared" si="125"/>
        <v>1.0749761455026969</v>
      </c>
    </row>
    <row r="1156" spans="1:14" x14ac:dyDescent="0.2">
      <c r="A1156">
        <v>1155</v>
      </c>
      <c r="B1156">
        <f>LARGE(data!F:F,A1156)</f>
        <v>0.14028990080000001</v>
      </c>
      <c r="C1156">
        <f>COUNTIFS(data!D:D,data!$I$2,data!F:F,"&gt;="&amp;B1156)</f>
        <v>527</v>
      </c>
      <c r="D1156">
        <f>COUNTIFS(data!D:D,data!$J$2,data!F:F,"&gt;="&amp;B1156)</f>
        <v>628</v>
      </c>
      <c r="E1156">
        <f>COUNTIFS(data!D:D,data!$J$2,data!F:F,"&lt;"&amp;B1156)</f>
        <v>95</v>
      </c>
      <c r="F1156">
        <f>COUNTIFS(data!D:D,data!$I$2,data!F:F,"&lt;"&amp;B1156)</f>
        <v>7</v>
      </c>
      <c r="G1156">
        <f t="shared" si="120"/>
        <v>0.86860304287690182</v>
      </c>
      <c r="H1156">
        <f t="shared" si="121"/>
        <v>0.98689138576779023</v>
      </c>
      <c r="I1156">
        <f t="shared" si="122"/>
        <v>1.3649950010619456E-3</v>
      </c>
      <c r="J1156">
        <f t="shared" si="123"/>
        <v>0.45627705627705628</v>
      </c>
      <c r="K1156">
        <f t="shared" si="124"/>
        <v>0.62403789224393136</v>
      </c>
      <c r="L1156">
        <f>A1156*COUNTIF(data!D:D,data!$I$2)/data!$L$2</f>
        <v>490.66825775656326</v>
      </c>
      <c r="M1156" s="1">
        <f>A1156/data!$L$2</f>
        <v>0.91885441527446299</v>
      </c>
      <c r="N1156">
        <f t="shared" si="125"/>
        <v>1.0740454302252054</v>
      </c>
    </row>
    <row r="1157" spans="1:14" x14ac:dyDescent="0.2">
      <c r="A1157">
        <v>1156</v>
      </c>
      <c r="B1157">
        <f>LARGE(data!F:F,A1157)</f>
        <v>0.14025563399999999</v>
      </c>
      <c r="C1157">
        <f>COUNTIFS(data!D:D,data!$I$2,data!F:F,"&gt;="&amp;B1157)</f>
        <v>527</v>
      </c>
      <c r="D1157">
        <f>COUNTIFS(data!D:D,data!$J$2,data!F:F,"&gt;="&amp;B1157)</f>
        <v>629</v>
      </c>
      <c r="E1157">
        <f>COUNTIFS(data!D:D,data!$J$2,data!F:F,"&lt;"&amp;B1157)</f>
        <v>94</v>
      </c>
      <c r="F1157">
        <f>COUNTIFS(data!D:D,data!$I$2,data!F:F,"&lt;"&amp;B1157)</f>
        <v>7</v>
      </c>
      <c r="G1157">
        <f t="shared" si="120"/>
        <v>0.86998616874135548</v>
      </c>
      <c r="H1157">
        <f t="shared" si="121"/>
        <v>0.98689138576779023</v>
      </c>
      <c r="I1157">
        <f t="shared" si="122"/>
        <v>1.3649950010619456E-3</v>
      </c>
      <c r="J1157">
        <f t="shared" si="123"/>
        <v>0.45588235294117646</v>
      </c>
      <c r="K1157">
        <f t="shared" si="124"/>
        <v>0.62366863905325443</v>
      </c>
      <c r="L1157">
        <f>A1157*COUNTIF(data!D:D,data!$I$2)/data!$L$2</f>
        <v>491.0930787589499</v>
      </c>
      <c r="M1157" s="1">
        <f>A1157/data!$L$2</f>
        <v>0.91964996022275258</v>
      </c>
      <c r="N1157">
        <f t="shared" si="125"/>
        <v>1.0731163251817581</v>
      </c>
    </row>
    <row r="1158" spans="1:14" x14ac:dyDescent="0.2">
      <c r="A1158">
        <v>1157</v>
      </c>
      <c r="B1158">
        <f>LARGE(data!F:F,A1158)</f>
        <v>0.1393972611</v>
      </c>
      <c r="C1158">
        <f>COUNTIFS(data!D:D,data!$I$2,data!F:F,"&gt;="&amp;B1158)</f>
        <v>527</v>
      </c>
      <c r="D1158">
        <f>COUNTIFS(data!D:D,data!$J$2,data!F:F,"&gt;="&amp;B1158)</f>
        <v>630</v>
      </c>
      <c r="E1158">
        <f>COUNTIFS(data!D:D,data!$J$2,data!F:F,"&lt;"&amp;B1158)</f>
        <v>93</v>
      </c>
      <c r="F1158">
        <f>COUNTIFS(data!D:D,data!$I$2,data!F:F,"&lt;"&amp;B1158)</f>
        <v>7</v>
      </c>
      <c r="G1158">
        <f t="shared" si="120"/>
        <v>0.87136929460580914</v>
      </c>
      <c r="H1158">
        <f t="shared" si="121"/>
        <v>0.98689138576779023</v>
      </c>
      <c r="I1158">
        <f t="shared" si="122"/>
        <v>1.3649950010619456E-3</v>
      </c>
      <c r="J1158">
        <f t="shared" si="123"/>
        <v>0.45548833189282628</v>
      </c>
      <c r="K1158">
        <f t="shared" si="124"/>
        <v>0.62329982259018335</v>
      </c>
      <c r="L1158">
        <f>A1158*COUNTIF(data!D:D,data!$I$2)/data!$L$2</f>
        <v>491.51789976133654</v>
      </c>
      <c r="M1158" s="1">
        <f>A1158/data!$L$2</f>
        <v>0.92044550517104218</v>
      </c>
      <c r="N1158">
        <f t="shared" si="125"/>
        <v>1.0721888261971584</v>
      </c>
    </row>
    <row r="1159" spans="1:14" x14ac:dyDescent="0.2">
      <c r="A1159">
        <v>1158</v>
      </c>
      <c r="B1159">
        <f>LARGE(data!F:F,A1159)</f>
        <v>0.13896027159999999</v>
      </c>
      <c r="C1159">
        <f>COUNTIFS(data!D:D,data!$I$2,data!F:F,"&gt;="&amp;B1159)</f>
        <v>527</v>
      </c>
      <c r="D1159">
        <f>COUNTIFS(data!D:D,data!$J$2,data!F:F,"&gt;="&amp;B1159)</f>
        <v>631</v>
      </c>
      <c r="E1159">
        <f>COUNTIFS(data!D:D,data!$J$2,data!F:F,"&lt;"&amp;B1159)</f>
        <v>92</v>
      </c>
      <c r="F1159">
        <f>COUNTIFS(data!D:D,data!$I$2,data!F:F,"&lt;"&amp;B1159)</f>
        <v>7</v>
      </c>
      <c r="G1159">
        <f t="shared" si="120"/>
        <v>0.8727524204702628</v>
      </c>
      <c r="H1159">
        <f t="shared" si="121"/>
        <v>0.98689138576779023</v>
      </c>
      <c r="I1159">
        <f t="shared" si="122"/>
        <v>1.3649950010619456E-3</v>
      </c>
      <c r="J1159">
        <f t="shared" si="123"/>
        <v>0.45509499136442144</v>
      </c>
      <c r="K1159">
        <f t="shared" si="124"/>
        <v>0.62293144208037821</v>
      </c>
      <c r="L1159">
        <f>A1159*COUNTIF(data!D:D,data!$I$2)/data!$L$2</f>
        <v>491.94272076372317</v>
      </c>
      <c r="M1159" s="1">
        <f>A1159/data!$L$2</f>
        <v>0.92124105011933177</v>
      </c>
      <c r="N1159">
        <f t="shared" si="125"/>
        <v>1.0712629291106324</v>
      </c>
    </row>
    <row r="1160" spans="1:14" x14ac:dyDescent="0.2">
      <c r="A1160">
        <v>1159</v>
      </c>
      <c r="B1160">
        <f>LARGE(data!F:F,A1160)</f>
        <v>0.13889500129999999</v>
      </c>
      <c r="C1160">
        <f>COUNTIFS(data!D:D,data!$I$2,data!F:F,"&gt;="&amp;B1160)</f>
        <v>527</v>
      </c>
      <c r="D1160">
        <f>COUNTIFS(data!D:D,data!$J$2,data!F:F,"&gt;="&amp;B1160)</f>
        <v>632</v>
      </c>
      <c r="E1160">
        <f>COUNTIFS(data!D:D,data!$J$2,data!F:F,"&lt;"&amp;B1160)</f>
        <v>91</v>
      </c>
      <c r="F1160">
        <f>COUNTIFS(data!D:D,data!$I$2,data!F:F,"&lt;"&amp;B1160)</f>
        <v>7</v>
      </c>
      <c r="G1160">
        <f t="shared" si="120"/>
        <v>0.87413554633471646</v>
      </c>
      <c r="H1160">
        <f t="shared" si="121"/>
        <v>0.98689138576779023</v>
      </c>
      <c r="I1160">
        <f t="shared" si="122"/>
        <v>1.3649950010619456E-3</v>
      </c>
      <c r="J1160">
        <f t="shared" si="123"/>
        <v>0.45470232959447798</v>
      </c>
      <c r="K1160">
        <f t="shared" si="124"/>
        <v>0.62256349675132894</v>
      </c>
      <c r="L1160">
        <f>A1160*COUNTIF(data!D:D,data!$I$2)/data!$L$2</f>
        <v>492.36754176610981</v>
      </c>
      <c r="M1160" s="1">
        <f>A1160/data!$L$2</f>
        <v>0.92203659506762137</v>
      </c>
      <c r="N1160">
        <f t="shared" si="125"/>
        <v>1.0703386297757655</v>
      </c>
    </row>
    <row r="1161" spans="1:14" x14ac:dyDescent="0.2">
      <c r="A1161">
        <v>1160</v>
      </c>
      <c r="B1161">
        <f>LARGE(data!F:F,A1161)</f>
        <v>0.13831994210000001</v>
      </c>
      <c r="C1161">
        <f>COUNTIFS(data!D:D,data!$I$2,data!F:F,"&gt;="&amp;B1161)</f>
        <v>527</v>
      </c>
      <c r="D1161">
        <f>COUNTIFS(data!D:D,data!$J$2,data!F:F,"&gt;="&amp;B1161)</f>
        <v>633</v>
      </c>
      <c r="E1161">
        <f>COUNTIFS(data!D:D,data!$J$2,data!F:F,"&lt;"&amp;B1161)</f>
        <v>90</v>
      </c>
      <c r="F1161">
        <f>COUNTIFS(data!D:D,data!$I$2,data!F:F,"&lt;"&amp;B1161)</f>
        <v>7</v>
      </c>
      <c r="G1161">
        <f t="shared" si="120"/>
        <v>0.87551867219917012</v>
      </c>
      <c r="H1161">
        <f t="shared" si="121"/>
        <v>0.98689138576779023</v>
      </c>
      <c r="I1161">
        <f t="shared" si="122"/>
        <v>1.3649950010619456E-3</v>
      </c>
      <c r="J1161">
        <f t="shared" si="123"/>
        <v>0.4543103448275862</v>
      </c>
      <c r="K1161">
        <f t="shared" si="124"/>
        <v>0.62219598583234947</v>
      </c>
      <c r="L1161">
        <f>A1161*COUNTIF(data!D:D,data!$I$2)/data!$L$2</f>
        <v>492.79236276849645</v>
      </c>
      <c r="M1161" s="1">
        <f>A1161/data!$L$2</f>
        <v>0.92283214001591085</v>
      </c>
      <c r="N1161">
        <f t="shared" si="125"/>
        <v>1.0694159240604417</v>
      </c>
    </row>
    <row r="1162" spans="1:14" x14ac:dyDescent="0.2">
      <c r="A1162">
        <v>1161</v>
      </c>
      <c r="B1162">
        <f>LARGE(data!F:F,A1162)</f>
        <v>0.13824236140000001</v>
      </c>
      <c r="C1162">
        <f>COUNTIFS(data!D:D,data!$I$2,data!F:F,"&gt;="&amp;B1162)</f>
        <v>527</v>
      </c>
      <c r="D1162">
        <f>COUNTIFS(data!D:D,data!$J$2,data!F:F,"&gt;="&amp;B1162)</f>
        <v>634</v>
      </c>
      <c r="E1162">
        <f>COUNTIFS(data!D:D,data!$J$2,data!F:F,"&lt;"&amp;B1162)</f>
        <v>89</v>
      </c>
      <c r="F1162">
        <f>COUNTIFS(data!D:D,data!$I$2,data!F:F,"&lt;"&amp;B1162)</f>
        <v>7</v>
      </c>
      <c r="G1162">
        <f t="shared" si="120"/>
        <v>0.87690179806362378</v>
      </c>
      <c r="H1162">
        <f t="shared" si="121"/>
        <v>0.98689138576779023</v>
      </c>
      <c r="I1162">
        <f t="shared" si="122"/>
        <v>1.3649950010619456E-3</v>
      </c>
      <c r="J1162">
        <f t="shared" si="123"/>
        <v>0.45391903531438416</v>
      </c>
      <c r="K1162">
        <f t="shared" si="124"/>
        <v>0.62182890855457229</v>
      </c>
      <c r="L1162">
        <f>A1162*COUNTIF(data!D:D,data!$I$2)/data!$L$2</f>
        <v>493.21718377088308</v>
      </c>
      <c r="M1162" s="1">
        <f>A1162/data!$L$2</f>
        <v>0.92362768496420045</v>
      </c>
      <c r="N1162">
        <f t="shared" si="125"/>
        <v>1.0684948078467806</v>
      </c>
    </row>
    <row r="1163" spans="1:14" x14ac:dyDescent="0.2">
      <c r="A1163">
        <v>1162</v>
      </c>
      <c r="B1163">
        <f>LARGE(data!F:F,A1163)</f>
        <v>0.13770754700000001</v>
      </c>
      <c r="C1163">
        <f>COUNTIFS(data!D:D,data!$I$2,data!F:F,"&gt;="&amp;B1163)</f>
        <v>527</v>
      </c>
      <c r="D1163">
        <f>COUNTIFS(data!D:D,data!$J$2,data!F:F,"&gt;="&amp;B1163)</f>
        <v>635</v>
      </c>
      <c r="E1163">
        <f>COUNTIFS(data!D:D,data!$J$2,data!F:F,"&lt;"&amp;B1163)</f>
        <v>88</v>
      </c>
      <c r="F1163">
        <f>COUNTIFS(data!D:D,data!$I$2,data!F:F,"&lt;"&amp;B1163)</f>
        <v>7</v>
      </c>
      <c r="G1163">
        <f t="shared" si="120"/>
        <v>0.87828492392807744</v>
      </c>
      <c r="H1163">
        <f t="shared" si="121"/>
        <v>0.98689138576779023</v>
      </c>
      <c r="I1163">
        <f t="shared" si="122"/>
        <v>1.3649950010619456E-3</v>
      </c>
      <c r="J1163">
        <f t="shared" si="123"/>
        <v>0.45352839931153183</v>
      </c>
      <c r="K1163">
        <f t="shared" si="124"/>
        <v>0.6214622641509433</v>
      </c>
      <c r="L1163">
        <f>A1163*COUNTIF(data!D:D,data!$I$2)/data!$L$2</f>
        <v>493.64200477326966</v>
      </c>
      <c r="M1163" s="1">
        <f>A1163/data!$L$2</f>
        <v>0.92442322991249004</v>
      </c>
      <c r="N1163">
        <f t="shared" si="125"/>
        <v>1.0675752770310778</v>
      </c>
    </row>
    <row r="1164" spans="1:14" x14ac:dyDescent="0.2">
      <c r="A1164">
        <v>1163</v>
      </c>
      <c r="B1164">
        <f>LARGE(data!F:F,A1164)</f>
        <v>0.137608225</v>
      </c>
      <c r="C1164">
        <f>COUNTIFS(data!D:D,data!$I$2,data!F:F,"&gt;="&amp;B1164)</f>
        <v>528</v>
      </c>
      <c r="D1164">
        <f>COUNTIFS(data!D:D,data!$J$2,data!F:F,"&gt;="&amp;B1164)</f>
        <v>635</v>
      </c>
      <c r="E1164">
        <f>COUNTIFS(data!D:D,data!$J$2,data!F:F,"&lt;"&amp;B1164)</f>
        <v>88</v>
      </c>
      <c r="F1164">
        <f>COUNTIFS(data!D:D,data!$I$2,data!F:F,"&lt;"&amp;B1164)</f>
        <v>6</v>
      </c>
      <c r="G1164">
        <f t="shared" si="120"/>
        <v>0.87828492392807744</v>
      </c>
      <c r="H1164">
        <f t="shared" si="121"/>
        <v>0.9887640449438202</v>
      </c>
      <c r="I1164">
        <f t="shared" si="122"/>
        <v>0</v>
      </c>
      <c r="J1164">
        <f t="shared" si="123"/>
        <v>0.45399828030954426</v>
      </c>
      <c r="K1164">
        <f t="shared" si="124"/>
        <v>0.62227460223924569</v>
      </c>
      <c r="L1164">
        <f>A1164*COUNTIF(data!D:D,data!$I$2)/data!$L$2</f>
        <v>494.0668257756563</v>
      </c>
      <c r="M1164" s="1">
        <f>A1164/data!$L$2</f>
        <v>0.92521877486077964</v>
      </c>
      <c r="N1164">
        <f t="shared" si="125"/>
        <v>1.0686813452230284</v>
      </c>
    </row>
    <row r="1165" spans="1:14" x14ac:dyDescent="0.2">
      <c r="A1165">
        <v>1164</v>
      </c>
      <c r="B1165">
        <f>LARGE(data!F:F,A1165)</f>
        <v>0.13712402809999999</v>
      </c>
      <c r="C1165">
        <f>COUNTIFS(data!D:D,data!$I$2,data!F:F,"&gt;="&amp;B1165)</f>
        <v>530</v>
      </c>
      <c r="D1165">
        <f>COUNTIFS(data!D:D,data!$J$2,data!F:F,"&gt;="&amp;B1165)</f>
        <v>635</v>
      </c>
      <c r="E1165">
        <f>COUNTIFS(data!D:D,data!$J$2,data!F:F,"&lt;"&amp;B1165)</f>
        <v>88</v>
      </c>
      <c r="F1165">
        <f>COUNTIFS(data!D:D,data!$I$2,data!F:F,"&lt;"&amp;B1165)</f>
        <v>4</v>
      </c>
      <c r="G1165">
        <f t="shared" si="120"/>
        <v>0.87828492392807744</v>
      </c>
      <c r="H1165">
        <f t="shared" si="121"/>
        <v>0.99250936329588013</v>
      </c>
      <c r="I1165">
        <f t="shared" si="122"/>
        <v>0</v>
      </c>
      <c r="J1165">
        <f t="shared" si="123"/>
        <v>0.45493562231759654</v>
      </c>
      <c r="K1165">
        <f t="shared" si="124"/>
        <v>0.62389640965273696</v>
      </c>
      <c r="L1165">
        <f>A1165*COUNTIF(data!D:D,data!$I$2)/data!$L$2</f>
        <v>494.49164677804293</v>
      </c>
      <c r="M1165" s="1">
        <f>A1165/data!$L$2</f>
        <v>0.92601431980906923</v>
      </c>
      <c r="N1165">
        <f t="shared" si="125"/>
        <v>1.0718077918066335</v>
      </c>
    </row>
    <row r="1166" spans="1:14" x14ac:dyDescent="0.2">
      <c r="A1166">
        <v>1165</v>
      </c>
      <c r="B1166">
        <f>LARGE(data!F:F,A1166)</f>
        <v>0.13712402809999999</v>
      </c>
      <c r="C1166">
        <f>COUNTIFS(data!D:D,data!$I$2,data!F:F,"&gt;="&amp;B1166)</f>
        <v>530</v>
      </c>
      <c r="D1166">
        <f>COUNTIFS(data!D:D,data!$J$2,data!F:F,"&gt;="&amp;B1166)</f>
        <v>635</v>
      </c>
      <c r="E1166">
        <f>COUNTIFS(data!D:D,data!$J$2,data!F:F,"&lt;"&amp;B1166)</f>
        <v>88</v>
      </c>
      <c r="F1166">
        <f>COUNTIFS(data!D:D,data!$I$2,data!F:F,"&lt;"&amp;B1166)</f>
        <v>4</v>
      </c>
      <c r="G1166">
        <f t="shared" si="120"/>
        <v>0.87828492392807744</v>
      </c>
      <c r="H1166">
        <f t="shared" si="121"/>
        <v>0.99250936329588013</v>
      </c>
      <c r="I1166">
        <f t="shared" si="122"/>
        <v>0</v>
      </c>
      <c r="J1166">
        <f t="shared" si="123"/>
        <v>0.45493562231759654</v>
      </c>
      <c r="K1166">
        <f t="shared" si="124"/>
        <v>0.62389640965273696</v>
      </c>
      <c r="L1166">
        <f>A1166*COUNTIF(data!D:D,data!$I$2)/data!$L$2</f>
        <v>494.91646778042957</v>
      </c>
      <c r="M1166" s="1">
        <f>A1166/data!$L$2</f>
        <v>0.92680986475735883</v>
      </c>
      <c r="N1166">
        <f t="shared" si="125"/>
        <v>1.0708877851183876</v>
      </c>
    </row>
    <row r="1167" spans="1:14" x14ac:dyDescent="0.2">
      <c r="A1167">
        <v>1166</v>
      </c>
      <c r="B1167">
        <f>LARGE(data!F:F,A1167)</f>
        <v>0.13677663849999999</v>
      </c>
      <c r="C1167">
        <f>COUNTIFS(data!D:D,data!$I$2,data!F:F,"&gt;="&amp;B1167)</f>
        <v>530</v>
      </c>
      <c r="D1167">
        <f>COUNTIFS(data!D:D,data!$J$2,data!F:F,"&gt;="&amp;B1167)</f>
        <v>636</v>
      </c>
      <c r="E1167">
        <f>COUNTIFS(data!D:D,data!$J$2,data!F:F,"&lt;"&amp;B1167)</f>
        <v>87</v>
      </c>
      <c r="F1167">
        <f>COUNTIFS(data!D:D,data!$I$2,data!F:F,"&lt;"&amp;B1167)</f>
        <v>4</v>
      </c>
      <c r="G1167">
        <f t="shared" si="120"/>
        <v>0.8796680497925311</v>
      </c>
      <c r="H1167">
        <f t="shared" si="121"/>
        <v>0.99250936329588013</v>
      </c>
      <c r="I1167">
        <f t="shared" si="122"/>
        <v>1.3727653710869662E-3</v>
      </c>
      <c r="J1167">
        <f t="shared" si="123"/>
        <v>0.45454545454545453</v>
      </c>
      <c r="K1167">
        <f t="shared" si="124"/>
        <v>0.62352941176470589</v>
      </c>
      <c r="L1167">
        <f>A1167*COUNTIF(data!D:D,data!$I$2)/data!$L$2</f>
        <v>495.34128878281621</v>
      </c>
      <c r="M1167" s="1">
        <f>A1167/data!$L$2</f>
        <v>0.92760540970564842</v>
      </c>
      <c r="N1167">
        <f t="shared" si="125"/>
        <v>1.0699693564862105</v>
      </c>
    </row>
    <row r="1168" spans="1:14" x14ac:dyDescent="0.2">
      <c r="A1168">
        <v>1167</v>
      </c>
      <c r="B1168">
        <f>LARGE(data!F:F,A1168)</f>
        <v>0.1366207233</v>
      </c>
      <c r="C1168">
        <f>COUNTIFS(data!D:D,data!$I$2,data!F:F,"&gt;="&amp;B1168)</f>
        <v>530</v>
      </c>
      <c r="D1168">
        <f>COUNTIFS(data!D:D,data!$J$2,data!F:F,"&gt;="&amp;B1168)</f>
        <v>637</v>
      </c>
      <c r="E1168">
        <f>COUNTIFS(data!D:D,data!$J$2,data!F:F,"&lt;"&amp;B1168)</f>
        <v>86</v>
      </c>
      <c r="F1168">
        <f>COUNTIFS(data!D:D,data!$I$2,data!F:F,"&lt;"&amp;B1168)</f>
        <v>4</v>
      </c>
      <c r="G1168">
        <f t="shared" si="120"/>
        <v>0.88105117565698476</v>
      </c>
      <c r="H1168">
        <f t="shared" si="121"/>
        <v>0.99250936329588013</v>
      </c>
      <c r="I1168">
        <f t="shared" si="122"/>
        <v>1.3727653710869662E-3</v>
      </c>
      <c r="J1168">
        <f t="shared" si="123"/>
        <v>0.45415595544130249</v>
      </c>
      <c r="K1168">
        <f t="shared" si="124"/>
        <v>0.62316284538506761</v>
      </c>
      <c r="L1168">
        <f>A1168*COUNTIF(data!D:D,data!$I$2)/data!$L$2</f>
        <v>495.76610978520284</v>
      </c>
      <c r="M1168" s="1">
        <f>A1168/data!$L$2</f>
        <v>0.9284009546539379</v>
      </c>
      <c r="N1168">
        <f t="shared" si="125"/>
        <v>1.0690525018534032</v>
      </c>
    </row>
    <row r="1169" spans="1:14" x14ac:dyDescent="0.2">
      <c r="A1169">
        <v>1168</v>
      </c>
      <c r="B1169">
        <f>LARGE(data!F:F,A1169)</f>
        <v>0.134366184</v>
      </c>
      <c r="C1169">
        <f>COUNTIFS(data!D:D,data!$I$2,data!F:F,"&gt;="&amp;B1169)</f>
        <v>530</v>
      </c>
      <c r="D1169">
        <f>COUNTIFS(data!D:D,data!$J$2,data!F:F,"&gt;="&amp;B1169)</f>
        <v>638</v>
      </c>
      <c r="E1169">
        <f>COUNTIFS(data!D:D,data!$J$2,data!F:F,"&lt;"&amp;B1169)</f>
        <v>85</v>
      </c>
      <c r="F1169">
        <f>COUNTIFS(data!D:D,data!$I$2,data!F:F,"&lt;"&amp;B1169)</f>
        <v>4</v>
      </c>
      <c r="G1169">
        <f t="shared" si="120"/>
        <v>0.88243430152143842</v>
      </c>
      <c r="H1169">
        <f t="shared" si="121"/>
        <v>0.99250936329588013</v>
      </c>
      <c r="I1169">
        <f t="shared" si="122"/>
        <v>1.3727653710869662E-3</v>
      </c>
      <c r="J1169">
        <f t="shared" si="123"/>
        <v>0.45376712328767121</v>
      </c>
      <c r="K1169">
        <f t="shared" si="124"/>
        <v>0.62279670975323143</v>
      </c>
      <c r="L1169">
        <f>A1169*COUNTIF(data!D:D,data!$I$2)/data!$L$2</f>
        <v>496.19093078758948</v>
      </c>
      <c r="M1169" s="1">
        <f>A1169/data!$L$2</f>
        <v>0.9291964996022275</v>
      </c>
      <c r="N1169">
        <f t="shared" si="125"/>
        <v>1.0681372171771588</v>
      </c>
    </row>
    <row r="1170" spans="1:14" x14ac:dyDescent="0.2">
      <c r="A1170">
        <v>1169</v>
      </c>
      <c r="B1170">
        <f>LARGE(data!F:F,A1170)</f>
        <v>0.132565023</v>
      </c>
      <c r="C1170">
        <f>COUNTIFS(data!D:D,data!$I$2,data!F:F,"&gt;="&amp;B1170)</f>
        <v>530</v>
      </c>
      <c r="D1170">
        <f>COUNTIFS(data!D:D,data!$J$2,data!F:F,"&gt;="&amp;B1170)</f>
        <v>639</v>
      </c>
      <c r="E1170">
        <f>COUNTIFS(data!D:D,data!$J$2,data!F:F,"&lt;"&amp;B1170)</f>
        <v>84</v>
      </c>
      <c r="F1170">
        <f>COUNTIFS(data!D:D,data!$I$2,data!F:F,"&lt;"&amp;B1170)</f>
        <v>4</v>
      </c>
      <c r="G1170">
        <f t="shared" si="120"/>
        <v>0.88381742738589208</v>
      </c>
      <c r="H1170">
        <f t="shared" si="121"/>
        <v>0.99250936329588013</v>
      </c>
      <c r="I1170">
        <f t="shared" si="122"/>
        <v>1.3727653710869662E-3</v>
      </c>
      <c r="J1170">
        <f t="shared" si="123"/>
        <v>0.45337895637296832</v>
      </c>
      <c r="K1170">
        <f t="shared" si="124"/>
        <v>0.62243100411039343</v>
      </c>
      <c r="L1170">
        <f>A1170*COUNTIF(data!D:D,data!$I$2)/data!$L$2</f>
        <v>496.61575178997612</v>
      </c>
      <c r="M1170" s="1">
        <f>A1170/data!$L$2</f>
        <v>0.92999204455051709</v>
      </c>
      <c r="N1170">
        <f t="shared" si="125"/>
        <v>1.0672234984285043</v>
      </c>
    </row>
    <row r="1171" spans="1:14" x14ac:dyDescent="0.2">
      <c r="A1171">
        <v>1170</v>
      </c>
      <c r="B1171">
        <f>LARGE(data!F:F,A1171)</f>
        <v>0.13167657190000001</v>
      </c>
      <c r="C1171">
        <f>COUNTIFS(data!D:D,data!$I$2,data!F:F,"&gt;="&amp;B1171)</f>
        <v>530</v>
      </c>
      <c r="D1171">
        <f>COUNTIFS(data!D:D,data!$J$2,data!F:F,"&gt;="&amp;B1171)</f>
        <v>640</v>
      </c>
      <c r="E1171">
        <f>COUNTIFS(data!D:D,data!$J$2,data!F:F,"&lt;"&amp;B1171)</f>
        <v>83</v>
      </c>
      <c r="F1171">
        <f>COUNTIFS(data!D:D,data!$I$2,data!F:F,"&lt;"&amp;B1171)</f>
        <v>4</v>
      </c>
      <c r="G1171">
        <f t="shared" si="120"/>
        <v>0.88520055325034575</v>
      </c>
      <c r="H1171">
        <f t="shared" si="121"/>
        <v>0.99250936329588013</v>
      </c>
      <c r="I1171">
        <f t="shared" si="122"/>
        <v>1.3727653710869662E-3</v>
      </c>
      <c r="J1171">
        <f t="shared" si="123"/>
        <v>0.45299145299145299</v>
      </c>
      <c r="K1171">
        <f t="shared" si="124"/>
        <v>0.6220657276995305</v>
      </c>
      <c r="L1171">
        <f>A1171*COUNTIF(data!D:D,data!$I$2)/data!$L$2</f>
        <v>497.04057279236275</v>
      </c>
      <c r="M1171" s="1">
        <f>A1171/data!$L$2</f>
        <v>0.93078758949880669</v>
      </c>
      <c r="N1171">
        <f t="shared" si="125"/>
        <v>1.0663113415922405</v>
      </c>
    </row>
    <row r="1172" spans="1:14" x14ac:dyDescent="0.2">
      <c r="A1172">
        <v>1171</v>
      </c>
      <c r="B1172">
        <f>LARGE(data!F:F,A1172)</f>
        <v>0.13124425300000001</v>
      </c>
      <c r="C1172">
        <f>COUNTIFS(data!D:D,data!$I$2,data!F:F,"&gt;="&amp;B1172)</f>
        <v>530</v>
      </c>
      <c r="D1172">
        <f>COUNTIFS(data!D:D,data!$J$2,data!F:F,"&gt;="&amp;B1172)</f>
        <v>641</v>
      </c>
      <c r="E1172">
        <f>COUNTIFS(data!D:D,data!$J$2,data!F:F,"&lt;"&amp;B1172)</f>
        <v>82</v>
      </c>
      <c r="F1172">
        <f>COUNTIFS(data!D:D,data!$I$2,data!F:F,"&lt;"&amp;B1172)</f>
        <v>4</v>
      </c>
      <c r="G1172">
        <f t="shared" si="120"/>
        <v>0.88658367911479941</v>
      </c>
      <c r="H1172">
        <f t="shared" si="121"/>
        <v>0.99250936329588013</v>
      </c>
      <c r="I1172">
        <f t="shared" si="122"/>
        <v>1.3727653710869662E-3</v>
      </c>
      <c r="J1172">
        <f t="shared" si="123"/>
        <v>0.45260461144321096</v>
      </c>
      <c r="K1172">
        <f t="shared" si="124"/>
        <v>0.6217008797653959</v>
      </c>
      <c r="L1172">
        <f>A1172*COUNTIF(data!D:D,data!$I$2)/data!$L$2</f>
        <v>497.46539379474939</v>
      </c>
      <c r="M1172" s="1">
        <f>A1172/data!$L$2</f>
        <v>0.93158313444709628</v>
      </c>
      <c r="N1172">
        <f t="shared" si="125"/>
        <v>1.0654007426668841</v>
      </c>
    </row>
    <row r="1173" spans="1:14" x14ac:dyDescent="0.2">
      <c r="A1173">
        <v>1172</v>
      </c>
      <c r="B1173">
        <f>LARGE(data!F:F,A1173)</f>
        <v>0.12941330770000001</v>
      </c>
      <c r="C1173">
        <f>COUNTIFS(data!D:D,data!$I$2,data!F:F,"&gt;="&amp;B1173)</f>
        <v>530</v>
      </c>
      <c r="D1173">
        <f>COUNTIFS(data!D:D,data!$J$2,data!F:F,"&gt;="&amp;B1173)</f>
        <v>642</v>
      </c>
      <c r="E1173">
        <f>COUNTIFS(data!D:D,data!$J$2,data!F:F,"&lt;"&amp;B1173)</f>
        <v>81</v>
      </c>
      <c r="F1173">
        <f>COUNTIFS(data!D:D,data!$I$2,data!F:F,"&lt;"&amp;B1173)</f>
        <v>4</v>
      </c>
      <c r="G1173">
        <f t="shared" si="120"/>
        <v>0.88796680497925307</v>
      </c>
      <c r="H1173">
        <f t="shared" si="121"/>
        <v>0.99250936329588013</v>
      </c>
      <c r="I1173">
        <f t="shared" si="122"/>
        <v>1.3727653710869662E-3</v>
      </c>
      <c r="J1173">
        <f t="shared" si="123"/>
        <v>0.4522184300341297</v>
      </c>
      <c r="K1173">
        <f t="shared" si="124"/>
        <v>0.62133645955451344</v>
      </c>
      <c r="L1173">
        <f>A1173*COUNTIF(data!D:D,data!$I$2)/data!$L$2</f>
        <v>497.89021479713603</v>
      </c>
      <c r="M1173" s="1">
        <f>A1173/data!$L$2</f>
        <v>0.93237867939538588</v>
      </c>
      <c r="N1173">
        <f t="shared" si="125"/>
        <v>1.0644916976646086</v>
      </c>
    </row>
    <row r="1174" spans="1:14" x14ac:dyDescent="0.2">
      <c r="A1174">
        <v>1173</v>
      </c>
      <c r="B1174">
        <f>LARGE(data!F:F,A1174)</f>
        <v>0.12850935220000001</v>
      </c>
      <c r="C1174">
        <f>COUNTIFS(data!D:D,data!$I$2,data!F:F,"&gt;="&amp;B1174)</f>
        <v>530</v>
      </c>
      <c r="D1174">
        <f>COUNTIFS(data!D:D,data!$J$2,data!F:F,"&gt;="&amp;B1174)</f>
        <v>643</v>
      </c>
      <c r="E1174">
        <f>COUNTIFS(data!D:D,data!$J$2,data!F:F,"&lt;"&amp;B1174)</f>
        <v>80</v>
      </c>
      <c r="F1174">
        <f>COUNTIFS(data!D:D,data!$I$2,data!F:F,"&lt;"&amp;B1174)</f>
        <v>4</v>
      </c>
      <c r="G1174">
        <f t="shared" si="120"/>
        <v>0.88934993084370673</v>
      </c>
      <c r="H1174">
        <f t="shared" si="121"/>
        <v>0.99250936329588013</v>
      </c>
      <c r="I1174">
        <f t="shared" si="122"/>
        <v>1.3727653710869662E-3</v>
      </c>
      <c r="J1174">
        <f t="shared" si="123"/>
        <v>0.45183290707587381</v>
      </c>
      <c r="K1174">
        <f t="shared" si="124"/>
        <v>0.62097246631517278</v>
      </c>
      <c r="L1174">
        <f>A1174*COUNTIF(data!D:D,data!$I$2)/data!$L$2</f>
        <v>498.31503579952266</v>
      </c>
      <c r="M1174" s="1">
        <f>A1174/data!$L$2</f>
        <v>0.93317422434367536</v>
      </c>
      <c r="N1174">
        <f t="shared" si="125"/>
        <v>1.0635842026111861</v>
      </c>
    </row>
    <row r="1175" spans="1:14" x14ac:dyDescent="0.2">
      <c r="A1175">
        <v>1174</v>
      </c>
      <c r="B1175">
        <f>LARGE(data!F:F,A1175)</f>
        <v>0.1284491422</v>
      </c>
      <c r="C1175">
        <f>COUNTIFS(data!D:D,data!$I$2,data!F:F,"&gt;="&amp;B1175)</f>
        <v>530</v>
      </c>
      <c r="D1175">
        <f>COUNTIFS(data!D:D,data!$J$2,data!F:F,"&gt;="&amp;B1175)</f>
        <v>644</v>
      </c>
      <c r="E1175">
        <f>COUNTIFS(data!D:D,data!$J$2,data!F:F,"&lt;"&amp;B1175)</f>
        <v>79</v>
      </c>
      <c r="F1175">
        <f>COUNTIFS(data!D:D,data!$I$2,data!F:F,"&lt;"&amp;B1175)</f>
        <v>4</v>
      </c>
      <c r="G1175">
        <f t="shared" si="120"/>
        <v>0.8907330567081605</v>
      </c>
      <c r="H1175">
        <f t="shared" si="121"/>
        <v>0.99250936329588013</v>
      </c>
      <c r="I1175">
        <f t="shared" si="122"/>
        <v>1.3727653710870764E-3</v>
      </c>
      <c r="J1175">
        <f t="shared" si="123"/>
        <v>0.45144804088586032</v>
      </c>
      <c r="K1175">
        <f t="shared" si="124"/>
        <v>0.62060889929742391</v>
      </c>
      <c r="L1175">
        <f>A1175*COUNTIF(data!D:D,data!$I$2)/data!$L$2</f>
        <v>498.7398568019093</v>
      </c>
      <c r="M1175" s="1">
        <f>A1175/data!$L$2</f>
        <v>0.93396976929196496</v>
      </c>
      <c r="N1175">
        <f t="shared" si="125"/>
        <v>1.0626782535459296</v>
      </c>
    </row>
    <row r="1176" spans="1:14" x14ac:dyDescent="0.2">
      <c r="A1176">
        <v>1175</v>
      </c>
      <c r="B1176">
        <f>LARGE(data!F:F,A1176)</f>
        <v>0.1280625604</v>
      </c>
      <c r="C1176">
        <f>COUNTIFS(data!D:D,data!$I$2,data!F:F,"&gt;="&amp;B1176)</f>
        <v>531</v>
      </c>
      <c r="D1176">
        <f>COUNTIFS(data!D:D,data!$J$2,data!F:F,"&gt;="&amp;B1176)</f>
        <v>644</v>
      </c>
      <c r="E1176">
        <f>COUNTIFS(data!D:D,data!$J$2,data!F:F,"&lt;"&amp;B1176)</f>
        <v>79</v>
      </c>
      <c r="F1176">
        <f>COUNTIFS(data!D:D,data!$I$2,data!F:F,"&lt;"&amp;B1176)</f>
        <v>3</v>
      </c>
      <c r="G1176">
        <f t="shared" si="120"/>
        <v>0.8907330567081605</v>
      </c>
      <c r="H1176">
        <f t="shared" si="121"/>
        <v>0.9943820224719101</v>
      </c>
      <c r="I1176">
        <f t="shared" si="122"/>
        <v>0</v>
      </c>
      <c r="J1176">
        <f t="shared" si="123"/>
        <v>0.45191489361702125</v>
      </c>
      <c r="K1176">
        <f t="shared" si="124"/>
        <v>0.62141603276770041</v>
      </c>
      <c r="L1176">
        <f>A1176*COUNTIF(data!D:D,data!$I$2)/data!$L$2</f>
        <v>499.16467780429593</v>
      </c>
      <c r="M1176" s="1">
        <f>A1176/data!$L$2</f>
        <v>0.93476531424025455</v>
      </c>
      <c r="N1176">
        <f t="shared" si="125"/>
        <v>1.0637771934018647</v>
      </c>
    </row>
    <row r="1177" spans="1:14" x14ac:dyDescent="0.2">
      <c r="A1177">
        <v>1176</v>
      </c>
      <c r="B1177">
        <f>LARGE(data!F:F,A1177)</f>
        <v>0.1269327556</v>
      </c>
      <c r="C1177">
        <f>COUNTIFS(data!D:D,data!$I$2,data!F:F,"&gt;="&amp;B1177)</f>
        <v>531</v>
      </c>
      <c r="D1177">
        <f>COUNTIFS(data!D:D,data!$J$2,data!F:F,"&gt;="&amp;B1177)</f>
        <v>645</v>
      </c>
      <c r="E1177">
        <f>COUNTIFS(data!D:D,data!$J$2,data!F:F,"&lt;"&amp;B1177)</f>
        <v>78</v>
      </c>
      <c r="F1177">
        <f>COUNTIFS(data!D:D,data!$I$2,data!F:F,"&lt;"&amp;B1177)</f>
        <v>3</v>
      </c>
      <c r="G1177">
        <f t="shared" si="120"/>
        <v>0.89211618257261416</v>
      </c>
      <c r="H1177">
        <f t="shared" si="121"/>
        <v>0.9943820224719101</v>
      </c>
      <c r="I1177">
        <f t="shared" si="122"/>
        <v>1.3753554944286397E-3</v>
      </c>
      <c r="J1177">
        <f t="shared" si="123"/>
        <v>0.45153061224489793</v>
      </c>
      <c r="K1177">
        <f t="shared" si="124"/>
        <v>0.6210526315789473</v>
      </c>
      <c r="L1177">
        <f>A1177*COUNTIF(data!D:D,data!$I$2)/data!$L$2</f>
        <v>499.58949880668257</v>
      </c>
      <c r="M1177" s="1">
        <f>A1177/data!$L$2</f>
        <v>0.93556085918854415</v>
      </c>
      <c r="N1177">
        <f t="shared" si="125"/>
        <v>1.0628726209584958</v>
      </c>
    </row>
    <row r="1178" spans="1:14" x14ac:dyDescent="0.2">
      <c r="A1178">
        <v>1177</v>
      </c>
      <c r="B1178">
        <f>LARGE(data!F:F,A1178)</f>
        <v>0.126428654</v>
      </c>
      <c r="C1178">
        <f>COUNTIFS(data!D:D,data!$I$2,data!F:F,"&gt;="&amp;B1178)</f>
        <v>531</v>
      </c>
      <c r="D1178">
        <f>COUNTIFS(data!D:D,data!$J$2,data!F:F,"&gt;="&amp;B1178)</f>
        <v>646</v>
      </c>
      <c r="E1178">
        <f>COUNTIFS(data!D:D,data!$J$2,data!F:F,"&lt;"&amp;B1178)</f>
        <v>77</v>
      </c>
      <c r="F1178">
        <f>COUNTIFS(data!D:D,data!$I$2,data!F:F,"&lt;"&amp;B1178)</f>
        <v>3</v>
      </c>
      <c r="G1178">
        <f t="shared" si="120"/>
        <v>0.89349930843706782</v>
      </c>
      <c r="H1178">
        <f t="shared" si="121"/>
        <v>0.9943820224719101</v>
      </c>
      <c r="I1178">
        <f t="shared" si="122"/>
        <v>1.3753554944286397E-3</v>
      </c>
      <c r="J1178">
        <f t="shared" si="123"/>
        <v>0.45114698385726421</v>
      </c>
      <c r="K1178">
        <f t="shared" si="124"/>
        <v>0.6206896551724137</v>
      </c>
      <c r="L1178">
        <f>A1178*COUNTIF(data!D:D,data!$I$2)/data!$L$2</f>
        <v>500.01431980906921</v>
      </c>
      <c r="M1178" s="1">
        <f>A1178/data!$L$2</f>
        <v>0.93635640413683374</v>
      </c>
      <c r="N1178">
        <f t="shared" si="125"/>
        <v>1.0619695855965938</v>
      </c>
    </row>
    <row r="1179" spans="1:14" x14ac:dyDescent="0.2">
      <c r="A1179">
        <v>1178</v>
      </c>
      <c r="B1179">
        <f>LARGE(data!F:F,A1179)</f>
        <v>0.12626993819999999</v>
      </c>
      <c r="C1179">
        <f>COUNTIFS(data!D:D,data!$I$2,data!F:F,"&gt;="&amp;B1179)</f>
        <v>531</v>
      </c>
      <c r="D1179">
        <f>COUNTIFS(data!D:D,data!$J$2,data!F:F,"&gt;="&amp;B1179)</f>
        <v>647</v>
      </c>
      <c r="E1179">
        <f>COUNTIFS(data!D:D,data!$J$2,data!F:F,"&lt;"&amp;B1179)</f>
        <v>76</v>
      </c>
      <c r="F1179">
        <f>COUNTIFS(data!D:D,data!$I$2,data!F:F,"&lt;"&amp;B1179)</f>
        <v>3</v>
      </c>
      <c r="G1179">
        <f t="shared" ref="G1179:G1242" si="126">D1179/(E1179+D1179)</f>
        <v>0.89488243430152148</v>
      </c>
      <c r="H1179">
        <f t="shared" ref="H1179:H1242" si="127">C1179/(C1179+F1179)</f>
        <v>0.9943820224719101</v>
      </c>
      <c r="I1179">
        <f t="shared" ref="I1179:I1242" si="128">(G1179-G1178)*(H1179+H1178)*0.5</f>
        <v>1.3753554944286397E-3</v>
      </c>
      <c r="J1179">
        <f t="shared" ref="J1179:J1242" si="129">C1179/(C1179+D1179)</f>
        <v>0.45076400679117146</v>
      </c>
      <c r="K1179">
        <f t="shared" ref="K1179:K1242" si="130">2*J1179*H1179/(J1179+H1179)</f>
        <v>0.62032710280373826</v>
      </c>
      <c r="L1179">
        <f>A1179*COUNTIF(data!D:D,data!$I$2)/data!$L$2</f>
        <v>500.43914081145584</v>
      </c>
      <c r="M1179" s="1">
        <f>A1179/data!$L$2</f>
        <v>0.93715194908512334</v>
      </c>
      <c r="N1179">
        <f t="shared" ref="N1179:N1242" si="131">C1179/L1179</f>
        <v>1.0610680834016901</v>
      </c>
    </row>
    <row r="1180" spans="1:14" x14ac:dyDescent="0.2">
      <c r="A1180">
        <v>1179</v>
      </c>
      <c r="B1180">
        <f>LARGE(data!F:F,A1180)</f>
        <v>0.12621843190000001</v>
      </c>
      <c r="C1180">
        <f>COUNTIFS(data!D:D,data!$I$2,data!F:F,"&gt;="&amp;B1180)</f>
        <v>531</v>
      </c>
      <c r="D1180">
        <f>COUNTIFS(data!D:D,data!$J$2,data!F:F,"&gt;="&amp;B1180)</f>
        <v>648</v>
      </c>
      <c r="E1180">
        <f>COUNTIFS(data!D:D,data!$J$2,data!F:F,"&lt;"&amp;B1180)</f>
        <v>75</v>
      </c>
      <c r="F1180">
        <f>COUNTIFS(data!D:D,data!$I$2,data!F:F,"&lt;"&amp;B1180)</f>
        <v>3</v>
      </c>
      <c r="G1180">
        <f t="shared" si="126"/>
        <v>0.89626556016597514</v>
      </c>
      <c r="H1180">
        <f t="shared" si="127"/>
        <v>0.9943820224719101</v>
      </c>
      <c r="I1180">
        <f t="shared" si="128"/>
        <v>1.3753554944286397E-3</v>
      </c>
      <c r="J1180">
        <f t="shared" si="129"/>
        <v>0.45038167938931295</v>
      </c>
      <c r="K1180">
        <f t="shared" si="130"/>
        <v>0.6199649737302978</v>
      </c>
      <c r="L1180">
        <f>A1180*COUNTIF(data!D:D,data!$I$2)/data!$L$2</f>
        <v>500.86396181384248</v>
      </c>
      <c r="M1180" s="1">
        <f>A1180/data!$L$2</f>
        <v>0.93794749403341293</v>
      </c>
      <c r="N1180">
        <f t="shared" si="131"/>
        <v>1.0601681104725962</v>
      </c>
    </row>
    <row r="1181" spans="1:14" x14ac:dyDescent="0.2">
      <c r="A1181">
        <v>1180</v>
      </c>
      <c r="B1181">
        <f>LARGE(data!F:F,A1181)</f>
        <v>0.1261400251</v>
      </c>
      <c r="C1181">
        <f>COUNTIFS(data!D:D,data!$I$2,data!F:F,"&gt;="&amp;B1181)</f>
        <v>531</v>
      </c>
      <c r="D1181">
        <f>COUNTIFS(data!D:D,data!$J$2,data!F:F,"&gt;="&amp;B1181)</f>
        <v>649</v>
      </c>
      <c r="E1181">
        <f>COUNTIFS(data!D:D,data!$J$2,data!F:F,"&lt;"&amp;B1181)</f>
        <v>74</v>
      </c>
      <c r="F1181">
        <f>COUNTIFS(data!D:D,data!$I$2,data!F:F,"&lt;"&amp;B1181)</f>
        <v>3</v>
      </c>
      <c r="G1181">
        <f t="shared" si="126"/>
        <v>0.8976486860304288</v>
      </c>
      <c r="H1181">
        <f t="shared" si="127"/>
        <v>0.9943820224719101</v>
      </c>
      <c r="I1181">
        <f t="shared" si="128"/>
        <v>1.3753554944286397E-3</v>
      </c>
      <c r="J1181">
        <f t="shared" si="129"/>
        <v>0.45</v>
      </c>
      <c r="K1181">
        <f t="shared" si="130"/>
        <v>0.61960326721120185</v>
      </c>
      <c r="L1181">
        <f>A1181*COUNTIF(data!D:D,data!$I$2)/data!$L$2</f>
        <v>501.28878281622912</v>
      </c>
      <c r="M1181" s="1">
        <f>A1181/data!$L$2</f>
        <v>0.93874303898170242</v>
      </c>
      <c r="N1181">
        <f t="shared" si="131"/>
        <v>1.0592696629213483</v>
      </c>
    </row>
    <row r="1182" spans="1:14" x14ac:dyDescent="0.2">
      <c r="A1182">
        <v>1181</v>
      </c>
      <c r="B1182">
        <f>LARGE(data!F:F,A1182)</f>
        <v>0.1248809722</v>
      </c>
      <c r="C1182">
        <f>COUNTIFS(data!D:D,data!$I$2,data!F:F,"&gt;="&amp;B1182)</f>
        <v>531</v>
      </c>
      <c r="D1182">
        <f>COUNTIFS(data!D:D,data!$J$2,data!F:F,"&gt;="&amp;B1182)</f>
        <v>650</v>
      </c>
      <c r="E1182">
        <f>COUNTIFS(data!D:D,data!$J$2,data!F:F,"&lt;"&amp;B1182)</f>
        <v>73</v>
      </c>
      <c r="F1182">
        <f>COUNTIFS(data!D:D,data!$I$2,data!F:F,"&lt;"&amp;B1182)</f>
        <v>3</v>
      </c>
      <c r="G1182">
        <f t="shared" si="126"/>
        <v>0.89903181189488246</v>
      </c>
      <c r="H1182">
        <f t="shared" si="127"/>
        <v>0.9943820224719101</v>
      </c>
      <c r="I1182">
        <f t="shared" si="128"/>
        <v>1.3753554944286397E-3</v>
      </c>
      <c r="J1182">
        <f t="shared" si="129"/>
        <v>0.44961896697713805</v>
      </c>
      <c r="K1182">
        <f t="shared" si="130"/>
        <v>0.61924198250728857</v>
      </c>
      <c r="L1182">
        <f>A1182*COUNTIF(data!D:D,data!$I$2)/data!$L$2</f>
        <v>501.71360381861575</v>
      </c>
      <c r="M1182" s="1">
        <f>A1182/data!$L$2</f>
        <v>0.93953858392999201</v>
      </c>
      <c r="N1182">
        <f t="shared" si="131"/>
        <v>1.0583727368731508</v>
      </c>
    </row>
    <row r="1183" spans="1:14" x14ac:dyDescent="0.2">
      <c r="A1183">
        <v>1182</v>
      </c>
      <c r="B1183">
        <f>LARGE(data!F:F,A1183)</f>
        <v>0.12411672729999999</v>
      </c>
      <c r="C1183">
        <f>COUNTIFS(data!D:D,data!$I$2,data!F:F,"&gt;="&amp;B1183)</f>
        <v>531</v>
      </c>
      <c r="D1183">
        <f>COUNTIFS(data!D:D,data!$J$2,data!F:F,"&gt;="&amp;B1183)</f>
        <v>651</v>
      </c>
      <c r="E1183">
        <f>COUNTIFS(data!D:D,data!$J$2,data!F:F,"&lt;"&amp;B1183)</f>
        <v>72</v>
      </c>
      <c r="F1183">
        <f>COUNTIFS(data!D:D,data!$I$2,data!F:F,"&lt;"&amp;B1183)</f>
        <v>3</v>
      </c>
      <c r="G1183">
        <f t="shared" si="126"/>
        <v>0.90041493775933612</v>
      </c>
      <c r="H1183">
        <f t="shared" si="127"/>
        <v>0.9943820224719101</v>
      </c>
      <c r="I1183">
        <f t="shared" si="128"/>
        <v>1.3753554944286397E-3</v>
      </c>
      <c r="J1183">
        <f t="shared" si="129"/>
        <v>0.44923857868020306</v>
      </c>
      <c r="K1183">
        <f t="shared" si="130"/>
        <v>0.61888111888111885</v>
      </c>
      <c r="L1183">
        <f>A1183*COUNTIF(data!D:D,data!$I$2)/data!$L$2</f>
        <v>502.13842482100239</v>
      </c>
      <c r="M1183" s="1">
        <f>A1183/data!$L$2</f>
        <v>0.94033412887828161</v>
      </c>
      <c r="N1183">
        <f t="shared" si="131"/>
        <v>1.0574773284663206</v>
      </c>
    </row>
    <row r="1184" spans="1:14" x14ac:dyDescent="0.2">
      <c r="A1184">
        <v>1183</v>
      </c>
      <c r="B1184">
        <f>LARGE(data!F:F,A1184)</f>
        <v>0.1240199615</v>
      </c>
      <c r="C1184">
        <f>COUNTIFS(data!D:D,data!$I$2,data!F:F,"&gt;="&amp;B1184)</f>
        <v>532</v>
      </c>
      <c r="D1184">
        <f>COUNTIFS(data!D:D,data!$J$2,data!F:F,"&gt;="&amp;B1184)</f>
        <v>651</v>
      </c>
      <c r="E1184">
        <f>COUNTIFS(data!D:D,data!$J$2,data!F:F,"&lt;"&amp;B1184)</f>
        <v>72</v>
      </c>
      <c r="F1184">
        <f>COUNTIFS(data!D:D,data!$I$2,data!F:F,"&lt;"&amp;B1184)</f>
        <v>2</v>
      </c>
      <c r="G1184">
        <f t="shared" si="126"/>
        <v>0.90041493775933612</v>
      </c>
      <c r="H1184">
        <f t="shared" si="127"/>
        <v>0.99625468164794007</v>
      </c>
      <c r="I1184">
        <f t="shared" si="128"/>
        <v>0</v>
      </c>
      <c r="J1184">
        <f t="shared" si="129"/>
        <v>0.44970414201183434</v>
      </c>
      <c r="K1184">
        <f t="shared" si="130"/>
        <v>0.61968549796156092</v>
      </c>
      <c r="L1184">
        <f>A1184*COUNTIF(data!D:D,data!$I$2)/data!$L$2</f>
        <v>502.56324582338902</v>
      </c>
      <c r="M1184" s="1">
        <f>A1184/data!$L$2</f>
        <v>0.9411296738265712</v>
      </c>
      <c r="N1184">
        <f t="shared" si="131"/>
        <v>1.0585732331626887</v>
      </c>
    </row>
    <row r="1185" spans="1:14" x14ac:dyDescent="0.2">
      <c r="A1185">
        <v>1184</v>
      </c>
      <c r="B1185">
        <f>LARGE(data!F:F,A1185)</f>
        <v>0.1235861372</v>
      </c>
      <c r="C1185">
        <f>COUNTIFS(data!D:D,data!$I$2,data!F:F,"&gt;="&amp;B1185)</f>
        <v>533</v>
      </c>
      <c r="D1185">
        <f>COUNTIFS(data!D:D,data!$J$2,data!F:F,"&gt;="&amp;B1185)</f>
        <v>651</v>
      </c>
      <c r="E1185">
        <f>COUNTIFS(data!D:D,data!$J$2,data!F:F,"&lt;"&amp;B1185)</f>
        <v>72</v>
      </c>
      <c r="F1185">
        <f>COUNTIFS(data!D:D,data!$I$2,data!F:F,"&lt;"&amp;B1185)</f>
        <v>1</v>
      </c>
      <c r="G1185">
        <f t="shared" si="126"/>
        <v>0.90041493775933612</v>
      </c>
      <c r="H1185">
        <f t="shared" si="127"/>
        <v>0.99812734082397003</v>
      </c>
      <c r="I1185">
        <f t="shared" si="128"/>
        <v>0</v>
      </c>
      <c r="J1185">
        <f t="shared" si="129"/>
        <v>0.45016891891891891</v>
      </c>
      <c r="K1185">
        <f t="shared" si="130"/>
        <v>0.62048894062863791</v>
      </c>
      <c r="L1185">
        <f>A1185*COUNTIF(data!D:D,data!$I$2)/data!$L$2</f>
        <v>502.98806682577566</v>
      </c>
      <c r="M1185" s="1">
        <f>A1185/data!$L$2</f>
        <v>0.9419252187748608</v>
      </c>
      <c r="N1185">
        <f t="shared" si="131"/>
        <v>1.0596672866686911</v>
      </c>
    </row>
    <row r="1186" spans="1:14" x14ac:dyDescent="0.2">
      <c r="A1186">
        <v>1185</v>
      </c>
      <c r="B1186">
        <f>LARGE(data!F:F,A1186)</f>
        <v>0.1228032361</v>
      </c>
      <c r="C1186">
        <f>COUNTIFS(data!D:D,data!$I$2,data!F:F,"&gt;="&amp;B1186)</f>
        <v>533</v>
      </c>
      <c r="D1186">
        <f>COUNTIFS(data!D:D,data!$J$2,data!F:F,"&gt;="&amp;B1186)</f>
        <v>652</v>
      </c>
      <c r="E1186">
        <f>COUNTIFS(data!D:D,data!$J$2,data!F:F,"&lt;"&amp;B1186)</f>
        <v>71</v>
      </c>
      <c r="F1186">
        <f>COUNTIFS(data!D:D,data!$I$2,data!F:F,"&lt;"&amp;B1186)</f>
        <v>1</v>
      </c>
      <c r="G1186">
        <f t="shared" si="126"/>
        <v>0.90179806362378978</v>
      </c>
      <c r="H1186">
        <f t="shared" si="127"/>
        <v>0.99812734082397003</v>
      </c>
      <c r="I1186">
        <f t="shared" si="128"/>
        <v>1.3805357411119869E-3</v>
      </c>
      <c r="J1186">
        <f t="shared" si="129"/>
        <v>0.44978902953586497</v>
      </c>
      <c r="K1186">
        <f t="shared" si="130"/>
        <v>0.62012798138452585</v>
      </c>
      <c r="L1186">
        <f>A1186*COUNTIF(data!D:D,data!$I$2)/data!$L$2</f>
        <v>503.4128878281623</v>
      </c>
      <c r="M1186" s="1">
        <f>A1186/data!$L$2</f>
        <v>0.94272076372315039</v>
      </c>
      <c r="N1186">
        <f t="shared" si="131"/>
        <v>1.0587730526715025</v>
      </c>
    </row>
    <row r="1187" spans="1:14" x14ac:dyDescent="0.2">
      <c r="A1187">
        <v>1186</v>
      </c>
      <c r="B1187">
        <f>LARGE(data!F:F,A1187)</f>
        <v>0.1220933916</v>
      </c>
      <c r="C1187">
        <f>COUNTIFS(data!D:D,data!$I$2,data!F:F,"&gt;="&amp;B1187)</f>
        <v>533</v>
      </c>
      <c r="D1187">
        <f>COUNTIFS(data!D:D,data!$J$2,data!F:F,"&gt;="&amp;B1187)</f>
        <v>653</v>
      </c>
      <c r="E1187">
        <f>COUNTIFS(data!D:D,data!$J$2,data!F:F,"&lt;"&amp;B1187)</f>
        <v>70</v>
      </c>
      <c r="F1187">
        <f>COUNTIFS(data!D:D,data!$I$2,data!F:F,"&lt;"&amp;B1187)</f>
        <v>1</v>
      </c>
      <c r="G1187">
        <f t="shared" si="126"/>
        <v>0.90318118948824344</v>
      </c>
      <c r="H1187">
        <f t="shared" si="127"/>
        <v>0.99812734082397003</v>
      </c>
      <c r="I1187">
        <f t="shared" si="128"/>
        <v>1.3805357411119869E-3</v>
      </c>
      <c r="J1187">
        <f t="shared" si="129"/>
        <v>0.44940978077571669</v>
      </c>
      <c r="K1187">
        <f t="shared" si="130"/>
        <v>0.61976744186046506</v>
      </c>
      <c r="L1187">
        <f>A1187*COUNTIF(data!D:D,data!$I$2)/data!$L$2</f>
        <v>503.83770883054893</v>
      </c>
      <c r="M1187" s="1">
        <f>A1187/data!$L$2</f>
        <v>0.94351630867143998</v>
      </c>
      <c r="N1187">
        <f t="shared" si="131"/>
        <v>1.0578803266574455</v>
      </c>
    </row>
    <row r="1188" spans="1:14" x14ac:dyDescent="0.2">
      <c r="A1188">
        <v>1187</v>
      </c>
      <c r="B1188">
        <f>LARGE(data!F:F,A1188)</f>
        <v>0.1220833529</v>
      </c>
      <c r="C1188">
        <f>COUNTIFS(data!D:D,data!$I$2,data!F:F,"&gt;="&amp;B1188)</f>
        <v>533</v>
      </c>
      <c r="D1188">
        <f>COUNTIFS(data!D:D,data!$J$2,data!F:F,"&gt;="&amp;B1188)</f>
        <v>654</v>
      </c>
      <c r="E1188">
        <f>COUNTIFS(data!D:D,data!$J$2,data!F:F,"&lt;"&amp;B1188)</f>
        <v>69</v>
      </c>
      <c r="F1188">
        <f>COUNTIFS(data!D:D,data!$I$2,data!F:F,"&lt;"&amp;B1188)</f>
        <v>1</v>
      </c>
      <c r="G1188">
        <f t="shared" si="126"/>
        <v>0.9045643153526971</v>
      </c>
      <c r="H1188">
        <f t="shared" si="127"/>
        <v>0.99812734082397003</v>
      </c>
      <c r="I1188">
        <f t="shared" si="128"/>
        <v>1.3805357411119869E-3</v>
      </c>
      <c r="J1188">
        <f t="shared" si="129"/>
        <v>0.44903117101937656</v>
      </c>
      <c r="K1188">
        <f t="shared" si="130"/>
        <v>0.61940732132481113</v>
      </c>
      <c r="L1188">
        <f>A1188*COUNTIF(data!D:D,data!$I$2)/data!$L$2</f>
        <v>504.26252983293557</v>
      </c>
      <c r="M1188" s="1">
        <f>A1188/data!$L$2</f>
        <v>0.94431185361972947</v>
      </c>
      <c r="N1188">
        <f t="shared" si="131"/>
        <v>1.056989104815274</v>
      </c>
    </row>
    <row r="1189" spans="1:14" x14ac:dyDescent="0.2">
      <c r="A1189">
        <v>1188</v>
      </c>
      <c r="B1189">
        <f>LARGE(data!F:F,A1189)</f>
        <v>0.1209773879</v>
      </c>
      <c r="C1189">
        <f>COUNTIFS(data!D:D,data!$I$2,data!F:F,"&gt;="&amp;B1189)</f>
        <v>533</v>
      </c>
      <c r="D1189">
        <f>COUNTIFS(data!D:D,data!$J$2,data!F:F,"&gt;="&amp;B1189)</f>
        <v>655</v>
      </c>
      <c r="E1189">
        <f>COUNTIFS(data!D:D,data!$J$2,data!F:F,"&lt;"&amp;B1189)</f>
        <v>68</v>
      </c>
      <c r="F1189">
        <f>COUNTIFS(data!D:D,data!$I$2,data!F:F,"&lt;"&amp;B1189)</f>
        <v>1</v>
      </c>
      <c r="G1189">
        <f t="shared" si="126"/>
        <v>0.90594744121715076</v>
      </c>
      <c r="H1189">
        <f t="shared" si="127"/>
        <v>0.99812734082397003</v>
      </c>
      <c r="I1189">
        <f t="shared" si="128"/>
        <v>1.3805357411119869E-3</v>
      </c>
      <c r="J1189">
        <f t="shared" si="129"/>
        <v>0.44865319865319864</v>
      </c>
      <c r="K1189">
        <f t="shared" si="130"/>
        <v>0.61904761904761907</v>
      </c>
      <c r="L1189">
        <f>A1189*COUNTIF(data!D:D,data!$I$2)/data!$L$2</f>
        <v>504.68735083532221</v>
      </c>
      <c r="M1189" s="1">
        <f>A1189/data!$L$2</f>
        <v>0.94510739856801906</v>
      </c>
      <c r="N1189">
        <f t="shared" si="131"/>
        <v>1.0560993833465744</v>
      </c>
    </row>
    <row r="1190" spans="1:14" x14ac:dyDescent="0.2">
      <c r="A1190">
        <v>1189</v>
      </c>
      <c r="B1190">
        <f>LARGE(data!F:F,A1190)</f>
        <v>0.1207081941</v>
      </c>
      <c r="C1190">
        <f>COUNTIFS(data!D:D,data!$I$2,data!F:F,"&gt;="&amp;B1190)</f>
        <v>533</v>
      </c>
      <c r="D1190">
        <f>COUNTIFS(data!D:D,data!$J$2,data!F:F,"&gt;="&amp;B1190)</f>
        <v>656</v>
      </c>
      <c r="E1190">
        <f>COUNTIFS(data!D:D,data!$J$2,data!F:F,"&lt;"&amp;B1190)</f>
        <v>67</v>
      </c>
      <c r="F1190">
        <f>COUNTIFS(data!D:D,data!$I$2,data!F:F,"&lt;"&amp;B1190)</f>
        <v>1</v>
      </c>
      <c r="G1190">
        <f t="shared" si="126"/>
        <v>0.90733056708160442</v>
      </c>
      <c r="H1190">
        <f t="shared" si="127"/>
        <v>0.99812734082397003</v>
      </c>
      <c r="I1190">
        <f t="shared" si="128"/>
        <v>1.3805357411119869E-3</v>
      </c>
      <c r="J1190">
        <f t="shared" si="129"/>
        <v>0.44827586206896552</v>
      </c>
      <c r="K1190">
        <f t="shared" si="130"/>
        <v>0.61868833430063852</v>
      </c>
      <c r="L1190">
        <f>A1190*COUNTIF(data!D:D,data!$I$2)/data!$L$2</f>
        <v>505.11217183770884</v>
      </c>
      <c r="M1190" s="1">
        <f>A1190/data!$L$2</f>
        <v>0.94590294351630866</v>
      </c>
      <c r="N1190">
        <f t="shared" si="131"/>
        <v>1.0552111584657109</v>
      </c>
    </row>
    <row r="1191" spans="1:14" x14ac:dyDescent="0.2">
      <c r="A1191">
        <v>1190</v>
      </c>
      <c r="B1191">
        <f>LARGE(data!F:F,A1191)</f>
        <v>0.1203143418</v>
      </c>
      <c r="C1191">
        <f>COUNTIFS(data!D:D,data!$I$2,data!F:F,"&gt;="&amp;B1191)</f>
        <v>533</v>
      </c>
      <c r="D1191">
        <f>COUNTIFS(data!D:D,data!$J$2,data!F:F,"&gt;="&amp;B1191)</f>
        <v>657</v>
      </c>
      <c r="E1191">
        <f>COUNTIFS(data!D:D,data!$J$2,data!F:F,"&lt;"&amp;B1191)</f>
        <v>66</v>
      </c>
      <c r="F1191">
        <f>COUNTIFS(data!D:D,data!$I$2,data!F:F,"&lt;"&amp;B1191)</f>
        <v>1</v>
      </c>
      <c r="G1191">
        <f t="shared" si="126"/>
        <v>0.90871369294605808</v>
      </c>
      <c r="H1191">
        <f t="shared" si="127"/>
        <v>0.99812734082397003</v>
      </c>
      <c r="I1191">
        <f t="shared" si="128"/>
        <v>1.3805357411119869E-3</v>
      </c>
      <c r="J1191">
        <f t="shared" si="129"/>
        <v>0.44789915966386556</v>
      </c>
      <c r="K1191">
        <f t="shared" si="130"/>
        <v>0.61832946635730857</v>
      </c>
      <c r="L1191">
        <f>A1191*COUNTIF(data!D:D,data!$I$2)/data!$L$2</f>
        <v>505.53699284009548</v>
      </c>
      <c r="M1191" s="1">
        <f>A1191/data!$L$2</f>
        <v>0.94669848846459825</v>
      </c>
      <c r="N1191">
        <f t="shared" si="131"/>
        <v>1.0543244263997733</v>
      </c>
    </row>
    <row r="1192" spans="1:14" x14ac:dyDescent="0.2">
      <c r="A1192">
        <v>1191</v>
      </c>
      <c r="B1192">
        <f>LARGE(data!F:F,A1192)</f>
        <v>0.11995981259999999</v>
      </c>
      <c r="C1192">
        <f>COUNTIFS(data!D:D,data!$I$2,data!F:F,"&gt;="&amp;B1192)</f>
        <v>533</v>
      </c>
      <c r="D1192">
        <f>COUNTIFS(data!D:D,data!$J$2,data!F:F,"&gt;="&amp;B1192)</f>
        <v>658</v>
      </c>
      <c r="E1192">
        <f>COUNTIFS(data!D:D,data!$J$2,data!F:F,"&lt;"&amp;B1192)</f>
        <v>65</v>
      </c>
      <c r="F1192">
        <f>COUNTIFS(data!D:D,data!$I$2,data!F:F,"&lt;"&amp;B1192)</f>
        <v>1</v>
      </c>
      <c r="G1192">
        <f t="shared" si="126"/>
        <v>0.91009681881051174</v>
      </c>
      <c r="H1192">
        <f t="shared" si="127"/>
        <v>0.99812734082397003</v>
      </c>
      <c r="I1192">
        <f t="shared" si="128"/>
        <v>1.3805357411119869E-3</v>
      </c>
      <c r="J1192">
        <f t="shared" si="129"/>
        <v>0.44752308984047018</v>
      </c>
      <c r="K1192">
        <f t="shared" si="130"/>
        <v>0.6179710144927536</v>
      </c>
      <c r="L1192">
        <f>A1192*COUNTIF(data!D:D,data!$I$2)/data!$L$2</f>
        <v>505.96181384248212</v>
      </c>
      <c r="M1192" s="1">
        <f>A1192/data!$L$2</f>
        <v>0.94749403341288785</v>
      </c>
      <c r="N1192">
        <f t="shared" si="131"/>
        <v>1.0534391833885226</v>
      </c>
    </row>
    <row r="1193" spans="1:14" x14ac:dyDescent="0.2">
      <c r="A1193">
        <v>1192</v>
      </c>
      <c r="B1193">
        <f>LARGE(data!F:F,A1193)</f>
        <v>0.1198973096</v>
      </c>
      <c r="C1193">
        <f>COUNTIFS(data!D:D,data!$I$2,data!F:F,"&gt;="&amp;B1193)</f>
        <v>533</v>
      </c>
      <c r="D1193">
        <f>COUNTIFS(data!D:D,data!$J$2,data!F:F,"&gt;="&amp;B1193)</f>
        <v>659</v>
      </c>
      <c r="E1193">
        <f>COUNTIFS(data!D:D,data!$J$2,data!F:F,"&lt;"&amp;B1193)</f>
        <v>64</v>
      </c>
      <c r="F1193">
        <f>COUNTIFS(data!D:D,data!$I$2,data!F:F,"&lt;"&amp;B1193)</f>
        <v>1</v>
      </c>
      <c r="G1193">
        <f t="shared" si="126"/>
        <v>0.9114799446749654</v>
      </c>
      <c r="H1193">
        <f t="shared" si="127"/>
        <v>0.99812734082397003</v>
      </c>
      <c r="I1193">
        <f t="shared" si="128"/>
        <v>1.3805357411119869E-3</v>
      </c>
      <c r="J1193">
        <f t="shared" si="129"/>
        <v>0.44714765100671139</v>
      </c>
      <c r="K1193">
        <f t="shared" si="130"/>
        <v>0.61761297798377746</v>
      </c>
      <c r="L1193">
        <f>A1193*COUNTIF(data!D:D,data!$I$2)/data!$L$2</f>
        <v>506.38663484486875</v>
      </c>
      <c r="M1193" s="1">
        <f>A1193/data!$L$2</f>
        <v>0.94828957836117744</v>
      </c>
      <c r="N1193">
        <f t="shared" si="131"/>
        <v>1.0525554256843375</v>
      </c>
    </row>
    <row r="1194" spans="1:14" x14ac:dyDescent="0.2">
      <c r="A1194">
        <v>1193</v>
      </c>
      <c r="B1194">
        <f>LARGE(data!F:F,A1194)</f>
        <v>0.11902390760000001</v>
      </c>
      <c r="C1194">
        <f>COUNTIFS(data!D:D,data!$I$2,data!F:F,"&gt;="&amp;B1194)</f>
        <v>533</v>
      </c>
      <c r="D1194">
        <f>COUNTIFS(data!D:D,data!$J$2,data!F:F,"&gt;="&amp;B1194)</f>
        <v>660</v>
      </c>
      <c r="E1194">
        <f>COUNTIFS(data!D:D,data!$J$2,data!F:F,"&lt;"&amp;B1194)</f>
        <v>63</v>
      </c>
      <c r="F1194">
        <f>COUNTIFS(data!D:D,data!$I$2,data!F:F,"&lt;"&amp;B1194)</f>
        <v>1</v>
      </c>
      <c r="G1194">
        <f t="shared" si="126"/>
        <v>0.91286307053941906</v>
      </c>
      <c r="H1194">
        <f t="shared" si="127"/>
        <v>0.99812734082397003</v>
      </c>
      <c r="I1194">
        <f t="shared" si="128"/>
        <v>1.3805357411119869E-3</v>
      </c>
      <c r="J1194">
        <f t="shared" si="129"/>
        <v>0.44677284157585917</v>
      </c>
      <c r="K1194">
        <f t="shared" si="130"/>
        <v>0.6172553561088594</v>
      </c>
      <c r="L1194">
        <f>A1194*COUNTIF(data!D:D,data!$I$2)/data!$L$2</f>
        <v>506.81145584725539</v>
      </c>
      <c r="M1194" s="1">
        <f>A1194/data!$L$2</f>
        <v>0.94908512330946704</v>
      </c>
      <c r="N1194">
        <f t="shared" si="131"/>
        <v>1.051673149552163</v>
      </c>
    </row>
    <row r="1195" spans="1:14" x14ac:dyDescent="0.2">
      <c r="A1195">
        <v>1194</v>
      </c>
      <c r="B1195">
        <f>LARGE(data!F:F,A1195)</f>
        <v>0.1184873711</v>
      </c>
      <c r="C1195">
        <f>COUNTIFS(data!D:D,data!$I$2,data!F:F,"&gt;="&amp;B1195)</f>
        <v>533</v>
      </c>
      <c r="D1195">
        <f>COUNTIFS(data!D:D,data!$J$2,data!F:F,"&gt;="&amp;B1195)</f>
        <v>661</v>
      </c>
      <c r="E1195">
        <f>COUNTIFS(data!D:D,data!$J$2,data!F:F,"&lt;"&amp;B1195)</f>
        <v>62</v>
      </c>
      <c r="F1195">
        <f>COUNTIFS(data!D:D,data!$I$2,data!F:F,"&lt;"&amp;B1195)</f>
        <v>1</v>
      </c>
      <c r="G1195">
        <f t="shared" si="126"/>
        <v>0.91424619640387272</v>
      </c>
      <c r="H1195">
        <f t="shared" si="127"/>
        <v>0.99812734082397003</v>
      </c>
      <c r="I1195">
        <f t="shared" si="128"/>
        <v>1.3805357411119869E-3</v>
      </c>
      <c r="J1195">
        <f t="shared" si="129"/>
        <v>0.44639865996649919</v>
      </c>
      <c r="K1195">
        <f t="shared" si="130"/>
        <v>0.61689814814814825</v>
      </c>
      <c r="L1195">
        <f>A1195*COUNTIF(data!D:D,data!$I$2)/data!$L$2</f>
        <v>507.23627684964202</v>
      </c>
      <c r="M1195" s="1">
        <f>A1195/data!$L$2</f>
        <v>0.94988066825775652</v>
      </c>
      <c r="N1195">
        <f t="shared" si="131"/>
        <v>1.0507923512694559</v>
      </c>
    </row>
    <row r="1196" spans="1:14" x14ac:dyDescent="0.2">
      <c r="A1196">
        <v>1195</v>
      </c>
      <c r="B1196">
        <f>LARGE(data!F:F,A1196)</f>
        <v>0.11813468840000001</v>
      </c>
      <c r="C1196">
        <f>COUNTIFS(data!D:D,data!$I$2,data!F:F,"&gt;="&amp;B1196)</f>
        <v>533</v>
      </c>
      <c r="D1196">
        <f>COUNTIFS(data!D:D,data!$J$2,data!F:F,"&gt;="&amp;B1196)</f>
        <v>662</v>
      </c>
      <c r="E1196">
        <f>COUNTIFS(data!D:D,data!$J$2,data!F:F,"&lt;"&amp;B1196)</f>
        <v>61</v>
      </c>
      <c r="F1196">
        <f>COUNTIFS(data!D:D,data!$I$2,data!F:F,"&lt;"&amp;B1196)</f>
        <v>1</v>
      </c>
      <c r="G1196">
        <f t="shared" si="126"/>
        <v>0.91562932226832638</v>
      </c>
      <c r="H1196">
        <f t="shared" si="127"/>
        <v>0.99812734082397003</v>
      </c>
      <c r="I1196">
        <f t="shared" si="128"/>
        <v>1.3805357411119869E-3</v>
      </c>
      <c r="J1196">
        <f t="shared" si="129"/>
        <v>0.44602510460251044</v>
      </c>
      <c r="K1196">
        <f t="shared" si="130"/>
        <v>0.61654135338345861</v>
      </c>
      <c r="L1196">
        <f>A1196*COUNTIF(data!D:D,data!$I$2)/data!$L$2</f>
        <v>507.66109785202866</v>
      </c>
      <c r="M1196" s="1">
        <f>A1196/data!$L$2</f>
        <v>0.95067621320604612</v>
      </c>
      <c r="N1196">
        <f t="shared" si="131"/>
        <v>1.0499130271261341</v>
      </c>
    </row>
    <row r="1197" spans="1:14" x14ac:dyDescent="0.2">
      <c r="A1197">
        <v>1196</v>
      </c>
      <c r="B1197">
        <f>LARGE(data!F:F,A1197)</f>
        <v>0.11809653220000001</v>
      </c>
      <c r="C1197">
        <f>COUNTIFS(data!D:D,data!$I$2,data!F:F,"&gt;="&amp;B1197)</f>
        <v>533</v>
      </c>
      <c r="D1197">
        <f>COUNTIFS(data!D:D,data!$J$2,data!F:F,"&gt;="&amp;B1197)</f>
        <v>663</v>
      </c>
      <c r="E1197">
        <f>COUNTIFS(data!D:D,data!$J$2,data!F:F,"&lt;"&amp;B1197)</f>
        <v>60</v>
      </c>
      <c r="F1197">
        <f>COUNTIFS(data!D:D,data!$I$2,data!F:F,"&lt;"&amp;B1197)</f>
        <v>1</v>
      </c>
      <c r="G1197">
        <f t="shared" si="126"/>
        <v>0.91701244813278004</v>
      </c>
      <c r="H1197">
        <f t="shared" si="127"/>
        <v>0.99812734082397003</v>
      </c>
      <c r="I1197">
        <f t="shared" si="128"/>
        <v>1.3805357411119869E-3</v>
      </c>
      <c r="J1197">
        <f t="shared" si="129"/>
        <v>0.44565217391304346</v>
      </c>
      <c r="K1197">
        <f t="shared" si="130"/>
        <v>0.61618497109826587</v>
      </c>
      <c r="L1197">
        <f>A1197*COUNTIF(data!D:D,data!$I$2)/data!$L$2</f>
        <v>508.0859188544153</v>
      </c>
      <c r="M1197" s="1">
        <f>A1197/data!$L$2</f>
        <v>0.95147175815433571</v>
      </c>
      <c r="N1197">
        <f t="shared" si="131"/>
        <v>1.0490351734245236</v>
      </c>
    </row>
    <row r="1198" spans="1:14" x14ac:dyDescent="0.2">
      <c r="A1198">
        <v>1197</v>
      </c>
      <c r="B1198">
        <f>LARGE(data!F:F,A1198)</f>
        <v>0.1178432152</v>
      </c>
      <c r="C1198">
        <f>COUNTIFS(data!D:D,data!$I$2,data!F:F,"&gt;="&amp;B1198)</f>
        <v>533</v>
      </c>
      <c r="D1198">
        <f>COUNTIFS(data!D:D,data!$J$2,data!F:F,"&gt;="&amp;B1198)</f>
        <v>664</v>
      </c>
      <c r="E1198">
        <f>COUNTIFS(data!D:D,data!$J$2,data!F:F,"&lt;"&amp;B1198)</f>
        <v>59</v>
      </c>
      <c r="F1198">
        <f>COUNTIFS(data!D:D,data!$I$2,data!F:F,"&lt;"&amp;B1198)</f>
        <v>1</v>
      </c>
      <c r="G1198">
        <f t="shared" si="126"/>
        <v>0.91839557399723371</v>
      </c>
      <c r="H1198">
        <f t="shared" si="127"/>
        <v>0.99812734082397003</v>
      </c>
      <c r="I1198">
        <f t="shared" si="128"/>
        <v>1.3805357411119869E-3</v>
      </c>
      <c r="J1198">
        <f t="shared" si="129"/>
        <v>0.44527986633249789</v>
      </c>
      <c r="K1198">
        <f t="shared" si="130"/>
        <v>0.61582900057770074</v>
      </c>
      <c r="L1198">
        <f>A1198*COUNTIF(data!D:D,data!$I$2)/data!$L$2</f>
        <v>508.51073985680193</v>
      </c>
      <c r="M1198" s="1">
        <f>A1198/data!$L$2</f>
        <v>0.95226730310262531</v>
      </c>
      <c r="N1198">
        <f t="shared" si="131"/>
        <v>1.0481587864793069</v>
      </c>
    </row>
    <row r="1199" spans="1:14" x14ac:dyDescent="0.2">
      <c r="A1199">
        <v>1198</v>
      </c>
      <c r="B1199">
        <f>LARGE(data!F:F,A1199)</f>
        <v>0.1169447057</v>
      </c>
      <c r="C1199">
        <f>COUNTIFS(data!D:D,data!$I$2,data!F:F,"&gt;="&amp;B1199)</f>
        <v>533</v>
      </c>
      <c r="D1199">
        <f>COUNTIFS(data!D:D,data!$J$2,data!F:F,"&gt;="&amp;B1199)</f>
        <v>665</v>
      </c>
      <c r="E1199">
        <f>COUNTIFS(data!D:D,data!$J$2,data!F:F,"&lt;"&amp;B1199)</f>
        <v>58</v>
      </c>
      <c r="F1199">
        <f>COUNTIFS(data!D:D,data!$I$2,data!F:F,"&lt;"&amp;B1199)</f>
        <v>1</v>
      </c>
      <c r="G1199">
        <f t="shared" si="126"/>
        <v>0.91977869986168737</v>
      </c>
      <c r="H1199">
        <f t="shared" si="127"/>
        <v>0.99812734082397003</v>
      </c>
      <c r="I1199">
        <f t="shared" si="128"/>
        <v>1.3805357411119869E-3</v>
      </c>
      <c r="J1199">
        <f t="shared" si="129"/>
        <v>0.44490818030050083</v>
      </c>
      <c r="K1199">
        <f t="shared" si="130"/>
        <v>0.61547344110854507</v>
      </c>
      <c r="L1199">
        <f>A1199*COUNTIF(data!D:D,data!$I$2)/data!$L$2</f>
        <v>508.93556085918857</v>
      </c>
      <c r="M1199" s="1">
        <f>A1199/data!$L$2</f>
        <v>0.9530628480509149</v>
      </c>
      <c r="N1199">
        <f t="shared" si="131"/>
        <v>1.047283862617471</v>
      </c>
    </row>
    <row r="1200" spans="1:14" x14ac:dyDescent="0.2">
      <c r="A1200">
        <v>1199</v>
      </c>
      <c r="B1200">
        <f>LARGE(data!F:F,A1200)</f>
        <v>0.1166557396</v>
      </c>
      <c r="C1200">
        <f>COUNTIFS(data!D:D,data!$I$2,data!F:F,"&gt;="&amp;B1200)</f>
        <v>533</v>
      </c>
      <c r="D1200">
        <f>COUNTIFS(data!D:D,data!$J$2,data!F:F,"&gt;="&amp;B1200)</f>
        <v>666</v>
      </c>
      <c r="E1200">
        <f>COUNTIFS(data!D:D,data!$J$2,data!F:F,"&lt;"&amp;B1200)</f>
        <v>57</v>
      </c>
      <c r="F1200">
        <f>COUNTIFS(data!D:D,data!$I$2,data!F:F,"&lt;"&amp;B1200)</f>
        <v>1</v>
      </c>
      <c r="G1200">
        <f t="shared" si="126"/>
        <v>0.92116182572614103</v>
      </c>
      <c r="H1200">
        <f t="shared" si="127"/>
        <v>0.99812734082397003</v>
      </c>
      <c r="I1200">
        <f t="shared" si="128"/>
        <v>1.3805357411119869E-3</v>
      </c>
      <c r="J1200">
        <f t="shared" si="129"/>
        <v>0.44453711426188491</v>
      </c>
      <c r="K1200">
        <f t="shared" si="130"/>
        <v>0.61511829197922674</v>
      </c>
      <c r="L1200">
        <f>A1200*COUNTIF(data!D:D,data!$I$2)/data!$L$2</f>
        <v>509.36038186157521</v>
      </c>
      <c r="M1200" s="1">
        <f>A1200/data!$L$2</f>
        <v>0.9538583929992045</v>
      </c>
      <c r="N1200">
        <f t="shared" si="131"/>
        <v>1.0464103981782571</v>
      </c>
    </row>
    <row r="1201" spans="1:14" x14ac:dyDescent="0.2">
      <c r="A1201">
        <v>1200</v>
      </c>
      <c r="B1201">
        <f>LARGE(data!F:F,A1201)</f>
        <v>0.1165591867</v>
      </c>
      <c r="C1201">
        <f>COUNTIFS(data!D:D,data!$I$2,data!F:F,"&gt;="&amp;B1201)</f>
        <v>533</v>
      </c>
      <c r="D1201">
        <f>COUNTIFS(data!D:D,data!$J$2,data!F:F,"&gt;="&amp;B1201)</f>
        <v>667</v>
      </c>
      <c r="E1201">
        <f>COUNTIFS(data!D:D,data!$J$2,data!F:F,"&lt;"&amp;B1201)</f>
        <v>56</v>
      </c>
      <c r="F1201">
        <f>COUNTIFS(data!D:D,data!$I$2,data!F:F,"&lt;"&amp;B1201)</f>
        <v>1</v>
      </c>
      <c r="G1201">
        <f t="shared" si="126"/>
        <v>0.9225449515905948</v>
      </c>
      <c r="H1201">
        <f t="shared" si="127"/>
        <v>0.99812734082397003</v>
      </c>
      <c r="I1201">
        <f t="shared" si="128"/>
        <v>1.3805357411120977E-3</v>
      </c>
      <c r="J1201">
        <f t="shared" si="129"/>
        <v>0.44416666666666665</v>
      </c>
      <c r="K1201">
        <f t="shared" si="130"/>
        <v>0.6147635524798154</v>
      </c>
      <c r="L1201">
        <f>A1201*COUNTIF(data!D:D,data!$I$2)/data!$L$2</f>
        <v>509.78520286396179</v>
      </c>
      <c r="M1201" s="1">
        <f>A1201/data!$L$2</f>
        <v>0.95465393794749398</v>
      </c>
      <c r="N1201">
        <f t="shared" si="131"/>
        <v>1.0455383895131087</v>
      </c>
    </row>
    <row r="1202" spans="1:14" x14ac:dyDescent="0.2">
      <c r="A1202">
        <v>1201</v>
      </c>
      <c r="B1202">
        <f>LARGE(data!F:F,A1202)</f>
        <v>0.11604171620000001</v>
      </c>
      <c r="C1202">
        <f>COUNTIFS(data!D:D,data!$I$2,data!F:F,"&gt;="&amp;B1202)</f>
        <v>534</v>
      </c>
      <c r="D1202">
        <f>COUNTIFS(data!D:D,data!$J$2,data!F:F,"&gt;="&amp;B1202)</f>
        <v>667</v>
      </c>
      <c r="E1202">
        <f>COUNTIFS(data!D:D,data!$J$2,data!F:F,"&lt;"&amp;B1202)</f>
        <v>56</v>
      </c>
      <c r="F1202">
        <f>COUNTIFS(data!D:D,data!$I$2,data!F:F,"&lt;"&amp;B1202)</f>
        <v>0</v>
      </c>
      <c r="G1202">
        <f t="shared" si="126"/>
        <v>0.9225449515905948</v>
      </c>
      <c r="H1202">
        <f t="shared" si="127"/>
        <v>1</v>
      </c>
      <c r="I1202">
        <f t="shared" si="128"/>
        <v>0</v>
      </c>
      <c r="J1202">
        <f t="shared" si="129"/>
        <v>0.44462947543713571</v>
      </c>
      <c r="K1202">
        <f t="shared" si="130"/>
        <v>0.61556195965417859</v>
      </c>
      <c r="L1202">
        <f>A1202*COUNTIF(data!D:D,data!$I$2)/data!$L$2</f>
        <v>510.21002386634842</v>
      </c>
      <c r="M1202" s="1">
        <f>A1202/data!$L$2</f>
        <v>0.95544948289578358</v>
      </c>
      <c r="N1202">
        <f t="shared" si="131"/>
        <v>1.0466278101582016</v>
      </c>
    </row>
    <row r="1203" spans="1:14" x14ac:dyDescent="0.2">
      <c r="A1203">
        <v>1202</v>
      </c>
      <c r="B1203">
        <f>LARGE(data!F:F,A1203)</f>
        <v>0.11517878569999999</v>
      </c>
      <c r="C1203">
        <f>COUNTIFS(data!D:D,data!$I$2,data!F:F,"&gt;="&amp;B1203)</f>
        <v>534</v>
      </c>
      <c r="D1203">
        <f>COUNTIFS(data!D:D,data!$J$2,data!F:F,"&gt;="&amp;B1203)</f>
        <v>668</v>
      </c>
      <c r="E1203">
        <f>COUNTIFS(data!D:D,data!$J$2,data!F:F,"&lt;"&amp;B1203)</f>
        <v>55</v>
      </c>
      <c r="F1203">
        <f>COUNTIFS(data!D:D,data!$I$2,data!F:F,"&lt;"&amp;B1203)</f>
        <v>0</v>
      </c>
      <c r="G1203">
        <f t="shared" si="126"/>
        <v>0.92392807745504846</v>
      </c>
      <c r="H1203">
        <f t="shared" si="127"/>
        <v>1</v>
      </c>
      <c r="I1203">
        <f t="shared" si="128"/>
        <v>1.3831258644536604E-3</v>
      </c>
      <c r="J1203">
        <f t="shared" si="129"/>
        <v>0.44425956738768718</v>
      </c>
      <c r="K1203">
        <f t="shared" si="130"/>
        <v>0.61520737327188935</v>
      </c>
      <c r="L1203">
        <f>A1203*COUNTIF(data!D:D,data!$I$2)/data!$L$2</f>
        <v>510.63484486873506</v>
      </c>
      <c r="M1203" s="1">
        <f>A1203/data!$L$2</f>
        <v>0.95624502784407317</v>
      </c>
      <c r="N1203">
        <f t="shared" si="131"/>
        <v>1.0457570715474209</v>
      </c>
    </row>
    <row r="1204" spans="1:14" x14ac:dyDescent="0.2">
      <c r="A1204">
        <v>1203</v>
      </c>
      <c r="B1204">
        <f>LARGE(data!F:F,A1204)</f>
        <v>0.1149998309</v>
      </c>
      <c r="C1204">
        <f>COUNTIFS(data!D:D,data!$I$2,data!F:F,"&gt;="&amp;B1204)</f>
        <v>534</v>
      </c>
      <c r="D1204">
        <f>COUNTIFS(data!D:D,data!$J$2,data!F:F,"&gt;="&amp;B1204)</f>
        <v>669</v>
      </c>
      <c r="E1204">
        <f>COUNTIFS(data!D:D,data!$J$2,data!F:F,"&lt;"&amp;B1204)</f>
        <v>54</v>
      </c>
      <c r="F1204">
        <f>COUNTIFS(data!D:D,data!$I$2,data!F:F,"&lt;"&amp;B1204)</f>
        <v>0</v>
      </c>
      <c r="G1204">
        <f t="shared" si="126"/>
        <v>0.92531120331950212</v>
      </c>
      <c r="H1204">
        <f t="shared" si="127"/>
        <v>1</v>
      </c>
      <c r="I1204">
        <f t="shared" si="128"/>
        <v>1.3831258644536604E-3</v>
      </c>
      <c r="J1204">
        <f t="shared" si="129"/>
        <v>0.44389027431421446</v>
      </c>
      <c r="K1204">
        <f t="shared" si="130"/>
        <v>0.61485319516407599</v>
      </c>
      <c r="L1204">
        <f>A1204*COUNTIF(data!D:D,data!$I$2)/data!$L$2</f>
        <v>511.05966587112169</v>
      </c>
      <c r="M1204" s="1">
        <f>A1204/data!$L$2</f>
        <v>0.95704057279236276</v>
      </c>
      <c r="N1204">
        <f t="shared" si="131"/>
        <v>1.0448877805486285</v>
      </c>
    </row>
    <row r="1205" spans="1:14" x14ac:dyDescent="0.2">
      <c r="A1205">
        <v>1204</v>
      </c>
      <c r="B1205">
        <f>LARGE(data!F:F,A1205)</f>
        <v>0.1134863309</v>
      </c>
      <c r="C1205">
        <f>COUNTIFS(data!D:D,data!$I$2,data!F:F,"&gt;="&amp;B1205)</f>
        <v>534</v>
      </c>
      <c r="D1205">
        <f>COUNTIFS(data!D:D,data!$J$2,data!F:F,"&gt;="&amp;B1205)</f>
        <v>670</v>
      </c>
      <c r="E1205">
        <f>COUNTIFS(data!D:D,data!$J$2,data!F:F,"&lt;"&amp;B1205)</f>
        <v>53</v>
      </c>
      <c r="F1205">
        <f>COUNTIFS(data!D:D,data!$I$2,data!F:F,"&lt;"&amp;B1205)</f>
        <v>0</v>
      </c>
      <c r="G1205">
        <f t="shared" si="126"/>
        <v>0.92669432918395578</v>
      </c>
      <c r="H1205">
        <f t="shared" si="127"/>
        <v>1</v>
      </c>
      <c r="I1205">
        <f t="shared" si="128"/>
        <v>1.3831258644536604E-3</v>
      </c>
      <c r="J1205">
        <f t="shared" si="129"/>
        <v>0.4435215946843854</v>
      </c>
      <c r="K1205">
        <f t="shared" si="130"/>
        <v>0.61449942462600693</v>
      </c>
      <c r="L1205">
        <f>A1205*COUNTIF(data!D:D,data!$I$2)/data!$L$2</f>
        <v>511.48448687350833</v>
      </c>
      <c r="M1205" s="1">
        <f>A1205/data!$L$2</f>
        <v>0.95783611774065236</v>
      </c>
      <c r="N1205">
        <f t="shared" si="131"/>
        <v>1.0440199335548173</v>
      </c>
    </row>
    <row r="1206" spans="1:14" x14ac:dyDescent="0.2">
      <c r="A1206">
        <v>1205</v>
      </c>
      <c r="B1206">
        <f>LARGE(data!F:F,A1206)</f>
        <v>0.11278377439999999</v>
      </c>
      <c r="C1206">
        <f>COUNTIFS(data!D:D,data!$I$2,data!F:F,"&gt;="&amp;B1206)</f>
        <v>534</v>
      </c>
      <c r="D1206">
        <f>COUNTIFS(data!D:D,data!$J$2,data!F:F,"&gt;="&amp;B1206)</f>
        <v>671</v>
      </c>
      <c r="E1206">
        <f>COUNTIFS(data!D:D,data!$J$2,data!F:F,"&lt;"&amp;B1206)</f>
        <v>52</v>
      </c>
      <c r="F1206">
        <f>COUNTIFS(data!D:D,data!$I$2,data!F:F,"&lt;"&amp;B1206)</f>
        <v>0</v>
      </c>
      <c r="G1206">
        <f t="shared" si="126"/>
        <v>0.92807745504840944</v>
      </c>
      <c r="H1206">
        <f t="shared" si="127"/>
        <v>1</v>
      </c>
      <c r="I1206">
        <f t="shared" si="128"/>
        <v>1.3831258644536604E-3</v>
      </c>
      <c r="J1206">
        <f t="shared" si="129"/>
        <v>0.44315352697095434</v>
      </c>
      <c r="K1206">
        <f t="shared" si="130"/>
        <v>0.61414606095457158</v>
      </c>
      <c r="L1206">
        <f>A1206*COUNTIF(data!D:D,data!$I$2)/data!$L$2</f>
        <v>511.90930787589497</v>
      </c>
      <c r="M1206" s="1">
        <f>A1206/data!$L$2</f>
        <v>0.95863166268894195</v>
      </c>
      <c r="N1206">
        <f t="shared" si="131"/>
        <v>1.0431535269709544</v>
      </c>
    </row>
    <row r="1207" spans="1:14" x14ac:dyDescent="0.2">
      <c r="A1207">
        <v>1206</v>
      </c>
      <c r="B1207">
        <f>LARGE(data!F:F,A1207)</f>
        <v>0.1125988274</v>
      </c>
      <c r="C1207">
        <f>COUNTIFS(data!D:D,data!$I$2,data!F:F,"&gt;="&amp;B1207)</f>
        <v>534</v>
      </c>
      <c r="D1207">
        <f>COUNTIFS(data!D:D,data!$J$2,data!F:F,"&gt;="&amp;B1207)</f>
        <v>672</v>
      </c>
      <c r="E1207">
        <f>COUNTIFS(data!D:D,data!$J$2,data!F:F,"&lt;"&amp;B1207)</f>
        <v>51</v>
      </c>
      <c r="F1207">
        <f>COUNTIFS(data!D:D,data!$I$2,data!F:F,"&lt;"&amp;B1207)</f>
        <v>0</v>
      </c>
      <c r="G1207">
        <f t="shared" si="126"/>
        <v>0.9294605809128631</v>
      </c>
      <c r="H1207">
        <f t="shared" si="127"/>
        <v>1</v>
      </c>
      <c r="I1207">
        <f t="shared" si="128"/>
        <v>1.3831258644536604E-3</v>
      </c>
      <c r="J1207">
        <f t="shared" si="129"/>
        <v>0.44278606965174128</v>
      </c>
      <c r="K1207">
        <f t="shared" si="130"/>
        <v>0.61379310344827587</v>
      </c>
      <c r="L1207">
        <f>A1207*COUNTIF(data!D:D,data!$I$2)/data!$L$2</f>
        <v>512.3341288782816</v>
      </c>
      <c r="M1207" s="1">
        <f>A1207/data!$L$2</f>
        <v>0.95942720763723155</v>
      </c>
      <c r="N1207">
        <f t="shared" si="131"/>
        <v>1.0422885572139304</v>
      </c>
    </row>
    <row r="1208" spans="1:14" x14ac:dyDescent="0.2">
      <c r="A1208">
        <v>1207</v>
      </c>
      <c r="B1208">
        <f>LARGE(data!F:F,A1208)</f>
        <v>0.1124515128</v>
      </c>
      <c r="C1208">
        <f>COUNTIFS(data!D:D,data!$I$2,data!F:F,"&gt;="&amp;B1208)</f>
        <v>534</v>
      </c>
      <c r="D1208">
        <f>COUNTIFS(data!D:D,data!$J$2,data!F:F,"&gt;="&amp;B1208)</f>
        <v>673</v>
      </c>
      <c r="E1208">
        <f>COUNTIFS(data!D:D,data!$J$2,data!F:F,"&lt;"&amp;B1208)</f>
        <v>50</v>
      </c>
      <c r="F1208">
        <f>COUNTIFS(data!D:D,data!$I$2,data!F:F,"&lt;"&amp;B1208)</f>
        <v>0</v>
      </c>
      <c r="G1208">
        <f t="shared" si="126"/>
        <v>0.93084370677731676</v>
      </c>
      <c r="H1208">
        <f t="shared" si="127"/>
        <v>1</v>
      </c>
      <c r="I1208">
        <f t="shared" si="128"/>
        <v>1.3831258644536604E-3</v>
      </c>
      <c r="J1208">
        <f t="shared" si="129"/>
        <v>0.44241922120961058</v>
      </c>
      <c r="K1208">
        <f t="shared" si="130"/>
        <v>0.61344055140723719</v>
      </c>
      <c r="L1208">
        <f>A1208*COUNTIF(data!D:D,data!$I$2)/data!$L$2</f>
        <v>512.7589498806683</v>
      </c>
      <c r="M1208" s="1">
        <f>A1208/data!$L$2</f>
        <v>0.96022275258552103</v>
      </c>
      <c r="N1208">
        <f t="shared" si="131"/>
        <v>1.0414250207125102</v>
      </c>
    </row>
    <row r="1209" spans="1:14" x14ac:dyDescent="0.2">
      <c r="A1209">
        <v>1208</v>
      </c>
      <c r="B1209">
        <f>LARGE(data!F:F,A1209)</f>
        <v>0.1123544836</v>
      </c>
      <c r="C1209">
        <f>COUNTIFS(data!D:D,data!$I$2,data!F:F,"&gt;="&amp;B1209)</f>
        <v>534</v>
      </c>
      <c r="D1209">
        <f>COUNTIFS(data!D:D,data!$J$2,data!F:F,"&gt;="&amp;B1209)</f>
        <v>674</v>
      </c>
      <c r="E1209">
        <f>COUNTIFS(data!D:D,data!$J$2,data!F:F,"&lt;"&amp;B1209)</f>
        <v>49</v>
      </c>
      <c r="F1209">
        <f>COUNTIFS(data!D:D,data!$I$2,data!F:F,"&lt;"&amp;B1209)</f>
        <v>0</v>
      </c>
      <c r="G1209">
        <f t="shared" si="126"/>
        <v>0.93222683264177042</v>
      </c>
      <c r="H1209">
        <f t="shared" si="127"/>
        <v>1</v>
      </c>
      <c r="I1209">
        <f t="shared" si="128"/>
        <v>1.3831258644536604E-3</v>
      </c>
      <c r="J1209">
        <f t="shared" si="129"/>
        <v>0.44205298013245031</v>
      </c>
      <c r="K1209">
        <f t="shared" si="130"/>
        <v>0.61308840413318033</v>
      </c>
      <c r="L1209">
        <f>A1209*COUNTIF(data!D:D,data!$I$2)/data!$L$2</f>
        <v>513.18377088305488</v>
      </c>
      <c r="M1209" s="1">
        <f>A1209/data!$L$2</f>
        <v>0.96101829753381063</v>
      </c>
      <c r="N1209">
        <f t="shared" si="131"/>
        <v>1.0405629139072847</v>
      </c>
    </row>
    <row r="1210" spans="1:14" x14ac:dyDescent="0.2">
      <c r="A1210">
        <v>1209</v>
      </c>
      <c r="B1210">
        <f>LARGE(data!F:F,A1210)</f>
        <v>0.1114459552</v>
      </c>
      <c r="C1210">
        <f>COUNTIFS(data!D:D,data!$I$2,data!F:F,"&gt;="&amp;B1210)</f>
        <v>534</v>
      </c>
      <c r="D1210">
        <f>COUNTIFS(data!D:D,data!$J$2,data!F:F,"&gt;="&amp;B1210)</f>
        <v>675</v>
      </c>
      <c r="E1210">
        <f>COUNTIFS(data!D:D,data!$J$2,data!F:F,"&lt;"&amp;B1210)</f>
        <v>48</v>
      </c>
      <c r="F1210">
        <f>COUNTIFS(data!D:D,data!$I$2,data!F:F,"&lt;"&amp;B1210)</f>
        <v>0</v>
      </c>
      <c r="G1210">
        <f t="shared" si="126"/>
        <v>0.93360995850622408</v>
      </c>
      <c r="H1210">
        <f t="shared" si="127"/>
        <v>1</v>
      </c>
      <c r="I1210">
        <f t="shared" si="128"/>
        <v>1.3831258644536604E-3</v>
      </c>
      <c r="J1210">
        <f t="shared" si="129"/>
        <v>0.44168734491315137</v>
      </c>
      <c r="K1210">
        <f t="shared" si="130"/>
        <v>0.61273666092943202</v>
      </c>
      <c r="L1210">
        <f>A1210*COUNTIF(data!D:D,data!$I$2)/data!$L$2</f>
        <v>513.60859188544157</v>
      </c>
      <c r="M1210" s="1">
        <f>A1210/data!$L$2</f>
        <v>0.96181384248210022</v>
      </c>
      <c r="N1210">
        <f t="shared" si="131"/>
        <v>1.0397022332506203</v>
      </c>
    </row>
    <row r="1211" spans="1:14" x14ac:dyDescent="0.2">
      <c r="A1211">
        <v>1210</v>
      </c>
      <c r="B1211">
        <f>LARGE(data!F:F,A1211)</f>
        <v>0.1114451004</v>
      </c>
      <c r="C1211">
        <f>COUNTIFS(data!D:D,data!$I$2,data!F:F,"&gt;="&amp;B1211)</f>
        <v>534</v>
      </c>
      <c r="D1211">
        <f>COUNTIFS(data!D:D,data!$J$2,data!F:F,"&gt;="&amp;B1211)</f>
        <v>676</v>
      </c>
      <c r="E1211">
        <f>COUNTIFS(data!D:D,data!$J$2,data!F:F,"&lt;"&amp;B1211)</f>
        <v>47</v>
      </c>
      <c r="F1211">
        <f>COUNTIFS(data!D:D,data!$I$2,data!F:F,"&lt;"&amp;B1211)</f>
        <v>0</v>
      </c>
      <c r="G1211">
        <f t="shared" si="126"/>
        <v>0.93499308437067774</v>
      </c>
      <c r="H1211">
        <f t="shared" si="127"/>
        <v>1</v>
      </c>
      <c r="I1211">
        <f t="shared" si="128"/>
        <v>1.3831258644536604E-3</v>
      </c>
      <c r="J1211">
        <f t="shared" si="129"/>
        <v>0.44132231404958677</v>
      </c>
      <c r="K1211">
        <f t="shared" si="130"/>
        <v>0.61238532110091748</v>
      </c>
      <c r="L1211">
        <f>A1211*COUNTIF(data!D:D,data!$I$2)/data!$L$2</f>
        <v>514.03341288782815</v>
      </c>
      <c r="M1211" s="1">
        <f>A1211/data!$L$2</f>
        <v>0.96260938743038982</v>
      </c>
      <c r="N1211">
        <f t="shared" si="131"/>
        <v>1.0388429752066115</v>
      </c>
    </row>
    <row r="1212" spans="1:14" x14ac:dyDescent="0.2">
      <c r="A1212">
        <v>1211</v>
      </c>
      <c r="B1212">
        <f>LARGE(data!F:F,A1212)</f>
        <v>0.11121833189999999</v>
      </c>
      <c r="C1212">
        <f>COUNTIFS(data!D:D,data!$I$2,data!F:F,"&gt;="&amp;B1212)</f>
        <v>534</v>
      </c>
      <c r="D1212">
        <f>COUNTIFS(data!D:D,data!$J$2,data!F:F,"&gt;="&amp;B1212)</f>
        <v>677</v>
      </c>
      <c r="E1212">
        <f>COUNTIFS(data!D:D,data!$J$2,data!F:F,"&lt;"&amp;B1212)</f>
        <v>46</v>
      </c>
      <c r="F1212">
        <f>COUNTIFS(data!D:D,data!$I$2,data!F:F,"&lt;"&amp;B1212)</f>
        <v>0</v>
      </c>
      <c r="G1212">
        <f t="shared" si="126"/>
        <v>0.9363762102351314</v>
      </c>
      <c r="H1212">
        <f t="shared" si="127"/>
        <v>1</v>
      </c>
      <c r="I1212">
        <f t="shared" si="128"/>
        <v>1.3831258644536604E-3</v>
      </c>
      <c r="J1212">
        <f t="shared" si="129"/>
        <v>0.44095788604459124</v>
      </c>
      <c r="K1212">
        <f t="shared" si="130"/>
        <v>0.61203438395415466</v>
      </c>
      <c r="L1212">
        <f>A1212*COUNTIF(data!D:D,data!$I$2)/data!$L$2</f>
        <v>514.45823389021484</v>
      </c>
      <c r="M1212" s="1">
        <f>A1212/data!$L$2</f>
        <v>0.96340493237867941</v>
      </c>
      <c r="N1212">
        <f t="shared" si="131"/>
        <v>1.0379851362510322</v>
      </c>
    </row>
    <row r="1213" spans="1:14" x14ac:dyDescent="0.2">
      <c r="A1213">
        <v>1212</v>
      </c>
      <c r="B1213">
        <f>LARGE(data!F:F,A1213)</f>
        <v>0.10921480779999999</v>
      </c>
      <c r="C1213">
        <f>COUNTIFS(data!D:D,data!$I$2,data!F:F,"&gt;="&amp;B1213)</f>
        <v>534</v>
      </c>
      <c r="D1213">
        <f>COUNTIFS(data!D:D,data!$J$2,data!F:F,"&gt;="&amp;B1213)</f>
        <v>678</v>
      </c>
      <c r="E1213">
        <f>COUNTIFS(data!D:D,data!$J$2,data!F:F,"&lt;"&amp;B1213)</f>
        <v>45</v>
      </c>
      <c r="F1213">
        <f>COUNTIFS(data!D:D,data!$I$2,data!F:F,"&lt;"&amp;B1213)</f>
        <v>0</v>
      </c>
      <c r="G1213">
        <f t="shared" si="126"/>
        <v>0.93775933609958506</v>
      </c>
      <c r="H1213">
        <f t="shared" si="127"/>
        <v>1</v>
      </c>
      <c r="I1213">
        <f t="shared" si="128"/>
        <v>1.3831258644536604E-3</v>
      </c>
      <c r="J1213">
        <f t="shared" si="129"/>
        <v>0.4405940594059406</v>
      </c>
      <c r="K1213">
        <f t="shared" si="130"/>
        <v>0.61168384879725091</v>
      </c>
      <c r="L1213">
        <f>A1213*COUNTIF(data!D:D,data!$I$2)/data!$L$2</f>
        <v>514.88305489260142</v>
      </c>
      <c r="M1213" s="1">
        <f>A1213/data!$L$2</f>
        <v>0.96420047732696901</v>
      </c>
      <c r="N1213">
        <f t="shared" si="131"/>
        <v>1.0371287128712872</v>
      </c>
    </row>
    <row r="1214" spans="1:14" x14ac:dyDescent="0.2">
      <c r="A1214">
        <v>1213</v>
      </c>
      <c r="B1214">
        <f>LARGE(data!F:F,A1214)</f>
        <v>0.10842575829999999</v>
      </c>
      <c r="C1214">
        <f>COUNTIFS(data!D:D,data!$I$2,data!F:F,"&gt;="&amp;B1214)</f>
        <v>534</v>
      </c>
      <c r="D1214">
        <f>COUNTIFS(data!D:D,data!$J$2,data!F:F,"&gt;="&amp;B1214)</f>
        <v>679</v>
      </c>
      <c r="E1214">
        <f>COUNTIFS(data!D:D,data!$J$2,data!F:F,"&lt;"&amp;B1214)</f>
        <v>44</v>
      </c>
      <c r="F1214">
        <f>COUNTIFS(data!D:D,data!$I$2,data!F:F,"&lt;"&amp;B1214)</f>
        <v>0</v>
      </c>
      <c r="G1214">
        <f t="shared" si="126"/>
        <v>0.93914246196403872</v>
      </c>
      <c r="H1214">
        <f t="shared" si="127"/>
        <v>1</v>
      </c>
      <c r="I1214">
        <f t="shared" si="128"/>
        <v>1.3831258644536604E-3</v>
      </c>
      <c r="J1214">
        <f t="shared" si="129"/>
        <v>0.44023083264633139</v>
      </c>
      <c r="K1214">
        <f t="shared" si="130"/>
        <v>0.61133371493989697</v>
      </c>
      <c r="L1214">
        <f>A1214*COUNTIF(data!D:D,data!$I$2)/data!$L$2</f>
        <v>515.30787589498811</v>
      </c>
      <c r="M1214" s="1">
        <f>A1214/data!$L$2</f>
        <v>0.9649960222752586</v>
      </c>
      <c r="N1214">
        <f t="shared" si="131"/>
        <v>1.0362737015663643</v>
      </c>
    </row>
    <row r="1215" spans="1:14" x14ac:dyDescent="0.2">
      <c r="A1215">
        <v>1214</v>
      </c>
      <c r="B1215">
        <f>LARGE(data!F:F,A1215)</f>
        <v>0.10819964059999999</v>
      </c>
      <c r="C1215">
        <f>COUNTIFS(data!D:D,data!$I$2,data!F:F,"&gt;="&amp;B1215)</f>
        <v>534</v>
      </c>
      <c r="D1215">
        <f>COUNTIFS(data!D:D,data!$J$2,data!F:F,"&gt;="&amp;B1215)</f>
        <v>680</v>
      </c>
      <c r="E1215">
        <f>COUNTIFS(data!D:D,data!$J$2,data!F:F,"&lt;"&amp;B1215)</f>
        <v>43</v>
      </c>
      <c r="F1215">
        <f>COUNTIFS(data!D:D,data!$I$2,data!F:F,"&lt;"&amp;B1215)</f>
        <v>0</v>
      </c>
      <c r="G1215">
        <f t="shared" si="126"/>
        <v>0.94052558782849238</v>
      </c>
      <c r="H1215">
        <f t="shared" si="127"/>
        <v>1</v>
      </c>
      <c r="I1215">
        <f t="shared" si="128"/>
        <v>1.3831258644536604E-3</v>
      </c>
      <c r="J1215">
        <f t="shared" si="129"/>
        <v>0.43986820428336076</v>
      </c>
      <c r="K1215">
        <f t="shared" si="130"/>
        <v>0.61098398169336376</v>
      </c>
      <c r="L1215">
        <f>A1215*COUNTIF(data!D:D,data!$I$2)/data!$L$2</f>
        <v>515.73269689737469</v>
      </c>
      <c r="M1215" s="1">
        <f>A1215/data!$L$2</f>
        <v>0.96579156722354809</v>
      </c>
      <c r="N1215">
        <f t="shared" si="131"/>
        <v>1.0354200988467874</v>
      </c>
    </row>
    <row r="1216" spans="1:14" x14ac:dyDescent="0.2">
      <c r="A1216">
        <v>1215</v>
      </c>
      <c r="B1216">
        <f>LARGE(data!F:F,A1216)</f>
        <v>0.1080191984</v>
      </c>
      <c r="C1216">
        <f>COUNTIFS(data!D:D,data!$I$2,data!F:F,"&gt;="&amp;B1216)</f>
        <v>534</v>
      </c>
      <c r="D1216">
        <f>COUNTIFS(data!D:D,data!$J$2,data!F:F,"&gt;="&amp;B1216)</f>
        <v>681</v>
      </c>
      <c r="E1216">
        <f>COUNTIFS(data!D:D,data!$J$2,data!F:F,"&lt;"&amp;B1216)</f>
        <v>42</v>
      </c>
      <c r="F1216">
        <f>COUNTIFS(data!D:D,data!$I$2,data!F:F,"&lt;"&amp;B1216)</f>
        <v>0</v>
      </c>
      <c r="G1216">
        <f t="shared" si="126"/>
        <v>0.94190871369294604</v>
      </c>
      <c r="H1216">
        <f t="shared" si="127"/>
        <v>1</v>
      </c>
      <c r="I1216">
        <f t="shared" si="128"/>
        <v>1.3831258644536604E-3</v>
      </c>
      <c r="J1216">
        <f t="shared" si="129"/>
        <v>0.43950617283950616</v>
      </c>
      <c r="K1216">
        <f t="shared" si="130"/>
        <v>0.61063464837049741</v>
      </c>
      <c r="L1216">
        <f>A1216*COUNTIF(data!D:D,data!$I$2)/data!$L$2</f>
        <v>516.15751789976139</v>
      </c>
      <c r="M1216" s="1">
        <f>A1216/data!$L$2</f>
        <v>0.96658711217183768</v>
      </c>
      <c r="N1216">
        <f t="shared" si="131"/>
        <v>1.0345679012345679</v>
      </c>
    </row>
    <row r="1217" spans="1:14" x14ac:dyDescent="0.2">
      <c r="A1217">
        <v>1216</v>
      </c>
      <c r="B1217">
        <f>LARGE(data!F:F,A1217)</f>
        <v>0.1079612378</v>
      </c>
      <c r="C1217">
        <f>COUNTIFS(data!D:D,data!$I$2,data!F:F,"&gt;="&amp;B1217)</f>
        <v>534</v>
      </c>
      <c r="D1217">
        <f>COUNTIFS(data!D:D,data!$J$2,data!F:F,"&gt;="&amp;B1217)</f>
        <v>682</v>
      </c>
      <c r="E1217">
        <f>COUNTIFS(data!D:D,data!$J$2,data!F:F,"&lt;"&amp;B1217)</f>
        <v>41</v>
      </c>
      <c r="F1217">
        <f>COUNTIFS(data!D:D,data!$I$2,data!F:F,"&lt;"&amp;B1217)</f>
        <v>0</v>
      </c>
      <c r="G1217">
        <f t="shared" si="126"/>
        <v>0.9432918395573997</v>
      </c>
      <c r="H1217">
        <f t="shared" si="127"/>
        <v>1</v>
      </c>
      <c r="I1217">
        <f t="shared" si="128"/>
        <v>1.3831258644536604E-3</v>
      </c>
      <c r="J1217">
        <f t="shared" si="129"/>
        <v>0.43914473684210525</v>
      </c>
      <c r="K1217">
        <f t="shared" si="130"/>
        <v>0.61028571428571421</v>
      </c>
      <c r="L1217">
        <f>A1217*COUNTIF(data!D:D,data!$I$2)/data!$L$2</f>
        <v>516.58233890214797</v>
      </c>
      <c r="M1217" s="1">
        <f>A1217/data!$L$2</f>
        <v>0.96738265712012728</v>
      </c>
      <c r="N1217">
        <f t="shared" si="131"/>
        <v>1.033717105263158</v>
      </c>
    </row>
    <row r="1218" spans="1:14" x14ac:dyDescent="0.2">
      <c r="A1218">
        <v>1217</v>
      </c>
      <c r="B1218">
        <f>LARGE(data!F:F,A1218)</f>
        <v>0.10679115209999999</v>
      </c>
      <c r="C1218">
        <f>COUNTIFS(data!D:D,data!$I$2,data!F:F,"&gt;="&amp;B1218)</f>
        <v>534</v>
      </c>
      <c r="D1218">
        <f>COUNTIFS(data!D:D,data!$J$2,data!F:F,"&gt;="&amp;B1218)</f>
        <v>683</v>
      </c>
      <c r="E1218">
        <f>COUNTIFS(data!D:D,data!$J$2,data!F:F,"&lt;"&amp;B1218)</f>
        <v>40</v>
      </c>
      <c r="F1218">
        <f>COUNTIFS(data!D:D,data!$I$2,data!F:F,"&lt;"&amp;B1218)</f>
        <v>0</v>
      </c>
      <c r="G1218">
        <f t="shared" si="126"/>
        <v>0.94467496542185336</v>
      </c>
      <c r="H1218">
        <f t="shared" si="127"/>
        <v>1</v>
      </c>
      <c r="I1218">
        <f t="shared" si="128"/>
        <v>1.3831258644536604E-3</v>
      </c>
      <c r="J1218">
        <f t="shared" si="129"/>
        <v>0.43878389482333607</v>
      </c>
      <c r="K1218">
        <f t="shared" si="130"/>
        <v>0.6099371787549972</v>
      </c>
      <c r="L1218">
        <f>A1218*COUNTIF(data!D:D,data!$I$2)/data!$L$2</f>
        <v>517.00715990453466</v>
      </c>
      <c r="M1218" s="1">
        <f>A1218/data!$L$2</f>
        <v>0.96817820206841687</v>
      </c>
      <c r="N1218">
        <f t="shared" si="131"/>
        <v>1.0328677074774033</v>
      </c>
    </row>
    <row r="1219" spans="1:14" x14ac:dyDescent="0.2">
      <c r="A1219">
        <v>1218</v>
      </c>
      <c r="B1219">
        <f>LARGE(data!F:F,A1219)</f>
        <v>0.105726007</v>
      </c>
      <c r="C1219">
        <f>COUNTIFS(data!D:D,data!$I$2,data!F:F,"&gt;="&amp;B1219)</f>
        <v>534</v>
      </c>
      <c r="D1219">
        <f>COUNTIFS(data!D:D,data!$J$2,data!F:F,"&gt;="&amp;B1219)</f>
        <v>684</v>
      </c>
      <c r="E1219">
        <f>COUNTIFS(data!D:D,data!$J$2,data!F:F,"&lt;"&amp;B1219)</f>
        <v>39</v>
      </c>
      <c r="F1219">
        <f>COUNTIFS(data!D:D,data!$I$2,data!F:F,"&lt;"&amp;B1219)</f>
        <v>0</v>
      </c>
      <c r="G1219">
        <f t="shared" si="126"/>
        <v>0.94605809128630702</v>
      </c>
      <c r="H1219">
        <f t="shared" si="127"/>
        <v>1</v>
      </c>
      <c r="I1219">
        <f t="shared" si="128"/>
        <v>1.3831258644536604E-3</v>
      </c>
      <c r="J1219">
        <f t="shared" si="129"/>
        <v>0.43842364532019706</v>
      </c>
      <c r="K1219">
        <f t="shared" si="130"/>
        <v>0.6095890410958904</v>
      </c>
      <c r="L1219">
        <f>A1219*COUNTIF(data!D:D,data!$I$2)/data!$L$2</f>
        <v>517.43198090692124</v>
      </c>
      <c r="M1219" s="1">
        <f>A1219/data!$L$2</f>
        <v>0.96897374701670647</v>
      </c>
      <c r="N1219">
        <f t="shared" si="131"/>
        <v>1.0320197044334976</v>
      </c>
    </row>
    <row r="1220" spans="1:14" x14ac:dyDescent="0.2">
      <c r="A1220">
        <v>1219</v>
      </c>
      <c r="B1220">
        <f>LARGE(data!F:F,A1220)</f>
        <v>0.105698575</v>
      </c>
      <c r="C1220">
        <f>COUNTIFS(data!D:D,data!$I$2,data!F:F,"&gt;="&amp;B1220)</f>
        <v>534</v>
      </c>
      <c r="D1220">
        <f>COUNTIFS(data!D:D,data!$J$2,data!F:F,"&gt;="&amp;B1220)</f>
        <v>685</v>
      </c>
      <c r="E1220">
        <f>COUNTIFS(data!D:D,data!$J$2,data!F:F,"&lt;"&amp;B1220)</f>
        <v>38</v>
      </c>
      <c r="F1220">
        <f>COUNTIFS(data!D:D,data!$I$2,data!F:F,"&lt;"&amp;B1220)</f>
        <v>0</v>
      </c>
      <c r="G1220">
        <f t="shared" si="126"/>
        <v>0.94744121715076068</v>
      </c>
      <c r="H1220">
        <f t="shared" si="127"/>
        <v>1</v>
      </c>
      <c r="I1220">
        <f t="shared" si="128"/>
        <v>1.3831258644536604E-3</v>
      </c>
      <c r="J1220">
        <f t="shared" si="129"/>
        <v>0.43806398687448728</v>
      </c>
      <c r="K1220">
        <f t="shared" si="130"/>
        <v>0.60924130062749571</v>
      </c>
      <c r="L1220">
        <f>A1220*COUNTIF(data!D:D,data!$I$2)/data!$L$2</f>
        <v>517.85680190930782</v>
      </c>
      <c r="M1220" s="1">
        <f>A1220/data!$L$2</f>
        <v>0.96976929196499606</v>
      </c>
      <c r="N1220">
        <f t="shared" si="131"/>
        <v>1.0311730926989338</v>
      </c>
    </row>
    <row r="1221" spans="1:14" x14ac:dyDescent="0.2">
      <c r="A1221">
        <v>1220</v>
      </c>
      <c r="B1221">
        <f>LARGE(data!F:F,A1221)</f>
        <v>0.1044754671</v>
      </c>
      <c r="C1221">
        <f>COUNTIFS(data!D:D,data!$I$2,data!F:F,"&gt;="&amp;B1221)</f>
        <v>534</v>
      </c>
      <c r="D1221">
        <f>COUNTIFS(data!D:D,data!$J$2,data!F:F,"&gt;="&amp;B1221)</f>
        <v>686</v>
      </c>
      <c r="E1221">
        <f>COUNTIFS(data!D:D,data!$J$2,data!F:F,"&lt;"&amp;B1221)</f>
        <v>37</v>
      </c>
      <c r="F1221">
        <f>COUNTIFS(data!D:D,data!$I$2,data!F:F,"&lt;"&amp;B1221)</f>
        <v>0</v>
      </c>
      <c r="G1221">
        <f t="shared" si="126"/>
        <v>0.94882434301521434</v>
      </c>
      <c r="H1221">
        <f t="shared" si="127"/>
        <v>1</v>
      </c>
      <c r="I1221">
        <f t="shared" si="128"/>
        <v>1.3831258644536604E-3</v>
      </c>
      <c r="J1221">
        <f t="shared" si="129"/>
        <v>0.43770491803278688</v>
      </c>
      <c r="K1221">
        <f t="shared" si="130"/>
        <v>0.60889395667046753</v>
      </c>
      <c r="L1221">
        <f>A1221*COUNTIF(data!D:D,data!$I$2)/data!$L$2</f>
        <v>518.28162291169451</v>
      </c>
      <c r="M1221" s="1">
        <f>A1221/data!$L$2</f>
        <v>0.97056483691328566</v>
      </c>
      <c r="N1221">
        <f t="shared" si="131"/>
        <v>1.0303278688524591</v>
      </c>
    </row>
    <row r="1222" spans="1:14" x14ac:dyDescent="0.2">
      <c r="A1222">
        <v>1221</v>
      </c>
      <c r="B1222">
        <f>LARGE(data!F:F,A1222)</f>
        <v>0.104452606</v>
      </c>
      <c r="C1222">
        <f>COUNTIFS(data!D:D,data!$I$2,data!F:F,"&gt;="&amp;B1222)</f>
        <v>534</v>
      </c>
      <c r="D1222">
        <f>COUNTIFS(data!D:D,data!$J$2,data!F:F,"&gt;="&amp;B1222)</f>
        <v>687</v>
      </c>
      <c r="E1222">
        <f>COUNTIFS(data!D:D,data!$J$2,data!F:F,"&lt;"&amp;B1222)</f>
        <v>36</v>
      </c>
      <c r="F1222">
        <f>COUNTIFS(data!D:D,data!$I$2,data!F:F,"&lt;"&amp;B1222)</f>
        <v>0</v>
      </c>
      <c r="G1222">
        <f t="shared" si="126"/>
        <v>0.950207468879668</v>
      </c>
      <c r="H1222">
        <f t="shared" si="127"/>
        <v>1</v>
      </c>
      <c r="I1222">
        <f t="shared" si="128"/>
        <v>1.3831258644536604E-3</v>
      </c>
      <c r="J1222">
        <f t="shared" si="129"/>
        <v>0.43734643734643736</v>
      </c>
      <c r="K1222">
        <f t="shared" si="130"/>
        <v>0.60854700854700861</v>
      </c>
      <c r="L1222">
        <f>A1222*COUNTIF(data!D:D,data!$I$2)/data!$L$2</f>
        <v>518.70644391408109</v>
      </c>
      <c r="M1222" s="1">
        <f>A1222/data!$L$2</f>
        <v>0.97136038186157514</v>
      </c>
      <c r="N1222">
        <f t="shared" si="131"/>
        <v>1.0294840294840295</v>
      </c>
    </row>
    <row r="1223" spans="1:14" x14ac:dyDescent="0.2">
      <c r="A1223">
        <v>1222</v>
      </c>
      <c r="B1223">
        <f>LARGE(data!F:F,A1223)</f>
        <v>0.10205370699999999</v>
      </c>
      <c r="C1223">
        <f>COUNTIFS(data!D:D,data!$I$2,data!F:F,"&gt;="&amp;B1223)</f>
        <v>534</v>
      </c>
      <c r="D1223">
        <f>COUNTIFS(data!D:D,data!$J$2,data!F:F,"&gt;="&amp;B1223)</f>
        <v>688</v>
      </c>
      <c r="E1223">
        <f>COUNTIFS(data!D:D,data!$J$2,data!F:F,"&lt;"&amp;B1223)</f>
        <v>35</v>
      </c>
      <c r="F1223">
        <f>COUNTIFS(data!D:D,data!$I$2,data!F:F,"&lt;"&amp;B1223)</f>
        <v>0</v>
      </c>
      <c r="G1223">
        <f t="shared" si="126"/>
        <v>0.95159059474412167</v>
      </c>
      <c r="H1223">
        <f t="shared" si="127"/>
        <v>1</v>
      </c>
      <c r="I1223">
        <f t="shared" si="128"/>
        <v>1.3831258644536604E-3</v>
      </c>
      <c r="J1223">
        <f t="shared" si="129"/>
        <v>0.4369885433715221</v>
      </c>
      <c r="K1223">
        <f t="shared" si="130"/>
        <v>0.60820045558086555</v>
      </c>
      <c r="L1223">
        <f>A1223*COUNTIF(data!D:D,data!$I$2)/data!$L$2</f>
        <v>519.13126491646779</v>
      </c>
      <c r="M1223" s="1">
        <f>A1223/data!$L$2</f>
        <v>0.97215592680986473</v>
      </c>
      <c r="N1223">
        <f t="shared" si="131"/>
        <v>1.0286415711947627</v>
      </c>
    </row>
    <row r="1224" spans="1:14" x14ac:dyDescent="0.2">
      <c r="A1224">
        <v>1223</v>
      </c>
      <c r="B1224">
        <f>LARGE(data!F:F,A1224)</f>
        <v>0.10193154</v>
      </c>
      <c r="C1224">
        <f>COUNTIFS(data!D:D,data!$I$2,data!F:F,"&gt;="&amp;B1224)</f>
        <v>534</v>
      </c>
      <c r="D1224">
        <f>COUNTIFS(data!D:D,data!$J$2,data!F:F,"&gt;="&amp;B1224)</f>
        <v>689</v>
      </c>
      <c r="E1224">
        <f>COUNTIFS(data!D:D,data!$J$2,data!F:F,"&lt;"&amp;B1224)</f>
        <v>34</v>
      </c>
      <c r="F1224">
        <f>COUNTIFS(data!D:D,data!$I$2,data!F:F,"&lt;"&amp;B1224)</f>
        <v>0</v>
      </c>
      <c r="G1224">
        <f t="shared" si="126"/>
        <v>0.95297372060857533</v>
      </c>
      <c r="H1224">
        <f t="shared" si="127"/>
        <v>1</v>
      </c>
      <c r="I1224">
        <f t="shared" si="128"/>
        <v>1.3831258644536604E-3</v>
      </c>
      <c r="J1224">
        <f t="shared" si="129"/>
        <v>0.43663123466884712</v>
      </c>
      <c r="K1224">
        <f t="shared" si="130"/>
        <v>0.60785429709732497</v>
      </c>
      <c r="L1224">
        <f>A1224*COUNTIF(data!D:D,data!$I$2)/data!$L$2</f>
        <v>519.55608591885436</v>
      </c>
      <c r="M1224" s="1">
        <f>A1224/data!$L$2</f>
        <v>0.97295147175815433</v>
      </c>
      <c r="N1224">
        <f t="shared" si="131"/>
        <v>1.0278004905968929</v>
      </c>
    </row>
    <row r="1225" spans="1:14" x14ac:dyDescent="0.2">
      <c r="A1225">
        <v>1224</v>
      </c>
      <c r="B1225">
        <f>LARGE(data!F:F,A1225)</f>
        <v>0.1018524412</v>
      </c>
      <c r="C1225">
        <f>COUNTIFS(data!D:D,data!$I$2,data!F:F,"&gt;="&amp;B1225)</f>
        <v>534</v>
      </c>
      <c r="D1225">
        <f>COUNTIFS(data!D:D,data!$J$2,data!F:F,"&gt;="&amp;B1225)</f>
        <v>690</v>
      </c>
      <c r="E1225">
        <f>COUNTIFS(data!D:D,data!$J$2,data!F:F,"&lt;"&amp;B1225)</f>
        <v>33</v>
      </c>
      <c r="F1225">
        <f>COUNTIFS(data!D:D,data!$I$2,data!F:F,"&lt;"&amp;B1225)</f>
        <v>0</v>
      </c>
      <c r="G1225">
        <f t="shared" si="126"/>
        <v>0.9543568464730291</v>
      </c>
      <c r="H1225">
        <f t="shared" si="127"/>
        <v>1</v>
      </c>
      <c r="I1225">
        <f t="shared" si="128"/>
        <v>1.3831258644537714E-3</v>
      </c>
      <c r="J1225">
        <f t="shared" si="129"/>
        <v>0.43627450980392157</v>
      </c>
      <c r="K1225">
        <f t="shared" si="130"/>
        <v>0.60750853242320824</v>
      </c>
      <c r="L1225">
        <f>A1225*COUNTIF(data!D:D,data!$I$2)/data!$L$2</f>
        <v>519.98090692124106</v>
      </c>
      <c r="M1225" s="1">
        <f>A1225/data!$L$2</f>
        <v>0.97374701670644392</v>
      </c>
      <c r="N1225">
        <f t="shared" si="131"/>
        <v>1.0269607843137254</v>
      </c>
    </row>
    <row r="1226" spans="1:14" x14ac:dyDescent="0.2">
      <c r="A1226">
        <v>1225</v>
      </c>
      <c r="B1226">
        <f>LARGE(data!F:F,A1226)</f>
        <v>0.1016743574</v>
      </c>
      <c r="C1226">
        <f>COUNTIFS(data!D:D,data!$I$2,data!F:F,"&gt;="&amp;B1226)</f>
        <v>534</v>
      </c>
      <c r="D1226">
        <f>COUNTIFS(data!D:D,data!$J$2,data!F:F,"&gt;="&amp;B1226)</f>
        <v>691</v>
      </c>
      <c r="E1226">
        <f>COUNTIFS(data!D:D,data!$J$2,data!F:F,"&lt;"&amp;B1226)</f>
        <v>32</v>
      </c>
      <c r="F1226">
        <f>COUNTIFS(data!D:D,data!$I$2,data!F:F,"&lt;"&amp;B1226)</f>
        <v>0</v>
      </c>
      <c r="G1226">
        <f t="shared" si="126"/>
        <v>0.95573997233748276</v>
      </c>
      <c r="H1226">
        <f t="shared" si="127"/>
        <v>1</v>
      </c>
      <c r="I1226">
        <f t="shared" si="128"/>
        <v>1.3831258644536604E-3</v>
      </c>
      <c r="J1226">
        <f t="shared" si="129"/>
        <v>0.43591836734693878</v>
      </c>
      <c r="K1226">
        <f t="shared" si="130"/>
        <v>0.60716316088686761</v>
      </c>
      <c r="L1226">
        <f>A1226*COUNTIF(data!D:D,data!$I$2)/data!$L$2</f>
        <v>520.40572792362764</v>
      </c>
      <c r="M1226" s="1">
        <f>A1226/data!$L$2</f>
        <v>0.97454256165473352</v>
      </c>
      <c r="N1226">
        <f t="shared" si="131"/>
        <v>1.0261224489795919</v>
      </c>
    </row>
    <row r="1227" spans="1:14" x14ac:dyDescent="0.2">
      <c r="A1227">
        <v>1226</v>
      </c>
      <c r="B1227">
        <f>LARGE(data!F:F,A1227)</f>
        <v>0.1003757612</v>
      </c>
      <c r="C1227">
        <f>COUNTIFS(data!D:D,data!$I$2,data!F:F,"&gt;="&amp;B1227)</f>
        <v>534</v>
      </c>
      <c r="D1227">
        <f>COUNTIFS(data!D:D,data!$J$2,data!F:F,"&gt;="&amp;B1227)</f>
        <v>692</v>
      </c>
      <c r="E1227">
        <f>COUNTIFS(data!D:D,data!$J$2,data!F:F,"&lt;"&amp;B1227)</f>
        <v>31</v>
      </c>
      <c r="F1227">
        <f>COUNTIFS(data!D:D,data!$I$2,data!F:F,"&lt;"&amp;B1227)</f>
        <v>0</v>
      </c>
      <c r="G1227">
        <f t="shared" si="126"/>
        <v>0.95712309820193642</v>
      </c>
      <c r="H1227">
        <f t="shared" si="127"/>
        <v>1</v>
      </c>
      <c r="I1227">
        <f t="shared" si="128"/>
        <v>1.3831258644536604E-3</v>
      </c>
      <c r="J1227">
        <f t="shared" si="129"/>
        <v>0.43556280587275692</v>
      </c>
      <c r="K1227">
        <f t="shared" si="130"/>
        <v>0.60681818181818181</v>
      </c>
      <c r="L1227">
        <f>A1227*COUNTIF(data!D:D,data!$I$2)/data!$L$2</f>
        <v>520.83054892601433</v>
      </c>
      <c r="M1227" s="1">
        <f>A1227/data!$L$2</f>
        <v>0.97533810660302311</v>
      </c>
      <c r="N1227">
        <f t="shared" si="131"/>
        <v>1.0252854812398042</v>
      </c>
    </row>
    <row r="1228" spans="1:14" x14ac:dyDescent="0.2">
      <c r="A1228">
        <v>1227</v>
      </c>
      <c r="B1228">
        <f>LARGE(data!F:F,A1228)</f>
        <v>0.1001738185</v>
      </c>
      <c r="C1228">
        <f>COUNTIFS(data!D:D,data!$I$2,data!F:F,"&gt;="&amp;B1228)</f>
        <v>534</v>
      </c>
      <c r="D1228">
        <f>COUNTIFS(data!D:D,data!$J$2,data!F:F,"&gt;="&amp;B1228)</f>
        <v>693</v>
      </c>
      <c r="E1228">
        <f>COUNTIFS(data!D:D,data!$J$2,data!F:F,"&lt;"&amp;B1228)</f>
        <v>30</v>
      </c>
      <c r="F1228">
        <f>COUNTIFS(data!D:D,data!$I$2,data!F:F,"&lt;"&amp;B1228)</f>
        <v>0</v>
      </c>
      <c r="G1228">
        <f t="shared" si="126"/>
        <v>0.95850622406639008</v>
      </c>
      <c r="H1228">
        <f t="shared" si="127"/>
        <v>1</v>
      </c>
      <c r="I1228">
        <f t="shared" si="128"/>
        <v>1.3831258644536604E-3</v>
      </c>
      <c r="J1228">
        <f t="shared" si="129"/>
        <v>0.4352078239608802</v>
      </c>
      <c r="K1228">
        <f t="shared" si="130"/>
        <v>0.60647359454855199</v>
      </c>
      <c r="L1228">
        <f>A1228*COUNTIF(data!D:D,data!$I$2)/data!$L$2</f>
        <v>521.25536992840091</v>
      </c>
      <c r="M1228" s="1">
        <f>A1228/data!$L$2</f>
        <v>0.9761336515513126</v>
      </c>
      <c r="N1228">
        <f t="shared" si="131"/>
        <v>1.0244498777506112</v>
      </c>
    </row>
    <row r="1229" spans="1:14" x14ac:dyDescent="0.2">
      <c r="A1229">
        <v>1228</v>
      </c>
      <c r="B1229">
        <f>LARGE(data!F:F,A1229)</f>
        <v>9.9655630800000006E-2</v>
      </c>
      <c r="C1229">
        <f>COUNTIFS(data!D:D,data!$I$2,data!F:F,"&gt;="&amp;B1229)</f>
        <v>534</v>
      </c>
      <c r="D1229">
        <f>COUNTIFS(data!D:D,data!$J$2,data!F:F,"&gt;="&amp;B1229)</f>
        <v>694</v>
      </c>
      <c r="E1229">
        <f>COUNTIFS(data!D:D,data!$J$2,data!F:F,"&lt;"&amp;B1229)</f>
        <v>29</v>
      </c>
      <c r="F1229">
        <f>COUNTIFS(data!D:D,data!$I$2,data!F:F,"&lt;"&amp;B1229)</f>
        <v>0</v>
      </c>
      <c r="G1229">
        <f t="shared" si="126"/>
        <v>0.95988934993084374</v>
      </c>
      <c r="H1229">
        <f t="shared" si="127"/>
        <v>1</v>
      </c>
      <c r="I1229">
        <f t="shared" si="128"/>
        <v>1.3831258644536604E-3</v>
      </c>
      <c r="J1229">
        <f t="shared" si="129"/>
        <v>0.43485342019543977</v>
      </c>
      <c r="K1229">
        <f t="shared" si="130"/>
        <v>0.60612939841089675</v>
      </c>
      <c r="L1229">
        <f>A1229*COUNTIF(data!D:D,data!$I$2)/data!$L$2</f>
        <v>521.6801909307876</v>
      </c>
      <c r="M1229" s="1">
        <f>A1229/data!$L$2</f>
        <v>0.97692919649960219</v>
      </c>
      <c r="N1229">
        <f t="shared" si="131"/>
        <v>1.023615635179153</v>
      </c>
    </row>
    <row r="1230" spans="1:14" x14ac:dyDescent="0.2">
      <c r="A1230">
        <v>1229</v>
      </c>
      <c r="B1230">
        <f>LARGE(data!F:F,A1230)</f>
        <v>9.9490548700000001E-2</v>
      </c>
      <c r="C1230">
        <f>COUNTIFS(data!D:D,data!$I$2,data!F:F,"&gt;="&amp;B1230)</f>
        <v>534</v>
      </c>
      <c r="D1230">
        <f>COUNTIFS(data!D:D,data!$J$2,data!F:F,"&gt;="&amp;B1230)</f>
        <v>695</v>
      </c>
      <c r="E1230">
        <f>COUNTIFS(data!D:D,data!$J$2,data!F:F,"&lt;"&amp;B1230)</f>
        <v>28</v>
      </c>
      <c r="F1230">
        <f>COUNTIFS(data!D:D,data!$I$2,data!F:F,"&lt;"&amp;B1230)</f>
        <v>0</v>
      </c>
      <c r="G1230">
        <f t="shared" si="126"/>
        <v>0.9612724757952974</v>
      </c>
      <c r="H1230">
        <f t="shared" si="127"/>
        <v>1</v>
      </c>
      <c r="I1230">
        <f t="shared" si="128"/>
        <v>1.3831258644536604E-3</v>
      </c>
      <c r="J1230">
        <f t="shared" si="129"/>
        <v>0.43449959316517495</v>
      </c>
      <c r="K1230">
        <f t="shared" si="130"/>
        <v>0.60578559273964838</v>
      </c>
      <c r="L1230">
        <f>A1230*COUNTIF(data!D:D,data!$I$2)/data!$L$2</f>
        <v>522.10501193317418</v>
      </c>
      <c r="M1230" s="1">
        <f>A1230/data!$L$2</f>
        <v>0.97772474144789179</v>
      </c>
      <c r="N1230">
        <f t="shared" si="131"/>
        <v>1.0227827502034175</v>
      </c>
    </row>
    <row r="1231" spans="1:14" x14ac:dyDescent="0.2">
      <c r="A1231">
        <v>1230</v>
      </c>
      <c r="B1231">
        <f>LARGE(data!F:F,A1231)</f>
        <v>9.9346102000000006E-2</v>
      </c>
      <c r="C1231">
        <f>COUNTIFS(data!D:D,data!$I$2,data!F:F,"&gt;="&amp;B1231)</f>
        <v>534</v>
      </c>
      <c r="D1231">
        <f>COUNTIFS(data!D:D,data!$J$2,data!F:F,"&gt;="&amp;B1231)</f>
        <v>696</v>
      </c>
      <c r="E1231">
        <f>COUNTIFS(data!D:D,data!$J$2,data!F:F,"&lt;"&amp;B1231)</f>
        <v>27</v>
      </c>
      <c r="F1231">
        <f>COUNTIFS(data!D:D,data!$I$2,data!F:F,"&lt;"&amp;B1231)</f>
        <v>0</v>
      </c>
      <c r="G1231">
        <f t="shared" si="126"/>
        <v>0.96265560165975106</v>
      </c>
      <c r="H1231">
        <f t="shared" si="127"/>
        <v>1</v>
      </c>
      <c r="I1231">
        <f t="shared" si="128"/>
        <v>1.3831258644536604E-3</v>
      </c>
      <c r="J1231">
        <f t="shared" si="129"/>
        <v>0.43414634146341463</v>
      </c>
      <c r="K1231">
        <f t="shared" si="130"/>
        <v>0.60544217687074831</v>
      </c>
      <c r="L1231">
        <f>A1231*COUNTIF(data!D:D,data!$I$2)/data!$L$2</f>
        <v>522.52983293556088</v>
      </c>
      <c r="M1231" s="1">
        <f>A1231/data!$L$2</f>
        <v>0.97852028639618138</v>
      </c>
      <c r="N1231">
        <f t="shared" si="131"/>
        <v>1.0219512195121951</v>
      </c>
    </row>
    <row r="1232" spans="1:14" x14ac:dyDescent="0.2">
      <c r="A1232">
        <v>1231</v>
      </c>
      <c r="B1232">
        <f>LARGE(data!F:F,A1232)</f>
        <v>9.9103250200000007E-2</v>
      </c>
      <c r="C1232">
        <f>COUNTIFS(data!D:D,data!$I$2,data!F:F,"&gt;="&amp;B1232)</f>
        <v>534</v>
      </c>
      <c r="D1232">
        <f>COUNTIFS(data!D:D,data!$J$2,data!F:F,"&gt;="&amp;B1232)</f>
        <v>697</v>
      </c>
      <c r="E1232">
        <f>COUNTIFS(data!D:D,data!$J$2,data!F:F,"&lt;"&amp;B1232)</f>
        <v>26</v>
      </c>
      <c r="F1232">
        <f>COUNTIFS(data!D:D,data!$I$2,data!F:F,"&lt;"&amp;B1232)</f>
        <v>0</v>
      </c>
      <c r="G1232">
        <f t="shared" si="126"/>
        <v>0.96403872752420472</v>
      </c>
      <c r="H1232">
        <f t="shared" si="127"/>
        <v>1</v>
      </c>
      <c r="I1232">
        <f t="shared" si="128"/>
        <v>1.3831258644536604E-3</v>
      </c>
      <c r="J1232">
        <f t="shared" si="129"/>
        <v>0.4337936636880585</v>
      </c>
      <c r="K1232">
        <f t="shared" si="130"/>
        <v>0.60509915014164306</v>
      </c>
      <c r="L1232">
        <f>A1232*COUNTIF(data!D:D,data!$I$2)/data!$L$2</f>
        <v>522.95465393794746</v>
      </c>
      <c r="M1232" s="1">
        <f>A1232/data!$L$2</f>
        <v>0.97931583134447098</v>
      </c>
      <c r="N1232">
        <f t="shared" si="131"/>
        <v>1.0211210398050365</v>
      </c>
    </row>
    <row r="1233" spans="1:14" x14ac:dyDescent="0.2">
      <c r="A1233">
        <v>1232</v>
      </c>
      <c r="B1233">
        <f>LARGE(data!F:F,A1233)</f>
        <v>9.8488729799999994E-2</v>
      </c>
      <c r="C1233">
        <f>COUNTIFS(data!D:D,data!$I$2,data!F:F,"&gt;="&amp;B1233)</f>
        <v>534</v>
      </c>
      <c r="D1233">
        <f>COUNTIFS(data!D:D,data!$J$2,data!F:F,"&gt;="&amp;B1233)</f>
        <v>698</v>
      </c>
      <c r="E1233">
        <f>COUNTIFS(data!D:D,data!$J$2,data!F:F,"&lt;"&amp;B1233)</f>
        <v>25</v>
      </c>
      <c r="F1233">
        <f>COUNTIFS(data!D:D,data!$I$2,data!F:F,"&lt;"&amp;B1233)</f>
        <v>0</v>
      </c>
      <c r="G1233">
        <f t="shared" si="126"/>
        <v>0.96542185338865838</v>
      </c>
      <c r="H1233">
        <f t="shared" si="127"/>
        <v>1</v>
      </c>
      <c r="I1233">
        <f t="shared" si="128"/>
        <v>1.3831258644536604E-3</v>
      </c>
      <c r="J1233">
        <f t="shared" si="129"/>
        <v>0.43344155844155846</v>
      </c>
      <c r="K1233">
        <f t="shared" si="130"/>
        <v>0.60475651189127977</v>
      </c>
      <c r="L1233">
        <f>A1233*COUNTIF(data!D:D,data!$I$2)/data!$L$2</f>
        <v>523.37947494033415</v>
      </c>
      <c r="M1233" s="1">
        <f>A1233/data!$L$2</f>
        <v>0.98011137629276057</v>
      </c>
      <c r="N1233">
        <f t="shared" si="131"/>
        <v>1.0202922077922079</v>
      </c>
    </row>
    <row r="1234" spans="1:14" x14ac:dyDescent="0.2">
      <c r="A1234">
        <v>1233</v>
      </c>
      <c r="B1234">
        <f>LARGE(data!F:F,A1234)</f>
        <v>9.8283412700000003E-2</v>
      </c>
      <c r="C1234">
        <f>COUNTIFS(data!D:D,data!$I$2,data!F:F,"&gt;="&amp;B1234)</f>
        <v>534</v>
      </c>
      <c r="D1234">
        <f>COUNTIFS(data!D:D,data!$J$2,data!F:F,"&gt;="&amp;B1234)</f>
        <v>699</v>
      </c>
      <c r="E1234">
        <f>COUNTIFS(data!D:D,data!$J$2,data!F:F,"&lt;"&amp;B1234)</f>
        <v>24</v>
      </c>
      <c r="F1234">
        <f>COUNTIFS(data!D:D,data!$I$2,data!F:F,"&lt;"&amp;B1234)</f>
        <v>0</v>
      </c>
      <c r="G1234">
        <f t="shared" si="126"/>
        <v>0.96680497925311204</v>
      </c>
      <c r="H1234">
        <f t="shared" si="127"/>
        <v>1</v>
      </c>
      <c r="I1234">
        <f t="shared" si="128"/>
        <v>1.3831258644536604E-3</v>
      </c>
      <c r="J1234">
        <f t="shared" si="129"/>
        <v>0.43309002433090027</v>
      </c>
      <c r="K1234">
        <f t="shared" si="130"/>
        <v>0.6044142614601018</v>
      </c>
      <c r="L1234">
        <f>A1234*COUNTIF(data!D:D,data!$I$2)/data!$L$2</f>
        <v>523.80429594272073</v>
      </c>
      <c r="M1234" s="1">
        <f>A1234/data!$L$2</f>
        <v>0.98090692124105017</v>
      </c>
      <c r="N1234">
        <f t="shared" si="131"/>
        <v>1.0194647201946472</v>
      </c>
    </row>
    <row r="1235" spans="1:14" x14ac:dyDescent="0.2">
      <c r="A1235">
        <v>1234</v>
      </c>
      <c r="B1235">
        <f>LARGE(data!F:F,A1235)</f>
        <v>9.7897469400000006E-2</v>
      </c>
      <c r="C1235">
        <f>COUNTIFS(data!D:D,data!$I$2,data!F:F,"&gt;="&amp;B1235)</f>
        <v>534</v>
      </c>
      <c r="D1235">
        <f>COUNTIFS(data!D:D,data!$J$2,data!F:F,"&gt;="&amp;B1235)</f>
        <v>700</v>
      </c>
      <c r="E1235">
        <f>COUNTIFS(data!D:D,data!$J$2,data!F:F,"&lt;"&amp;B1235)</f>
        <v>23</v>
      </c>
      <c r="F1235">
        <f>COUNTIFS(data!D:D,data!$I$2,data!F:F,"&lt;"&amp;B1235)</f>
        <v>0</v>
      </c>
      <c r="G1235">
        <f t="shared" si="126"/>
        <v>0.9681881051175657</v>
      </c>
      <c r="H1235">
        <f t="shared" si="127"/>
        <v>1</v>
      </c>
      <c r="I1235">
        <f t="shared" si="128"/>
        <v>1.3831258644536604E-3</v>
      </c>
      <c r="J1235">
        <f t="shared" si="129"/>
        <v>0.4327390599675851</v>
      </c>
      <c r="K1235">
        <f t="shared" si="130"/>
        <v>0.60407239819004521</v>
      </c>
      <c r="L1235">
        <f>A1235*COUNTIF(data!D:D,data!$I$2)/data!$L$2</f>
        <v>524.22911694510742</v>
      </c>
      <c r="M1235" s="1">
        <f>A1235/data!$L$2</f>
        <v>0.98170246618933965</v>
      </c>
      <c r="N1235">
        <f t="shared" si="131"/>
        <v>1.0186385737439221</v>
      </c>
    </row>
    <row r="1236" spans="1:14" x14ac:dyDescent="0.2">
      <c r="A1236">
        <v>1235</v>
      </c>
      <c r="B1236">
        <f>LARGE(data!F:F,A1236)</f>
        <v>9.6759289700000001E-2</v>
      </c>
      <c r="C1236">
        <f>COUNTIFS(data!D:D,data!$I$2,data!F:F,"&gt;="&amp;B1236)</f>
        <v>534</v>
      </c>
      <c r="D1236">
        <f>COUNTIFS(data!D:D,data!$J$2,data!F:F,"&gt;="&amp;B1236)</f>
        <v>701</v>
      </c>
      <c r="E1236">
        <f>COUNTIFS(data!D:D,data!$J$2,data!F:F,"&lt;"&amp;B1236)</f>
        <v>22</v>
      </c>
      <c r="F1236">
        <f>COUNTIFS(data!D:D,data!$I$2,data!F:F,"&lt;"&amp;B1236)</f>
        <v>0</v>
      </c>
      <c r="G1236">
        <f t="shared" si="126"/>
        <v>0.96957123098201936</v>
      </c>
      <c r="H1236">
        <f t="shared" si="127"/>
        <v>1</v>
      </c>
      <c r="I1236">
        <f t="shared" si="128"/>
        <v>1.3831258644536604E-3</v>
      </c>
      <c r="J1236">
        <f t="shared" si="129"/>
        <v>0.43238866396761133</v>
      </c>
      <c r="K1236">
        <f t="shared" si="130"/>
        <v>0.60373092142453366</v>
      </c>
      <c r="L1236">
        <f>A1236*COUNTIF(data!D:D,data!$I$2)/data!$L$2</f>
        <v>524.653937947494</v>
      </c>
      <c r="M1236" s="1">
        <f>A1236/data!$L$2</f>
        <v>0.98249801113762925</v>
      </c>
      <c r="N1236">
        <f t="shared" si="131"/>
        <v>1.0178137651821864</v>
      </c>
    </row>
    <row r="1237" spans="1:14" x14ac:dyDescent="0.2">
      <c r="A1237">
        <v>1236</v>
      </c>
      <c r="B1237">
        <f>LARGE(data!F:F,A1237)</f>
        <v>9.6628452099999998E-2</v>
      </c>
      <c r="C1237">
        <f>COUNTIFS(data!D:D,data!$I$2,data!F:F,"&gt;="&amp;B1237)</f>
        <v>534</v>
      </c>
      <c r="D1237">
        <f>COUNTIFS(data!D:D,data!$J$2,data!F:F,"&gt;="&amp;B1237)</f>
        <v>702</v>
      </c>
      <c r="E1237">
        <f>COUNTIFS(data!D:D,data!$J$2,data!F:F,"&lt;"&amp;B1237)</f>
        <v>21</v>
      </c>
      <c r="F1237">
        <f>COUNTIFS(data!D:D,data!$I$2,data!F:F,"&lt;"&amp;B1237)</f>
        <v>0</v>
      </c>
      <c r="G1237">
        <f t="shared" si="126"/>
        <v>0.97095435684647302</v>
      </c>
      <c r="H1237">
        <f t="shared" si="127"/>
        <v>1</v>
      </c>
      <c r="I1237">
        <f t="shared" si="128"/>
        <v>1.3831258644536604E-3</v>
      </c>
      <c r="J1237">
        <f t="shared" si="129"/>
        <v>0.43203883495145629</v>
      </c>
      <c r="K1237">
        <f t="shared" si="130"/>
        <v>0.6033898305084745</v>
      </c>
      <c r="L1237">
        <f>A1237*COUNTIF(data!D:D,data!$I$2)/data!$L$2</f>
        <v>525.07875894988069</v>
      </c>
      <c r="M1237" s="1">
        <f>A1237/data!$L$2</f>
        <v>0.98329355608591884</v>
      </c>
      <c r="N1237">
        <f t="shared" si="131"/>
        <v>1.0169902912621358</v>
      </c>
    </row>
    <row r="1238" spans="1:14" x14ac:dyDescent="0.2">
      <c r="A1238">
        <v>1237</v>
      </c>
      <c r="B1238">
        <f>LARGE(data!F:F,A1238)</f>
        <v>9.63139888E-2</v>
      </c>
      <c r="C1238">
        <f>COUNTIFS(data!D:D,data!$I$2,data!F:F,"&gt;="&amp;B1238)</f>
        <v>534</v>
      </c>
      <c r="D1238">
        <f>COUNTIFS(data!D:D,data!$J$2,data!F:F,"&gt;="&amp;B1238)</f>
        <v>703</v>
      </c>
      <c r="E1238">
        <f>COUNTIFS(data!D:D,data!$J$2,data!F:F,"&lt;"&amp;B1238)</f>
        <v>20</v>
      </c>
      <c r="F1238">
        <f>COUNTIFS(data!D:D,data!$I$2,data!F:F,"&lt;"&amp;B1238)</f>
        <v>0</v>
      </c>
      <c r="G1238">
        <f t="shared" si="126"/>
        <v>0.97233748271092668</v>
      </c>
      <c r="H1238">
        <f t="shared" si="127"/>
        <v>1</v>
      </c>
      <c r="I1238">
        <f t="shared" si="128"/>
        <v>1.3831258644536604E-3</v>
      </c>
      <c r="J1238">
        <f t="shared" si="129"/>
        <v>0.43168957154405818</v>
      </c>
      <c r="K1238">
        <f t="shared" si="130"/>
        <v>0.60304912478825512</v>
      </c>
      <c r="L1238">
        <f>A1238*COUNTIF(data!D:D,data!$I$2)/data!$L$2</f>
        <v>525.50357995226727</v>
      </c>
      <c r="M1238" s="1">
        <f>A1238/data!$L$2</f>
        <v>0.98408910103420844</v>
      </c>
      <c r="N1238">
        <f t="shared" si="131"/>
        <v>1.0161681487469685</v>
      </c>
    </row>
    <row r="1239" spans="1:14" x14ac:dyDescent="0.2">
      <c r="A1239">
        <v>1238</v>
      </c>
      <c r="B1239">
        <f>LARGE(data!F:F,A1239)</f>
        <v>9.6294673299999994E-2</v>
      </c>
      <c r="C1239">
        <f>COUNTIFS(data!D:D,data!$I$2,data!F:F,"&gt;="&amp;B1239)</f>
        <v>534</v>
      </c>
      <c r="D1239">
        <f>COUNTIFS(data!D:D,data!$J$2,data!F:F,"&gt;="&amp;B1239)</f>
        <v>704</v>
      </c>
      <c r="E1239">
        <f>COUNTIFS(data!D:D,data!$J$2,data!F:F,"&lt;"&amp;B1239)</f>
        <v>19</v>
      </c>
      <c r="F1239">
        <f>COUNTIFS(data!D:D,data!$I$2,data!F:F,"&lt;"&amp;B1239)</f>
        <v>0</v>
      </c>
      <c r="G1239">
        <f t="shared" si="126"/>
        <v>0.97372060857538034</v>
      </c>
      <c r="H1239">
        <f t="shared" si="127"/>
        <v>1</v>
      </c>
      <c r="I1239">
        <f t="shared" si="128"/>
        <v>1.3831258644536604E-3</v>
      </c>
      <c r="J1239">
        <f t="shared" si="129"/>
        <v>0.43134087237479807</v>
      </c>
      <c r="K1239">
        <f t="shared" si="130"/>
        <v>0.60270880361173818</v>
      </c>
      <c r="L1239">
        <f>A1239*COUNTIF(data!D:D,data!$I$2)/data!$L$2</f>
        <v>525.92840095465397</v>
      </c>
      <c r="M1239" s="1">
        <f>A1239/data!$L$2</f>
        <v>0.98488464598249803</v>
      </c>
      <c r="N1239">
        <f t="shared" si="131"/>
        <v>1.0153473344103392</v>
      </c>
    </row>
    <row r="1240" spans="1:14" x14ac:dyDescent="0.2">
      <c r="A1240">
        <v>1239</v>
      </c>
      <c r="B1240">
        <f>LARGE(data!F:F,A1240)</f>
        <v>9.6004488299999996E-2</v>
      </c>
      <c r="C1240">
        <f>COUNTIFS(data!D:D,data!$I$2,data!F:F,"&gt;="&amp;B1240)</f>
        <v>534</v>
      </c>
      <c r="D1240">
        <f>COUNTIFS(data!D:D,data!$J$2,data!F:F,"&gt;="&amp;B1240)</f>
        <v>705</v>
      </c>
      <c r="E1240">
        <f>COUNTIFS(data!D:D,data!$J$2,data!F:F,"&lt;"&amp;B1240)</f>
        <v>18</v>
      </c>
      <c r="F1240">
        <f>COUNTIFS(data!D:D,data!$I$2,data!F:F,"&lt;"&amp;B1240)</f>
        <v>0</v>
      </c>
      <c r="G1240">
        <f t="shared" si="126"/>
        <v>0.975103734439834</v>
      </c>
      <c r="H1240">
        <f t="shared" si="127"/>
        <v>1</v>
      </c>
      <c r="I1240">
        <f t="shared" si="128"/>
        <v>1.3831258644536604E-3</v>
      </c>
      <c r="J1240">
        <f t="shared" si="129"/>
        <v>0.43099273607748184</v>
      </c>
      <c r="K1240">
        <f t="shared" si="130"/>
        <v>0.60236886632825715</v>
      </c>
      <c r="L1240">
        <f>A1240*COUNTIF(data!D:D,data!$I$2)/data!$L$2</f>
        <v>526.35322195704055</v>
      </c>
      <c r="M1240" s="1">
        <f>A1240/data!$L$2</f>
        <v>0.98568019093078763</v>
      </c>
      <c r="N1240">
        <f t="shared" si="131"/>
        <v>1.0145278450363198</v>
      </c>
    </row>
    <row r="1241" spans="1:14" x14ac:dyDescent="0.2">
      <c r="A1241">
        <v>1240</v>
      </c>
      <c r="B1241">
        <f>LARGE(data!F:F,A1241)</f>
        <v>9.5983547700000005E-2</v>
      </c>
      <c r="C1241">
        <f>COUNTIFS(data!D:D,data!$I$2,data!F:F,"&gt;="&amp;B1241)</f>
        <v>534</v>
      </c>
      <c r="D1241">
        <f>COUNTIFS(data!D:D,data!$J$2,data!F:F,"&gt;="&amp;B1241)</f>
        <v>706</v>
      </c>
      <c r="E1241">
        <f>COUNTIFS(data!D:D,data!$J$2,data!F:F,"&lt;"&amp;B1241)</f>
        <v>17</v>
      </c>
      <c r="F1241">
        <f>COUNTIFS(data!D:D,data!$I$2,data!F:F,"&lt;"&amp;B1241)</f>
        <v>0</v>
      </c>
      <c r="G1241">
        <f t="shared" si="126"/>
        <v>0.97648686030428766</v>
      </c>
      <c r="H1241">
        <f t="shared" si="127"/>
        <v>1</v>
      </c>
      <c r="I1241">
        <f t="shared" si="128"/>
        <v>1.3831258644536604E-3</v>
      </c>
      <c r="J1241">
        <f t="shared" si="129"/>
        <v>0.4306451612903226</v>
      </c>
      <c r="K1241">
        <f t="shared" si="130"/>
        <v>0.60202931228861334</v>
      </c>
      <c r="L1241">
        <f>A1241*COUNTIF(data!D:D,data!$I$2)/data!$L$2</f>
        <v>526.77804295942724</v>
      </c>
      <c r="M1241" s="1">
        <f>A1241/data!$L$2</f>
        <v>0.98647573587907722</v>
      </c>
      <c r="N1241">
        <f t="shared" si="131"/>
        <v>1.0137096774193548</v>
      </c>
    </row>
    <row r="1242" spans="1:14" x14ac:dyDescent="0.2">
      <c r="A1242">
        <v>1241</v>
      </c>
      <c r="B1242">
        <f>LARGE(data!F:F,A1242)</f>
        <v>9.5251103599999998E-2</v>
      </c>
      <c r="C1242">
        <f>COUNTIFS(data!D:D,data!$I$2,data!F:F,"&gt;="&amp;B1242)</f>
        <v>534</v>
      </c>
      <c r="D1242">
        <f>COUNTIFS(data!D:D,data!$J$2,data!F:F,"&gt;="&amp;B1242)</f>
        <v>707</v>
      </c>
      <c r="E1242">
        <f>COUNTIFS(data!D:D,data!$J$2,data!F:F,"&lt;"&amp;B1242)</f>
        <v>16</v>
      </c>
      <c r="F1242">
        <f>COUNTIFS(data!D:D,data!$I$2,data!F:F,"&lt;"&amp;B1242)</f>
        <v>0</v>
      </c>
      <c r="G1242">
        <f t="shared" si="126"/>
        <v>0.97786998616874132</v>
      </c>
      <c r="H1242">
        <f t="shared" si="127"/>
        <v>1</v>
      </c>
      <c r="I1242">
        <f t="shared" si="128"/>
        <v>1.3831258644536604E-3</v>
      </c>
      <c r="J1242">
        <f t="shared" si="129"/>
        <v>0.43029814665592264</v>
      </c>
      <c r="K1242">
        <f t="shared" si="130"/>
        <v>0.60169014084507044</v>
      </c>
      <c r="L1242">
        <f>A1242*COUNTIF(data!D:D,data!$I$2)/data!$L$2</f>
        <v>527.20286396181382</v>
      </c>
      <c r="M1242" s="1">
        <f>A1242/data!$L$2</f>
        <v>0.9872712808273667</v>
      </c>
      <c r="N1242">
        <f t="shared" si="131"/>
        <v>1.0128928283642225</v>
      </c>
    </row>
    <row r="1243" spans="1:14" x14ac:dyDescent="0.2">
      <c r="A1243">
        <v>1242</v>
      </c>
      <c r="B1243">
        <f>LARGE(data!F:F,A1243)</f>
        <v>9.5012212400000004E-2</v>
      </c>
      <c r="C1243">
        <f>COUNTIFS(data!D:D,data!$I$2,data!F:F,"&gt;="&amp;B1243)</f>
        <v>534</v>
      </c>
      <c r="D1243">
        <f>COUNTIFS(data!D:D,data!$J$2,data!F:F,"&gt;="&amp;B1243)</f>
        <v>708</v>
      </c>
      <c r="E1243">
        <f>COUNTIFS(data!D:D,data!$J$2,data!F:F,"&lt;"&amp;B1243)</f>
        <v>15</v>
      </c>
      <c r="F1243">
        <f>COUNTIFS(data!D:D,data!$I$2,data!F:F,"&lt;"&amp;B1243)</f>
        <v>0</v>
      </c>
      <c r="G1243">
        <f t="shared" ref="G1243:G1258" si="132">D1243/(E1243+D1243)</f>
        <v>0.97925311203319498</v>
      </c>
      <c r="H1243">
        <f t="shared" ref="H1243:H1258" si="133">C1243/(C1243+F1243)</f>
        <v>1</v>
      </c>
      <c r="I1243">
        <f t="shared" ref="I1243:I1258" si="134">(G1243-G1242)*(H1243+H1242)*0.5</f>
        <v>1.3831258644536604E-3</v>
      </c>
      <c r="J1243">
        <f t="shared" ref="J1243:J1258" si="135">C1243/(C1243+D1243)</f>
        <v>0.42995169082125606</v>
      </c>
      <c r="K1243">
        <f t="shared" ref="K1243:K1258" si="136">2*J1243*H1243/(J1243+H1243)</f>
        <v>0.60135135135135132</v>
      </c>
      <c r="L1243">
        <f>A1243*COUNTIF(data!D:D,data!$I$2)/data!$L$2</f>
        <v>527.62768496420051</v>
      </c>
      <c r="M1243" s="1">
        <f>A1243/data!$L$2</f>
        <v>0.9880668257756563</v>
      </c>
      <c r="N1243">
        <f t="shared" ref="N1243:N1258" si="137">C1243/L1243</f>
        <v>1.0120772946859902</v>
      </c>
    </row>
    <row r="1244" spans="1:14" x14ac:dyDescent="0.2">
      <c r="A1244">
        <v>1243</v>
      </c>
      <c r="B1244">
        <f>LARGE(data!F:F,A1244)</f>
        <v>9.4841450499999994E-2</v>
      </c>
      <c r="C1244">
        <f>COUNTIFS(data!D:D,data!$I$2,data!F:F,"&gt;="&amp;B1244)</f>
        <v>534</v>
      </c>
      <c r="D1244">
        <f>COUNTIFS(data!D:D,data!$J$2,data!F:F,"&gt;="&amp;B1244)</f>
        <v>709</v>
      </c>
      <c r="E1244">
        <f>COUNTIFS(data!D:D,data!$J$2,data!F:F,"&lt;"&amp;B1244)</f>
        <v>14</v>
      </c>
      <c r="F1244">
        <f>COUNTIFS(data!D:D,data!$I$2,data!F:F,"&lt;"&amp;B1244)</f>
        <v>0</v>
      </c>
      <c r="G1244">
        <f t="shared" si="132"/>
        <v>0.98063623789764864</v>
      </c>
      <c r="H1244">
        <f t="shared" si="133"/>
        <v>1</v>
      </c>
      <c r="I1244">
        <f t="shared" si="134"/>
        <v>1.3831258644536604E-3</v>
      </c>
      <c r="J1244">
        <f t="shared" si="135"/>
        <v>0.42960579243765085</v>
      </c>
      <c r="K1244">
        <f t="shared" si="136"/>
        <v>0.60101294316263365</v>
      </c>
      <c r="L1244">
        <f>A1244*COUNTIF(data!D:D,data!$I$2)/data!$L$2</f>
        <v>528.05250596658709</v>
      </c>
      <c r="M1244" s="1">
        <f>A1244/data!$L$2</f>
        <v>0.98886237072394589</v>
      </c>
      <c r="N1244">
        <f t="shared" si="137"/>
        <v>1.0112630732099759</v>
      </c>
    </row>
    <row r="1245" spans="1:14" x14ac:dyDescent="0.2">
      <c r="A1245">
        <v>1244</v>
      </c>
      <c r="B1245">
        <f>LARGE(data!F:F,A1245)</f>
        <v>9.4370833900000006E-2</v>
      </c>
      <c r="C1245">
        <f>COUNTIFS(data!D:D,data!$I$2,data!F:F,"&gt;="&amp;B1245)</f>
        <v>534</v>
      </c>
      <c r="D1245">
        <f>COUNTIFS(data!D:D,data!$J$2,data!F:F,"&gt;="&amp;B1245)</f>
        <v>710</v>
      </c>
      <c r="E1245">
        <f>COUNTIFS(data!D:D,data!$J$2,data!F:F,"&lt;"&amp;B1245)</f>
        <v>13</v>
      </c>
      <c r="F1245">
        <f>COUNTIFS(data!D:D,data!$I$2,data!F:F,"&lt;"&amp;B1245)</f>
        <v>0</v>
      </c>
      <c r="G1245">
        <f t="shared" si="132"/>
        <v>0.9820193637621023</v>
      </c>
      <c r="H1245">
        <f t="shared" si="133"/>
        <v>1</v>
      </c>
      <c r="I1245">
        <f t="shared" si="134"/>
        <v>1.3831258644536604E-3</v>
      </c>
      <c r="J1245">
        <f t="shared" si="135"/>
        <v>0.42926045016077169</v>
      </c>
      <c r="K1245">
        <f t="shared" si="136"/>
        <v>0.60067491563554554</v>
      </c>
      <c r="L1245">
        <f>A1245*COUNTIF(data!D:D,data!$I$2)/data!$L$2</f>
        <v>528.47732696897378</v>
      </c>
      <c r="M1245" s="1">
        <f>A1245/data!$L$2</f>
        <v>0.98965791567223549</v>
      </c>
      <c r="N1245">
        <f t="shared" si="137"/>
        <v>1.010450160771704</v>
      </c>
    </row>
    <row r="1246" spans="1:14" x14ac:dyDescent="0.2">
      <c r="A1246">
        <v>1245</v>
      </c>
      <c r="B1246">
        <f>LARGE(data!F:F,A1246)</f>
        <v>9.4201232499999996E-2</v>
      </c>
      <c r="C1246">
        <f>COUNTIFS(data!D:D,data!$I$2,data!F:F,"&gt;="&amp;B1246)</f>
        <v>534</v>
      </c>
      <c r="D1246">
        <f>COUNTIFS(data!D:D,data!$J$2,data!F:F,"&gt;="&amp;B1246)</f>
        <v>711</v>
      </c>
      <c r="E1246">
        <f>COUNTIFS(data!D:D,data!$J$2,data!F:F,"&lt;"&amp;B1246)</f>
        <v>12</v>
      </c>
      <c r="F1246">
        <f>COUNTIFS(data!D:D,data!$I$2,data!F:F,"&lt;"&amp;B1246)</f>
        <v>0</v>
      </c>
      <c r="G1246">
        <f t="shared" si="132"/>
        <v>0.98340248962655596</v>
      </c>
      <c r="H1246">
        <f t="shared" si="133"/>
        <v>1</v>
      </c>
      <c r="I1246">
        <f t="shared" si="134"/>
        <v>1.3831258644536604E-3</v>
      </c>
      <c r="J1246">
        <f t="shared" si="135"/>
        <v>0.42891566265060244</v>
      </c>
      <c r="K1246">
        <f t="shared" si="136"/>
        <v>0.60033726812816202</v>
      </c>
      <c r="L1246">
        <f>A1246*COUNTIF(data!D:D,data!$I$2)/data!$L$2</f>
        <v>528.90214797136036</v>
      </c>
      <c r="M1246" s="1">
        <f>A1246/data!$L$2</f>
        <v>0.99045346062052508</v>
      </c>
      <c r="N1246">
        <f t="shared" si="137"/>
        <v>1.0096385542168675</v>
      </c>
    </row>
    <row r="1247" spans="1:14" x14ac:dyDescent="0.2">
      <c r="A1247">
        <v>1246</v>
      </c>
      <c r="B1247">
        <f>LARGE(data!F:F,A1247)</f>
        <v>9.3614152500000006E-2</v>
      </c>
      <c r="C1247">
        <f>COUNTIFS(data!D:D,data!$I$2,data!F:F,"&gt;="&amp;B1247)</f>
        <v>534</v>
      </c>
      <c r="D1247">
        <f>COUNTIFS(data!D:D,data!$J$2,data!F:F,"&gt;="&amp;B1247)</f>
        <v>712</v>
      </c>
      <c r="E1247">
        <f>COUNTIFS(data!D:D,data!$J$2,data!F:F,"&lt;"&amp;B1247)</f>
        <v>11</v>
      </c>
      <c r="F1247">
        <f>COUNTIFS(data!D:D,data!$I$2,data!F:F,"&lt;"&amp;B1247)</f>
        <v>0</v>
      </c>
      <c r="G1247">
        <f t="shared" si="132"/>
        <v>0.98478561549100974</v>
      </c>
      <c r="H1247">
        <f t="shared" si="133"/>
        <v>1</v>
      </c>
      <c r="I1247">
        <f t="shared" si="134"/>
        <v>1.3831258644537714E-3</v>
      </c>
      <c r="J1247">
        <f t="shared" si="135"/>
        <v>0.42857142857142855</v>
      </c>
      <c r="K1247">
        <f t="shared" si="136"/>
        <v>0.6</v>
      </c>
      <c r="L1247">
        <f>A1247*COUNTIF(data!D:D,data!$I$2)/data!$L$2</f>
        <v>529.32696897374706</v>
      </c>
      <c r="M1247" s="1">
        <f>A1247/data!$L$2</f>
        <v>0.99124900556881468</v>
      </c>
      <c r="N1247">
        <f t="shared" si="137"/>
        <v>1.008828250401284</v>
      </c>
    </row>
    <row r="1248" spans="1:14" x14ac:dyDescent="0.2">
      <c r="A1248">
        <v>1247</v>
      </c>
      <c r="B1248">
        <f>LARGE(data!F:F,A1248)</f>
        <v>9.3083991199999994E-2</v>
      </c>
      <c r="C1248">
        <f>COUNTIFS(data!D:D,data!$I$2,data!F:F,"&gt;="&amp;B1248)</f>
        <v>534</v>
      </c>
      <c r="D1248">
        <f>COUNTIFS(data!D:D,data!$J$2,data!F:F,"&gt;="&amp;B1248)</f>
        <v>713</v>
      </c>
      <c r="E1248">
        <f>COUNTIFS(data!D:D,data!$J$2,data!F:F,"&lt;"&amp;B1248)</f>
        <v>10</v>
      </c>
      <c r="F1248">
        <f>COUNTIFS(data!D:D,data!$I$2,data!F:F,"&lt;"&amp;B1248)</f>
        <v>0</v>
      </c>
      <c r="G1248">
        <f t="shared" si="132"/>
        <v>0.9861687413554634</v>
      </c>
      <c r="H1248">
        <f t="shared" si="133"/>
        <v>1</v>
      </c>
      <c r="I1248">
        <f t="shared" si="134"/>
        <v>1.3831258644536604E-3</v>
      </c>
      <c r="J1248">
        <f t="shared" si="135"/>
        <v>0.42822774659182039</v>
      </c>
      <c r="K1248">
        <f t="shared" si="136"/>
        <v>0.59966311061201572</v>
      </c>
      <c r="L1248">
        <f>A1248*COUNTIF(data!D:D,data!$I$2)/data!$L$2</f>
        <v>529.75178997613364</v>
      </c>
      <c r="M1248" s="1">
        <f>A1248/data!$L$2</f>
        <v>0.99204455051710416</v>
      </c>
      <c r="N1248">
        <f t="shared" si="137"/>
        <v>1.0080192461908581</v>
      </c>
    </row>
    <row r="1249" spans="1:14" x14ac:dyDescent="0.2">
      <c r="A1249">
        <v>1248</v>
      </c>
      <c r="B1249">
        <f>LARGE(data!F:F,A1249)</f>
        <v>9.19602261E-2</v>
      </c>
      <c r="C1249">
        <f>COUNTIFS(data!D:D,data!$I$2,data!F:F,"&gt;="&amp;B1249)</f>
        <v>534</v>
      </c>
      <c r="D1249">
        <f>COUNTIFS(data!D:D,data!$J$2,data!F:F,"&gt;="&amp;B1249)</f>
        <v>714</v>
      </c>
      <c r="E1249">
        <f>COUNTIFS(data!D:D,data!$J$2,data!F:F,"&lt;"&amp;B1249)</f>
        <v>9</v>
      </c>
      <c r="F1249">
        <f>COUNTIFS(data!D:D,data!$I$2,data!F:F,"&lt;"&amp;B1249)</f>
        <v>0</v>
      </c>
      <c r="G1249">
        <f t="shared" si="132"/>
        <v>0.98755186721991706</v>
      </c>
      <c r="H1249">
        <f t="shared" si="133"/>
        <v>1</v>
      </c>
      <c r="I1249">
        <f t="shared" si="134"/>
        <v>1.3831258644536604E-3</v>
      </c>
      <c r="J1249">
        <f t="shared" si="135"/>
        <v>0.42788461538461536</v>
      </c>
      <c r="K1249">
        <f t="shared" si="136"/>
        <v>0.59932659932659926</v>
      </c>
      <c r="L1249">
        <f>A1249*COUNTIF(data!D:D,data!$I$2)/data!$L$2</f>
        <v>530.17661097852033</v>
      </c>
      <c r="M1249" s="1">
        <f>A1249/data!$L$2</f>
        <v>0.99284009546539376</v>
      </c>
      <c r="N1249">
        <f t="shared" si="137"/>
        <v>1.0072115384615383</v>
      </c>
    </row>
    <row r="1250" spans="1:14" x14ac:dyDescent="0.2">
      <c r="A1250">
        <v>1249</v>
      </c>
      <c r="B1250">
        <f>LARGE(data!F:F,A1250)</f>
        <v>9.0790747399999996E-2</v>
      </c>
      <c r="C1250">
        <f>COUNTIFS(data!D:D,data!$I$2,data!F:F,"&gt;="&amp;B1250)</f>
        <v>534</v>
      </c>
      <c r="D1250">
        <f>COUNTIFS(data!D:D,data!$J$2,data!F:F,"&gt;="&amp;B1250)</f>
        <v>715</v>
      </c>
      <c r="E1250">
        <f>COUNTIFS(data!D:D,data!$J$2,data!F:F,"&lt;"&amp;B1250)</f>
        <v>8</v>
      </c>
      <c r="F1250">
        <f>COUNTIFS(data!D:D,data!$I$2,data!F:F,"&lt;"&amp;B1250)</f>
        <v>0</v>
      </c>
      <c r="G1250">
        <f t="shared" si="132"/>
        <v>0.98893499308437072</v>
      </c>
      <c r="H1250">
        <f t="shared" si="133"/>
        <v>1</v>
      </c>
      <c r="I1250">
        <f t="shared" si="134"/>
        <v>1.3831258644536604E-3</v>
      </c>
      <c r="J1250">
        <f t="shared" si="135"/>
        <v>0.42754203362690152</v>
      </c>
      <c r="K1250">
        <f t="shared" si="136"/>
        <v>0.59899046550757151</v>
      </c>
      <c r="L1250">
        <f>A1250*COUNTIF(data!D:D,data!$I$2)/data!$L$2</f>
        <v>530.60143198090691</v>
      </c>
      <c r="M1250" s="1">
        <f>A1250/data!$L$2</f>
        <v>0.99363564041368335</v>
      </c>
      <c r="N1250">
        <f t="shared" si="137"/>
        <v>1.0064051240992795</v>
      </c>
    </row>
    <row r="1251" spans="1:14" x14ac:dyDescent="0.2">
      <c r="A1251">
        <v>1250</v>
      </c>
      <c r="B1251">
        <f>LARGE(data!F:F,A1251)</f>
        <v>8.9491961499999995E-2</v>
      </c>
      <c r="C1251">
        <f>COUNTIFS(data!D:D,data!$I$2,data!F:F,"&gt;="&amp;B1251)</f>
        <v>534</v>
      </c>
      <c r="D1251">
        <f>COUNTIFS(data!D:D,data!$J$2,data!F:F,"&gt;="&amp;B1251)</f>
        <v>716</v>
      </c>
      <c r="E1251">
        <f>COUNTIFS(data!D:D,data!$J$2,data!F:F,"&lt;"&amp;B1251)</f>
        <v>7</v>
      </c>
      <c r="F1251">
        <f>COUNTIFS(data!D:D,data!$I$2,data!F:F,"&lt;"&amp;B1251)</f>
        <v>0</v>
      </c>
      <c r="G1251">
        <f t="shared" si="132"/>
        <v>0.99031811894882438</v>
      </c>
      <c r="H1251">
        <f t="shared" si="133"/>
        <v>1</v>
      </c>
      <c r="I1251">
        <f t="shared" si="134"/>
        <v>1.3831258644536604E-3</v>
      </c>
      <c r="J1251">
        <f t="shared" si="135"/>
        <v>0.42720000000000002</v>
      </c>
      <c r="K1251">
        <f t="shared" si="136"/>
        <v>0.59865470852017943</v>
      </c>
      <c r="L1251">
        <f>A1251*COUNTIF(data!D:D,data!$I$2)/data!$L$2</f>
        <v>531.0262529832936</v>
      </c>
      <c r="M1251" s="1">
        <f>A1251/data!$L$2</f>
        <v>0.99443118536197295</v>
      </c>
      <c r="N1251">
        <f t="shared" si="137"/>
        <v>1.0055999999999998</v>
      </c>
    </row>
    <row r="1252" spans="1:14" x14ac:dyDescent="0.2">
      <c r="A1252">
        <v>1251</v>
      </c>
      <c r="B1252">
        <f>LARGE(data!F:F,A1252)</f>
        <v>8.8604263599999997E-2</v>
      </c>
      <c r="C1252">
        <f>COUNTIFS(data!D:D,data!$I$2,data!F:F,"&gt;="&amp;B1252)</f>
        <v>534</v>
      </c>
      <c r="D1252">
        <f>COUNTIFS(data!D:D,data!$J$2,data!F:F,"&gt;="&amp;B1252)</f>
        <v>717</v>
      </c>
      <c r="E1252">
        <f>COUNTIFS(data!D:D,data!$J$2,data!F:F,"&lt;"&amp;B1252)</f>
        <v>6</v>
      </c>
      <c r="F1252">
        <f>COUNTIFS(data!D:D,data!$I$2,data!F:F,"&lt;"&amp;B1252)</f>
        <v>0</v>
      </c>
      <c r="G1252">
        <f t="shared" si="132"/>
        <v>0.99170124481327804</v>
      </c>
      <c r="H1252">
        <f t="shared" si="133"/>
        <v>1</v>
      </c>
      <c r="I1252">
        <f t="shared" si="134"/>
        <v>1.3831258644536604E-3</v>
      </c>
      <c r="J1252">
        <f t="shared" si="135"/>
        <v>0.42685851318944845</v>
      </c>
      <c r="K1252">
        <f t="shared" si="136"/>
        <v>0.59831932773109242</v>
      </c>
      <c r="L1252">
        <f>A1252*COUNTIF(data!D:D,data!$I$2)/data!$L$2</f>
        <v>531.45107398568018</v>
      </c>
      <c r="M1252" s="1">
        <f>A1252/data!$L$2</f>
        <v>0.99522673031026254</v>
      </c>
      <c r="N1252">
        <f t="shared" si="137"/>
        <v>1.0047961630695443</v>
      </c>
    </row>
    <row r="1253" spans="1:14" x14ac:dyDescent="0.2">
      <c r="A1253">
        <v>1252</v>
      </c>
      <c r="B1253">
        <f>LARGE(data!F:F,A1253)</f>
        <v>8.8598020599999994E-2</v>
      </c>
      <c r="C1253">
        <f>COUNTIFS(data!D:D,data!$I$2,data!F:F,"&gt;="&amp;B1253)</f>
        <v>534</v>
      </c>
      <c r="D1253">
        <f>COUNTIFS(data!D:D,data!$J$2,data!F:F,"&gt;="&amp;B1253)</f>
        <v>718</v>
      </c>
      <c r="E1253">
        <f>COUNTIFS(data!D:D,data!$J$2,data!F:F,"&lt;"&amp;B1253)</f>
        <v>5</v>
      </c>
      <c r="F1253">
        <f>COUNTIFS(data!D:D,data!$I$2,data!F:F,"&lt;"&amp;B1253)</f>
        <v>0</v>
      </c>
      <c r="G1253">
        <f t="shared" si="132"/>
        <v>0.9930843706777317</v>
      </c>
      <c r="H1253">
        <f t="shared" si="133"/>
        <v>1</v>
      </c>
      <c r="I1253">
        <f t="shared" si="134"/>
        <v>1.3831258644536604E-3</v>
      </c>
      <c r="J1253">
        <f t="shared" si="135"/>
        <v>0.42651757188498401</v>
      </c>
      <c r="K1253">
        <f t="shared" si="136"/>
        <v>0.59798432250839861</v>
      </c>
      <c r="L1253">
        <f>A1253*COUNTIF(data!D:D,data!$I$2)/data!$L$2</f>
        <v>531.87589498806688</v>
      </c>
      <c r="M1253" s="1">
        <f>A1253/data!$L$2</f>
        <v>0.99602227525855214</v>
      </c>
      <c r="N1253">
        <f t="shared" si="137"/>
        <v>1.003993610223642</v>
      </c>
    </row>
    <row r="1254" spans="1:14" x14ac:dyDescent="0.2">
      <c r="A1254">
        <v>1253</v>
      </c>
      <c r="B1254">
        <f>LARGE(data!F:F,A1254)</f>
        <v>8.8358507500000003E-2</v>
      </c>
      <c r="C1254">
        <f>COUNTIFS(data!D:D,data!$I$2,data!F:F,"&gt;="&amp;B1254)</f>
        <v>534</v>
      </c>
      <c r="D1254">
        <f>COUNTIFS(data!D:D,data!$J$2,data!F:F,"&gt;="&amp;B1254)</f>
        <v>719</v>
      </c>
      <c r="E1254">
        <f>COUNTIFS(data!D:D,data!$J$2,data!F:F,"&lt;"&amp;B1254)</f>
        <v>4</v>
      </c>
      <c r="F1254">
        <f>COUNTIFS(data!D:D,data!$I$2,data!F:F,"&lt;"&amp;B1254)</f>
        <v>0</v>
      </c>
      <c r="G1254">
        <f t="shared" si="132"/>
        <v>0.99446749654218536</v>
      </c>
      <c r="H1254">
        <f t="shared" si="133"/>
        <v>1</v>
      </c>
      <c r="I1254">
        <f t="shared" si="134"/>
        <v>1.3831258644536604E-3</v>
      </c>
      <c r="J1254">
        <f t="shared" si="135"/>
        <v>0.42617717478052675</v>
      </c>
      <c r="K1254">
        <f t="shared" si="136"/>
        <v>0.59764969222160047</v>
      </c>
      <c r="L1254">
        <f>A1254*COUNTIF(data!D:D,data!$I$2)/data!$L$2</f>
        <v>532.30071599045345</v>
      </c>
      <c r="M1254" s="1">
        <f>A1254/data!$L$2</f>
        <v>0.99681782020684173</v>
      </c>
      <c r="N1254">
        <f t="shared" si="137"/>
        <v>1.0031923383878691</v>
      </c>
    </row>
    <row r="1255" spans="1:14" x14ac:dyDescent="0.2">
      <c r="A1255">
        <v>1254</v>
      </c>
      <c r="B1255">
        <f>LARGE(data!F:F,A1255)</f>
        <v>8.7959331200000004E-2</v>
      </c>
      <c r="C1255">
        <f>COUNTIFS(data!D:D,data!$I$2,data!F:F,"&gt;="&amp;B1255)</f>
        <v>534</v>
      </c>
      <c r="D1255">
        <f>COUNTIFS(data!D:D,data!$J$2,data!F:F,"&gt;="&amp;B1255)</f>
        <v>720</v>
      </c>
      <c r="E1255">
        <f>COUNTIFS(data!D:D,data!$J$2,data!F:F,"&lt;"&amp;B1255)</f>
        <v>3</v>
      </c>
      <c r="F1255">
        <f>COUNTIFS(data!D:D,data!$I$2,data!F:F,"&lt;"&amp;B1255)</f>
        <v>0</v>
      </c>
      <c r="G1255">
        <f t="shared" si="132"/>
        <v>0.99585062240663902</v>
      </c>
      <c r="H1255">
        <f t="shared" si="133"/>
        <v>1</v>
      </c>
      <c r="I1255">
        <f t="shared" si="134"/>
        <v>1.3831258644536604E-3</v>
      </c>
      <c r="J1255">
        <f t="shared" si="135"/>
        <v>0.42583732057416268</v>
      </c>
      <c r="K1255">
        <f t="shared" si="136"/>
        <v>0.59731543624161065</v>
      </c>
      <c r="L1255">
        <f>A1255*COUNTIF(data!D:D,data!$I$2)/data!$L$2</f>
        <v>532.72553699284015</v>
      </c>
      <c r="M1255" s="1">
        <f>A1255/data!$L$2</f>
        <v>0.99761336515513122</v>
      </c>
      <c r="N1255">
        <f t="shared" si="137"/>
        <v>1.0023923444976075</v>
      </c>
    </row>
    <row r="1256" spans="1:14" x14ac:dyDescent="0.2">
      <c r="A1256">
        <v>1255</v>
      </c>
      <c r="B1256">
        <f>LARGE(data!F:F,A1256)</f>
        <v>8.2170752499999999E-2</v>
      </c>
      <c r="C1256">
        <f>COUNTIFS(data!D:D,data!$I$2,data!F:F,"&gt;="&amp;B1256)</f>
        <v>534</v>
      </c>
      <c r="D1256">
        <f>COUNTIFS(data!D:D,data!$J$2,data!F:F,"&gt;="&amp;B1256)</f>
        <v>721</v>
      </c>
      <c r="E1256">
        <f>COUNTIFS(data!D:D,data!$J$2,data!F:F,"&lt;"&amp;B1256)</f>
        <v>2</v>
      </c>
      <c r="F1256">
        <f>COUNTIFS(data!D:D,data!$I$2,data!F:F,"&lt;"&amp;B1256)</f>
        <v>0</v>
      </c>
      <c r="G1256">
        <f t="shared" si="132"/>
        <v>0.99723374827109268</v>
      </c>
      <c r="H1256">
        <f t="shared" si="133"/>
        <v>1</v>
      </c>
      <c r="I1256">
        <f t="shared" si="134"/>
        <v>1.3831258644536604E-3</v>
      </c>
      <c r="J1256">
        <f t="shared" si="135"/>
        <v>0.42549800796812748</v>
      </c>
      <c r="K1256">
        <f t="shared" si="136"/>
        <v>0.59698155394074903</v>
      </c>
      <c r="L1256">
        <f>A1256*COUNTIF(data!D:D,data!$I$2)/data!$L$2</f>
        <v>533.15035799522673</v>
      </c>
      <c r="M1256" s="1">
        <f>A1256/data!$L$2</f>
        <v>0.99840891010342081</v>
      </c>
      <c r="N1256">
        <f t="shared" si="137"/>
        <v>1.001593625498008</v>
      </c>
    </row>
    <row r="1257" spans="1:14" x14ac:dyDescent="0.2">
      <c r="A1257">
        <v>1256</v>
      </c>
      <c r="B1257">
        <f>LARGE(data!F:F,A1257)</f>
        <v>8.1746698000000007E-2</v>
      </c>
      <c r="C1257">
        <f>COUNTIFS(data!D:D,data!$I$2,data!F:F,"&gt;="&amp;B1257)</f>
        <v>534</v>
      </c>
      <c r="D1257">
        <f>COUNTIFS(data!D:D,data!$J$2,data!F:F,"&gt;="&amp;B1257)</f>
        <v>722</v>
      </c>
      <c r="E1257">
        <f>COUNTIFS(data!D:D,data!$J$2,data!F:F,"&lt;"&amp;B1257)</f>
        <v>1</v>
      </c>
      <c r="F1257">
        <f>COUNTIFS(data!D:D,data!$I$2,data!F:F,"&lt;"&amp;B1257)</f>
        <v>0</v>
      </c>
      <c r="G1257">
        <f t="shared" si="132"/>
        <v>0.99861687413554634</v>
      </c>
      <c r="H1257">
        <f t="shared" si="133"/>
        <v>1</v>
      </c>
      <c r="I1257">
        <f t="shared" si="134"/>
        <v>1.3831258644536604E-3</v>
      </c>
      <c r="J1257">
        <f t="shared" si="135"/>
        <v>0.42515923566878983</v>
      </c>
      <c r="K1257">
        <f t="shared" si="136"/>
        <v>0.59664804469273747</v>
      </c>
      <c r="L1257">
        <f>A1257*COUNTIF(data!D:D,data!$I$2)/data!$L$2</f>
        <v>533.57517899761342</v>
      </c>
      <c r="M1257" s="1">
        <f>A1257/data!$L$2</f>
        <v>0.99920445505171041</v>
      </c>
      <c r="N1257">
        <f t="shared" si="137"/>
        <v>1.000796178343949</v>
      </c>
    </row>
    <row r="1258" spans="1:14" x14ac:dyDescent="0.2">
      <c r="A1258">
        <v>1257</v>
      </c>
      <c r="B1258">
        <f>LARGE(data!F:F,A1258)</f>
        <v>7.7720041899999995E-2</v>
      </c>
      <c r="C1258">
        <f>COUNTIFS(data!D:D,data!$I$2,data!F:F,"&gt;="&amp;B1258)</f>
        <v>534</v>
      </c>
      <c r="D1258">
        <f>COUNTIFS(data!D:D,data!$J$2,data!F:F,"&gt;="&amp;B1258)</f>
        <v>723</v>
      </c>
      <c r="E1258">
        <f>COUNTIFS(data!D:D,data!$J$2,data!F:F,"&lt;"&amp;B1258)</f>
        <v>0</v>
      </c>
      <c r="F1258">
        <f>COUNTIFS(data!D:D,data!$I$2,data!F:F,"&lt;"&amp;B1258)</f>
        <v>0</v>
      </c>
      <c r="G1258">
        <f t="shared" si="132"/>
        <v>1</v>
      </c>
      <c r="H1258">
        <f t="shared" si="133"/>
        <v>1</v>
      </c>
      <c r="I1258">
        <f t="shared" si="134"/>
        <v>1.3831258644536604E-3</v>
      </c>
      <c r="J1258">
        <f t="shared" si="135"/>
        <v>0.42482100238663484</v>
      </c>
      <c r="K1258">
        <f t="shared" si="136"/>
        <v>0.59631490787269681</v>
      </c>
      <c r="L1258">
        <f>A1258*COUNTIF(data!D:D,data!$I$2)/data!$L$2</f>
        <v>534</v>
      </c>
      <c r="M1258" s="1">
        <f>A1258/data!$L$2</f>
        <v>1</v>
      </c>
      <c r="N1258">
        <f t="shared" si="137"/>
        <v>1</v>
      </c>
    </row>
    <row r="1259" spans="1:14" x14ac:dyDescent="0.2">
      <c r="M125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71B0-3CC8-42E6-B55E-B1A068B83CD9}">
  <dimension ref="A1:Q630"/>
  <sheetViews>
    <sheetView topLeftCell="C591" zoomScaleNormal="100" workbookViewId="0">
      <selection activeCell="P6" sqref="P6"/>
    </sheetView>
  </sheetViews>
  <sheetFormatPr baseColWidth="10" defaultColWidth="8.83203125" defaultRowHeight="15" x14ac:dyDescent="0.2"/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 t="s">
        <v>21</v>
      </c>
    </row>
    <row r="2" spans="1:17" x14ac:dyDescent="0.2">
      <c r="A2">
        <v>1</v>
      </c>
      <c r="B2">
        <f>LARGE(data!G:G,A2)</f>
        <v>0.90108967610000001</v>
      </c>
      <c r="C2">
        <f>COUNTIFS(data!E:E,data!$I$2,data!G:G,"&gt;="&amp;B2)</f>
        <v>1</v>
      </c>
      <c r="D2">
        <f>COUNTIFS(data!E:E,data!$J$2,data!G:G,"&gt;="&amp;B2)</f>
        <v>0</v>
      </c>
      <c r="E2">
        <f>COUNTIFS(data!E:E,data!$J$2,data!G:G,"&lt;"&amp;B2)</f>
        <v>362</v>
      </c>
      <c r="F2">
        <f>COUNTIFS(data!E:E,data!$I$2,data!G:G,"&lt;"&amp;B2)</f>
        <v>265</v>
      </c>
      <c r="G2">
        <f>D2/(E2+D2)</f>
        <v>0</v>
      </c>
      <c r="H2">
        <f>C2/(C2+F2)</f>
        <v>3.7593984962406013E-3</v>
      </c>
      <c r="I2">
        <v>0</v>
      </c>
      <c r="J2">
        <f>C2/(C2+D2)</f>
        <v>1</v>
      </c>
      <c r="K2">
        <f>2*J2*H2/(J2+H2)</f>
        <v>7.4906367041198503E-3</v>
      </c>
      <c r="L2">
        <f>A2*COUNTIF(data!E:E,$J$2)/data!$M$2</f>
        <v>0.42356687898089174</v>
      </c>
      <c r="M2" s="1">
        <f>A2/data!$M$2</f>
        <v>1.5923566878980893E-3</v>
      </c>
      <c r="N2">
        <f t="shared" ref="N2:N65" si="0">C2/L2</f>
        <v>2.3609022556390977</v>
      </c>
      <c r="Q2">
        <f>SUM(I:I)</f>
        <v>0.70151726000083092</v>
      </c>
    </row>
    <row r="3" spans="1:17" x14ac:dyDescent="0.2">
      <c r="A3">
        <v>2</v>
      </c>
      <c r="B3">
        <f>LARGE(data!G:G,A3)</f>
        <v>0.89607570110000001</v>
      </c>
      <c r="C3">
        <f>COUNTIFS(data!E:E,data!$I$2,data!G:G,"&gt;="&amp;B3)</f>
        <v>2</v>
      </c>
      <c r="D3">
        <f>COUNTIFS(data!E:E,data!$J$2,data!G:G,"&gt;="&amp;B3)</f>
        <v>0</v>
      </c>
      <c r="E3">
        <f>COUNTIFS(data!E:E,data!$J$2,data!G:G,"&lt;"&amp;B3)</f>
        <v>362</v>
      </c>
      <c r="F3">
        <f>COUNTIFS(data!E:E,data!$I$2,data!G:G,"&lt;"&amp;B3)</f>
        <v>264</v>
      </c>
      <c r="G3">
        <f t="shared" ref="G3:G66" si="1">D3/(E3+D3)</f>
        <v>0</v>
      </c>
      <c r="H3">
        <f t="shared" ref="H3:H66" si="2">C3/(C3+F3)</f>
        <v>7.5187969924812026E-3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1.4925373134328356E-2</v>
      </c>
      <c r="L3">
        <f>A3*COUNTIF(data!E:E,$J$2)/data!$M$2</f>
        <v>0.84713375796178347</v>
      </c>
      <c r="M3" s="1">
        <f>A3/data!$M$2</f>
        <v>3.1847133757961785E-3</v>
      </c>
      <c r="N3">
        <f t="shared" si="0"/>
        <v>2.3609022556390977</v>
      </c>
    </row>
    <row r="4" spans="1:17" x14ac:dyDescent="0.2">
      <c r="A4">
        <v>3</v>
      </c>
      <c r="B4">
        <f>LARGE(data!G:G,A4)</f>
        <v>0.87721272620000001</v>
      </c>
      <c r="C4">
        <f>COUNTIFS(data!E:E,data!$I$2,data!G:G,"&gt;="&amp;B4)</f>
        <v>5</v>
      </c>
      <c r="D4">
        <f>COUNTIFS(data!E:E,data!$J$2,data!G:G,"&gt;="&amp;B4)</f>
        <v>0</v>
      </c>
      <c r="E4">
        <f>COUNTIFS(data!E:E,data!$J$2,data!G:G,"&lt;"&amp;B4)</f>
        <v>362</v>
      </c>
      <c r="F4">
        <f>COUNTIFS(data!E:E,data!$I$2,data!G:G,"&lt;"&amp;B4)</f>
        <v>261</v>
      </c>
      <c r="G4">
        <f t="shared" si="1"/>
        <v>0</v>
      </c>
      <c r="H4">
        <f t="shared" si="2"/>
        <v>1.8796992481203006E-2</v>
      </c>
      <c r="I4">
        <f t="shared" si="3"/>
        <v>0</v>
      </c>
      <c r="J4">
        <f t="shared" si="4"/>
        <v>1</v>
      </c>
      <c r="K4">
        <f t="shared" si="5"/>
        <v>3.6900369003690037E-2</v>
      </c>
      <c r="L4">
        <f>A4*COUNTIF(data!E:E,$J$2)/data!$M$2</f>
        <v>1.2707006369426752</v>
      </c>
      <c r="M4" s="1">
        <f>A4/data!$M$2</f>
        <v>4.7770700636942673E-3</v>
      </c>
      <c r="N4">
        <f t="shared" si="0"/>
        <v>3.9348370927318292</v>
      </c>
    </row>
    <row r="5" spans="1:17" x14ac:dyDescent="0.2">
      <c r="A5">
        <v>4</v>
      </c>
      <c r="B5">
        <f>LARGE(data!G:G,A5)</f>
        <v>0.87721272620000001</v>
      </c>
      <c r="C5">
        <f>COUNTIFS(data!E:E,data!$I$2,data!G:G,"&gt;="&amp;B5)</f>
        <v>5</v>
      </c>
      <c r="D5">
        <f>COUNTIFS(data!E:E,data!$J$2,data!G:G,"&gt;="&amp;B5)</f>
        <v>0</v>
      </c>
      <c r="E5">
        <f>COUNTIFS(data!E:E,data!$J$2,data!G:G,"&lt;"&amp;B5)</f>
        <v>362</v>
      </c>
      <c r="F5">
        <f>COUNTIFS(data!E:E,data!$I$2,data!G:G,"&lt;"&amp;B5)</f>
        <v>261</v>
      </c>
      <c r="G5">
        <f t="shared" si="1"/>
        <v>0</v>
      </c>
      <c r="H5">
        <f t="shared" si="2"/>
        <v>1.8796992481203006E-2</v>
      </c>
      <c r="I5">
        <f t="shared" si="3"/>
        <v>0</v>
      </c>
      <c r="J5">
        <f t="shared" si="4"/>
        <v>1</v>
      </c>
      <c r="K5">
        <f t="shared" si="5"/>
        <v>3.6900369003690037E-2</v>
      </c>
      <c r="L5">
        <f>A5*COUNTIF(data!E:E,$J$2)/data!$M$2</f>
        <v>1.6942675159235669</v>
      </c>
      <c r="M5" s="1">
        <f>A5/data!$M$2</f>
        <v>6.369426751592357E-3</v>
      </c>
      <c r="N5">
        <f t="shared" si="0"/>
        <v>2.9511278195488719</v>
      </c>
    </row>
    <row r="6" spans="1:17" x14ac:dyDescent="0.2">
      <c r="A6">
        <v>5</v>
      </c>
      <c r="B6">
        <f>LARGE(data!G:G,A6)</f>
        <v>0.87721272620000001</v>
      </c>
      <c r="C6">
        <f>COUNTIFS(data!E:E,data!$I$2,data!G:G,"&gt;="&amp;B6)</f>
        <v>5</v>
      </c>
      <c r="D6">
        <f>COUNTIFS(data!E:E,data!$J$2,data!G:G,"&gt;="&amp;B6)</f>
        <v>0</v>
      </c>
      <c r="E6">
        <f>COUNTIFS(data!E:E,data!$J$2,data!G:G,"&lt;"&amp;B6)</f>
        <v>362</v>
      </c>
      <c r="F6">
        <f>COUNTIFS(data!E:E,data!$I$2,data!G:G,"&lt;"&amp;B6)</f>
        <v>261</v>
      </c>
      <c r="G6">
        <f t="shared" si="1"/>
        <v>0</v>
      </c>
      <c r="H6">
        <f t="shared" si="2"/>
        <v>1.8796992481203006E-2</v>
      </c>
      <c r="I6">
        <f t="shared" si="3"/>
        <v>0</v>
      </c>
      <c r="J6">
        <f t="shared" si="4"/>
        <v>1</v>
      </c>
      <c r="K6">
        <f t="shared" si="5"/>
        <v>3.6900369003690037E-2</v>
      </c>
      <c r="L6">
        <f>A6*COUNTIF(data!E:E,$J$2)/data!$M$2</f>
        <v>2.1178343949044587</v>
      </c>
      <c r="M6" s="1">
        <f>A6/data!$M$2</f>
        <v>7.9617834394904458E-3</v>
      </c>
      <c r="N6">
        <f t="shared" si="0"/>
        <v>2.3609022556390977</v>
      </c>
    </row>
    <row r="7" spans="1:17" x14ac:dyDescent="0.2">
      <c r="A7">
        <v>6</v>
      </c>
      <c r="B7">
        <f>LARGE(data!G:G,A7)</f>
        <v>0.87531698349999998</v>
      </c>
      <c r="C7">
        <f>COUNTIFS(data!E:E,data!$I$2,data!G:G,"&gt;="&amp;B7)</f>
        <v>6</v>
      </c>
      <c r="D7">
        <f>COUNTIFS(data!E:E,data!$J$2,data!G:G,"&gt;="&amp;B7)</f>
        <v>0</v>
      </c>
      <c r="E7">
        <f>COUNTIFS(data!E:E,data!$J$2,data!G:G,"&lt;"&amp;B7)</f>
        <v>362</v>
      </c>
      <c r="F7">
        <f>COUNTIFS(data!E:E,data!$I$2,data!G:G,"&lt;"&amp;B7)</f>
        <v>260</v>
      </c>
      <c r="G7">
        <f t="shared" si="1"/>
        <v>0</v>
      </c>
      <c r="H7">
        <f t="shared" si="2"/>
        <v>2.2556390977443608E-2</v>
      </c>
      <c r="I7">
        <f t="shared" si="3"/>
        <v>0</v>
      </c>
      <c r="J7">
        <f t="shared" si="4"/>
        <v>1</v>
      </c>
      <c r="K7">
        <f t="shared" si="5"/>
        <v>4.4117647058823532E-2</v>
      </c>
      <c r="L7">
        <f>A7*COUNTIF(data!E:E,$J$2)/data!$M$2</f>
        <v>2.5414012738853504</v>
      </c>
      <c r="M7" s="1">
        <f>A7/data!$M$2</f>
        <v>9.5541401273885346E-3</v>
      </c>
      <c r="N7">
        <f t="shared" si="0"/>
        <v>2.3609022556390977</v>
      </c>
    </row>
    <row r="8" spans="1:17" x14ac:dyDescent="0.2">
      <c r="A8">
        <v>7</v>
      </c>
      <c r="B8">
        <f>LARGE(data!G:G,A8)</f>
        <v>0.87257346049999995</v>
      </c>
      <c r="C8">
        <f>COUNTIFS(data!E:E,data!$I$2,data!G:G,"&gt;="&amp;B8)</f>
        <v>7</v>
      </c>
      <c r="D8">
        <f>COUNTIFS(data!E:E,data!$J$2,data!G:G,"&gt;="&amp;B8)</f>
        <v>0</v>
      </c>
      <c r="E8">
        <f>COUNTIFS(data!E:E,data!$J$2,data!G:G,"&lt;"&amp;B8)</f>
        <v>362</v>
      </c>
      <c r="F8">
        <f>COUNTIFS(data!E:E,data!$I$2,data!G:G,"&lt;"&amp;B8)</f>
        <v>259</v>
      </c>
      <c r="G8">
        <f t="shared" si="1"/>
        <v>0</v>
      </c>
      <c r="H8">
        <f t="shared" si="2"/>
        <v>2.6315789473684209E-2</v>
      </c>
      <c r="I8">
        <f t="shared" si="3"/>
        <v>0</v>
      </c>
      <c r="J8">
        <f t="shared" si="4"/>
        <v>1</v>
      </c>
      <c r="K8">
        <f t="shared" si="5"/>
        <v>5.1282051282051273E-2</v>
      </c>
      <c r="L8">
        <f>A8*COUNTIF(data!E:E,$J$2)/data!$M$2</f>
        <v>2.9649681528662422</v>
      </c>
      <c r="M8" s="1">
        <f>A8/data!$M$2</f>
        <v>1.1146496815286623E-2</v>
      </c>
      <c r="N8">
        <f t="shared" si="0"/>
        <v>2.3609022556390977</v>
      </c>
    </row>
    <row r="9" spans="1:17" x14ac:dyDescent="0.2">
      <c r="A9">
        <v>8</v>
      </c>
      <c r="B9">
        <f>LARGE(data!G:G,A9)</f>
        <v>0.86207039249999995</v>
      </c>
      <c r="C9">
        <f>COUNTIFS(data!E:E,data!$I$2,data!G:G,"&gt;="&amp;B9)</f>
        <v>9</v>
      </c>
      <c r="D9">
        <f>COUNTIFS(data!E:E,data!$J$2,data!G:G,"&gt;="&amp;B9)</f>
        <v>0</v>
      </c>
      <c r="E9">
        <f>COUNTIFS(data!E:E,data!$J$2,data!G:G,"&lt;"&amp;B9)</f>
        <v>362</v>
      </c>
      <c r="F9">
        <f>COUNTIFS(data!E:E,data!$I$2,data!G:G,"&lt;"&amp;B9)</f>
        <v>257</v>
      </c>
      <c r="G9">
        <f t="shared" si="1"/>
        <v>0</v>
      </c>
      <c r="H9">
        <f t="shared" si="2"/>
        <v>3.3834586466165412E-2</v>
      </c>
      <c r="I9">
        <f t="shared" si="3"/>
        <v>0</v>
      </c>
      <c r="J9">
        <f t="shared" si="4"/>
        <v>1</v>
      </c>
      <c r="K9">
        <f t="shared" si="5"/>
        <v>6.545454545454546E-2</v>
      </c>
      <c r="L9">
        <f>A9*COUNTIF(data!E:E,$J$2)/data!$M$2</f>
        <v>3.3885350318471339</v>
      </c>
      <c r="M9" s="1">
        <f>A9/data!$M$2</f>
        <v>1.2738853503184714E-2</v>
      </c>
      <c r="N9">
        <f t="shared" si="0"/>
        <v>2.6560150375939848</v>
      </c>
    </row>
    <row r="10" spans="1:17" x14ac:dyDescent="0.2">
      <c r="A10">
        <v>9</v>
      </c>
      <c r="B10">
        <f>LARGE(data!G:G,A10)</f>
        <v>0.86207039249999995</v>
      </c>
      <c r="C10">
        <f>COUNTIFS(data!E:E,data!$I$2,data!G:G,"&gt;="&amp;B10)</f>
        <v>9</v>
      </c>
      <c r="D10">
        <f>COUNTIFS(data!E:E,data!$J$2,data!G:G,"&gt;="&amp;B10)</f>
        <v>0</v>
      </c>
      <c r="E10">
        <f>COUNTIFS(data!E:E,data!$J$2,data!G:G,"&lt;"&amp;B10)</f>
        <v>362</v>
      </c>
      <c r="F10">
        <f>COUNTIFS(data!E:E,data!$I$2,data!G:G,"&lt;"&amp;B10)</f>
        <v>257</v>
      </c>
      <c r="G10">
        <f t="shared" si="1"/>
        <v>0</v>
      </c>
      <c r="H10">
        <f t="shared" si="2"/>
        <v>3.3834586466165412E-2</v>
      </c>
      <c r="I10">
        <f t="shared" si="3"/>
        <v>0</v>
      </c>
      <c r="J10">
        <f t="shared" si="4"/>
        <v>1</v>
      </c>
      <c r="K10">
        <f t="shared" si="5"/>
        <v>6.545454545454546E-2</v>
      </c>
      <c r="L10">
        <f>A10*COUNTIF(data!E:E,$J$2)/data!$M$2</f>
        <v>3.8121019108280256</v>
      </c>
      <c r="M10" s="1">
        <f>A10/data!$M$2</f>
        <v>1.4331210191082803E-2</v>
      </c>
      <c r="N10">
        <f t="shared" si="0"/>
        <v>2.3609022556390977</v>
      </c>
    </row>
    <row r="11" spans="1:17" x14ac:dyDescent="0.2">
      <c r="A11">
        <v>10</v>
      </c>
      <c r="B11">
        <f>LARGE(data!G:G,A11)</f>
        <v>0.86077949399999998</v>
      </c>
      <c r="C11">
        <f>COUNTIFS(data!E:E,data!$I$2,data!G:G,"&gt;="&amp;B11)</f>
        <v>10</v>
      </c>
      <c r="D11">
        <f>COUNTIFS(data!E:E,data!$J$2,data!G:G,"&gt;="&amp;B11)</f>
        <v>0</v>
      </c>
      <c r="E11">
        <f>COUNTIFS(data!E:E,data!$J$2,data!G:G,"&lt;"&amp;B11)</f>
        <v>362</v>
      </c>
      <c r="F11">
        <f>COUNTIFS(data!E:E,data!$I$2,data!G:G,"&lt;"&amp;B11)</f>
        <v>256</v>
      </c>
      <c r="G11">
        <f t="shared" si="1"/>
        <v>0</v>
      </c>
      <c r="H11">
        <f t="shared" si="2"/>
        <v>3.7593984962406013E-2</v>
      </c>
      <c r="I11">
        <f t="shared" si="3"/>
        <v>0</v>
      </c>
      <c r="J11">
        <f t="shared" si="4"/>
        <v>1</v>
      </c>
      <c r="K11">
        <f t="shared" si="5"/>
        <v>7.2463768115942018E-2</v>
      </c>
      <c r="L11">
        <f>A11*COUNTIF(data!E:E,$J$2)/data!$M$2</f>
        <v>4.2356687898089174</v>
      </c>
      <c r="M11" s="1">
        <f>A11/data!$M$2</f>
        <v>1.5923566878980892E-2</v>
      </c>
      <c r="N11">
        <f t="shared" si="0"/>
        <v>2.3609022556390977</v>
      </c>
    </row>
    <row r="12" spans="1:17" x14ac:dyDescent="0.2">
      <c r="A12">
        <v>11</v>
      </c>
      <c r="B12">
        <f>LARGE(data!G:G,A12)</f>
        <v>0.85887893699999995</v>
      </c>
      <c r="C12">
        <f>COUNTIFS(data!E:E,data!$I$2,data!G:G,"&gt;="&amp;B12)</f>
        <v>10</v>
      </c>
      <c r="D12">
        <f>COUNTIFS(data!E:E,data!$J$2,data!G:G,"&gt;="&amp;B12)</f>
        <v>1</v>
      </c>
      <c r="E12">
        <f>COUNTIFS(data!E:E,data!$J$2,data!G:G,"&lt;"&amp;B12)</f>
        <v>361</v>
      </c>
      <c r="F12">
        <f>COUNTIFS(data!E:E,data!$I$2,data!G:G,"&lt;"&amp;B12)</f>
        <v>256</v>
      </c>
      <c r="G12">
        <f t="shared" si="1"/>
        <v>2.7624309392265192E-3</v>
      </c>
      <c r="H12">
        <f t="shared" si="2"/>
        <v>3.7593984962406013E-2</v>
      </c>
      <c r="I12">
        <f t="shared" si="3"/>
        <v>1.0385078718896689E-4</v>
      </c>
      <c r="J12">
        <f t="shared" si="4"/>
        <v>0.90909090909090906</v>
      </c>
      <c r="K12">
        <f t="shared" si="5"/>
        <v>7.2202166064981949E-2</v>
      </c>
      <c r="L12">
        <f>A12*COUNTIF(data!E:E,$J$2)/data!$M$2</f>
        <v>4.6592356687898091</v>
      </c>
      <c r="M12" s="1">
        <f>A12/data!$M$2</f>
        <v>1.751592356687898E-2</v>
      </c>
      <c r="N12">
        <f t="shared" si="0"/>
        <v>2.146274777853725</v>
      </c>
    </row>
    <row r="13" spans="1:17" x14ac:dyDescent="0.2">
      <c r="A13">
        <v>12</v>
      </c>
      <c r="B13">
        <f>LARGE(data!G:G,A13)</f>
        <v>0.85727229439999997</v>
      </c>
      <c r="C13">
        <f>COUNTIFS(data!E:E,data!$I$2,data!G:G,"&gt;="&amp;B13)</f>
        <v>12</v>
      </c>
      <c r="D13">
        <f>COUNTIFS(data!E:E,data!$J$2,data!G:G,"&gt;="&amp;B13)</f>
        <v>1</v>
      </c>
      <c r="E13">
        <f>COUNTIFS(data!E:E,data!$J$2,data!G:G,"&lt;"&amp;B13)</f>
        <v>361</v>
      </c>
      <c r="F13">
        <f>COUNTIFS(data!E:E,data!$I$2,data!G:G,"&lt;"&amp;B13)</f>
        <v>254</v>
      </c>
      <c r="G13">
        <f t="shared" si="1"/>
        <v>2.7624309392265192E-3</v>
      </c>
      <c r="H13">
        <f t="shared" si="2"/>
        <v>4.5112781954887216E-2</v>
      </c>
      <c r="I13">
        <f t="shared" si="3"/>
        <v>0</v>
      </c>
      <c r="J13">
        <f t="shared" si="4"/>
        <v>0.92307692307692313</v>
      </c>
      <c r="K13">
        <f t="shared" si="5"/>
        <v>8.6021505376344079E-2</v>
      </c>
      <c r="L13">
        <f>A13*COUNTIF(data!E:E,$J$2)/data!$M$2</f>
        <v>5.0828025477707008</v>
      </c>
      <c r="M13" s="1">
        <f>A13/data!$M$2</f>
        <v>1.9108280254777069E-2</v>
      </c>
      <c r="N13">
        <f t="shared" si="0"/>
        <v>2.3609022556390977</v>
      </c>
    </row>
    <row r="14" spans="1:17" x14ac:dyDescent="0.2">
      <c r="A14">
        <v>13</v>
      </c>
      <c r="B14">
        <f>LARGE(data!G:G,A14)</f>
        <v>0.85727229439999997</v>
      </c>
      <c r="C14">
        <f>COUNTIFS(data!E:E,data!$I$2,data!G:G,"&gt;="&amp;B14)</f>
        <v>12</v>
      </c>
      <c r="D14">
        <f>COUNTIFS(data!E:E,data!$J$2,data!G:G,"&gt;="&amp;B14)</f>
        <v>1</v>
      </c>
      <c r="E14">
        <f>COUNTIFS(data!E:E,data!$J$2,data!G:G,"&lt;"&amp;B14)</f>
        <v>361</v>
      </c>
      <c r="F14">
        <f>COUNTIFS(data!E:E,data!$I$2,data!G:G,"&lt;"&amp;B14)</f>
        <v>254</v>
      </c>
      <c r="G14">
        <f t="shared" si="1"/>
        <v>2.7624309392265192E-3</v>
      </c>
      <c r="H14">
        <f t="shared" si="2"/>
        <v>4.5112781954887216E-2</v>
      </c>
      <c r="I14">
        <f t="shared" si="3"/>
        <v>0</v>
      </c>
      <c r="J14">
        <f t="shared" si="4"/>
        <v>0.92307692307692313</v>
      </c>
      <c r="K14">
        <f t="shared" si="5"/>
        <v>8.6021505376344079E-2</v>
      </c>
      <c r="L14">
        <f>A14*COUNTIF(data!E:E,$J$2)/data!$M$2</f>
        <v>5.5063694267515926</v>
      </c>
      <c r="M14" s="1">
        <f>A14/data!$M$2</f>
        <v>2.0700636942675158E-2</v>
      </c>
      <c r="N14">
        <f t="shared" si="0"/>
        <v>2.1792943898207056</v>
      </c>
    </row>
    <row r="15" spans="1:17" x14ac:dyDescent="0.2">
      <c r="A15">
        <v>14</v>
      </c>
      <c r="B15">
        <f>LARGE(data!G:G,A15)</f>
        <v>0.85417497929999997</v>
      </c>
      <c r="C15">
        <f>COUNTIFS(data!E:E,data!$I$2,data!G:G,"&gt;="&amp;B15)</f>
        <v>12</v>
      </c>
      <c r="D15">
        <f>COUNTIFS(data!E:E,data!$J$2,data!G:G,"&gt;="&amp;B15)</f>
        <v>2</v>
      </c>
      <c r="E15">
        <f>COUNTIFS(data!E:E,data!$J$2,data!G:G,"&lt;"&amp;B15)</f>
        <v>360</v>
      </c>
      <c r="F15">
        <f>COUNTIFS(data!E:E,data!$I$2,data!G:G,"&lt;"&amp;B15)</f>
        <v>254</v>
      </c>
      <c r="G15">
        <f t="shared" si="1"/>
        <v>5.5248618784530384E-3</v>
      </c>
      <c r="H15">
        <f t="shared" si="2"/>
        <v>4.5112781954887216E-2</v>
      </c>
      <c r="I15">
        <f t="shared" si="3"/>
        <v>1.2462094462676026E-4</v>
      </c>
      <c r="J15">
        <f t="shared" si="4"/>
        <v>0.8571428571428571</v>
      </c>
      <c r="K15">
        <f t="shared" si="5"/>
        <v>8.5714285714285701E-2</v>
      </c>
      <c r="L15">
        <f>A15*COUNTIF(data!E:E,$J$2)/data!$M$2</f>
        <v>5.9299363057324843</v>
      </c>
      <c r="M15" s="1">
        <f>A15/data!$M$2</f>
        <v>2.2292993630573247E-2</v>
      </c>
      <c r="N15">
        <f t="shared" si="0"/>
        <v>2.0236305048335121</v>
      </c>
    </row>
    <row r="16" spans="1:17" x14ac:dyDescent="0.2">
      <c r="A16">
        <v>15</v>
      </c>
      <c r="B16">
        <f>LARGE(data!G:G,A16)</f>
        <v>0.8541675487</v>
      </c>
      <c r="C16">
        <f>COUNTIFS(data!E:E,data!$I$2,data!G:G,"&gt;="&amp;B16)</f>
        <v>13</v>
      </c>
      <c r="D16">
        <f>COUNTIFS(data!E:E,data!$J$2,data!G:G,"&gt;="&amp;B16)</f>
        <v>2</v>
      </c>
      <c r="E16">
        <f>COUNTIFS(data!E:E,data!$J$2,data!G:G,"&lt;"&amp;B16)</f>
        <v>360</v>
      </c>
      <c r="F16">
        <f>COUNTIFS(data!E:E,data!$I$2,data!G:G,"&lt;"&amp;B16)</f>
        <v>253</v>
      </c>
      <c r="G16">
        <f t="shared" si="1"/>
        <v>5.5248618784530384E-3</v>
      </c>
      <c r="H16">
        <f t="shared" si="2"/>
        <v>4.8872180451127817E-2</v>
      </c>
      <c r="I16">
        <f t="shared" si="3"/>
        <v>0</v>
      </c>
      <c r="J16">
        <f t="shared" si="4"/>
        <v>0.8666666666666667</v>
      </c>
      <c r="K16">
        <f t="shared" si="5"/>
        <v>9.2526690391459068E-2</v>
      </c>
      <c r="L16">
        <f>A16*COUNTIF(data!E:E,$J$2)/data!$M$2</f>
        <v>6.3535031847133761</v>
      </c>
      <c r="M16" s="1">
        <f>A16/data!$M$2</f>
        <v>2.3885350318471339E-2</v>
      </c>
      <c r="N16">
        <f t="shared" si="0"/>
        <v>2.0461152882205513</v>
      </c>
    </row>
    <row r="17" spans="1:14" x14ac:dyDescent="0.2">
      <c r="A17">
        <v>16</v>
      </c>
      <c r="B17">
        <f>LARGE(data!G:G,A17)</f>
        <v>0.84940896359999996</v>
      </c>
      <c r="C17">
        <f>COUNTIFS(data!E:E,data!$I$2,data!G:G,"&gt;="&amp;B17)</f>
        <v>14</v>
      </c>
      <c r="D17">
        <f>COUNTIFS(data!E:E,data!$J$2,data!G:G,"&gt;="&amp;B17)</f>
        <v>2</v>
      </c>
      <c r="E17">
        <f>COUNTIFS(data!E:E,data!$J$2,data!G:G,"&lt;"&amp;B17)</f>
        <v>360</v>
      </c>
      <c r="F17">
        <f>COUNTIFS(data!E:E,data!$I$2,data!G:G,"&lt;"&amp;B17)</f>
        <v>252</v>
      </c>
      <c r="G17">
        <f t="shared" si="1"/>
        <v>5.5248618784530384E-3</v>
      </c>
      <c r="H17">
        <f t="shared" si="2"/>
        <v>5.2631578947368418E-2</v>
      </c>
      <c r="I17">
        <f t="shared" si="3"/>
        <v>0</v>
      </c>
      <c r="J17">
        <f t="shared" si="4"/>
        <v>0.875</v>
      </c>
      <c r="K17">
        <f t="shared" si="5"/>
        <v>9.9290780141843976E-2</v>
      </c>
      <c r="L17">
        <f>A17*COUNTIF(data!E:E,$J$2)/data!$M$2</f>
        <v>6.7770700636942678</v>
      </c>
      <c r="M17" s="1">
        <f>A17/data!$M$2</f>
        <v>2.5477707006369428E-2</v>
      </c>
      <c r="N17">
        <f t="shared" si="0"/>
        <v>2.0657894736842106</v>
      </c>
    </row>
    <row r="18" spans="1:14" x14ac:dyDescent="0.2">
      <c r="A18">
        <v>17</v>
      </c>
      <c r="B18">
        <f>LARGE(data!G:G,A18)</f>
        <v>0.84791580639999997</v>
      </c>
      <c r="C18">
        <f>COUNTIFS(data!E:E,data!$I$2,data!G:G,"&gt;="&amp;B18)</f>
        <v>15</v>
      </c>
      <c r="D18">
        <f>COUNTIFS(data!E:E,data!$J$2,data!G:G,"&gt;="&amp;B18)</f>
        <v>2</v>
      </c>
      <c r="E18">
        <f>COUNTIFS(data!E:E,data!$J$2,data!G:G,"&lt;"&amp;B18)</f>
        <v>360</v>
      </c>
      <c r="F18">
        <f>COUNTIFS(data!E:E,data!$I$2,data!G:G,"&lt;"&amp;B18)</f>
        <v>251</v>
      </c>
      <c r="G18">
        <f t="shared" si="1"/>
        <v>5.5248618784530384E-3</v>
      </c>
      <c r="H18">
        <f t="shared" si="2"/>
        <v>5.6390977443609019E-2</v>
      </c>
      <c r="I18">
        <f t="shared" si="3"/>
        <v>0</v>
      </c>
      <c r="J18">
        <f t="shared" si="4"/>
        <v>0.88235294117647056</v>
      </c>
      <c r="K18">
        <f t="shared" si="5"/>
        <v>0.10600706713780919</v>
      </c>
      <c r="L18">
        <f>A18*COUNTIF(data!E:E,$J$2)/data!$M$2</f>
        <v>7.2006369426751595</v>
      </c>
      <c r="M18" s="1">
        <f>A18/data!$M$2</f>
        <v>2.7070063694267517E-2</v>
      </c>
      <c r="N18">
        <f t="shared" si="0"/>
        <v>2.0831490490933215</v>
      </c>
    </row>
    <row r="19" spans="1:14" x14ac:dyDescent="0.2">
      <c r="A19">
        <v>18</v>
      </c>
      <c r="B19">
        <f>LARGE(data!G:G,A19)</f>
        <v>0.83873738630000005</v>
      </c>
      <c r="C19">
        <f>COUNTIFS(data!E:E,data!$I$2,data!G:G,"&gt;="&amp;B19)</f>
        <v>17</v>
      </c>
      <c r="D19">
        <f>COUNTIFS(data!E:E,data!$J$2,data!G:G,"&gt;="&amp;B19)</f>
        <v>2</v>
      </c>
      <c r="E19">
        <f>COUNTIFS(data!E:E,data!$J$2,data!G:G,"&lt;"&amp;B19)</f>
        <v>360</v>
      </c>
      <c r="F19">
        <f>COUNTIFS(data!E:E,data!$I$2,data!G:G,"&lt;"&amp;B19)</f>
        <v>249</v>
      </c>
      <c r="G19">
        <f t="shared" si="1"/>
        <v>5.5248618784530384E-3</v>
      </c>
      <c r="H19">
        <f t="shared" si="2"/>
        <v>6.3909774436090222E-2</v>
      </c>
      <c r="I19">
        <f t="shared" si="3"/>
        <v>0</v>
      </c>
      <c r="J19">
        <f t="shared" si="4"/>
        <v>0.89473684210526316</v>
      </c>
      <c r="K19">
        <f t="shared" si="5"/>
        <v>0.11929824561403507</v>
      </c>
      <c r="L19">
        <f>A19*COUNTIF(data!E:E,$J$2)/data!$M$2</f>
        <v>7.6242038216560513</v>
      </c>
      <c r="M19" s="1">
        <f>A19/data!$M$2</f>
        <v>2.8662420382165606E-2</v>
      </c>
      <c r="N19">
        <f t="shared" si="0"/>
        <v>2.2297410192147034</v>
      </c>
    </row>
    <row r="20" spans="1:14" x14ac:dyDescent="0.2">
      <c r="A20">
        <v>19</v>
      </c>
      <c r="B20">
        <f>LARGE(data!G:G,A20)</f>
        <v>0.83873738630000005</v>
      </c>
      <c r="C20">
        <f>COUNTIFS(data!E:E,data!$I$2,data!G:G,"&gt;="&amp;B20)</f>
        <v>17</v>
      </c>
      <c r="D20">
        <f>COUNTIFS(data!E:E,data!$J$2,data!G:G,"&gt;="&amp;B20)</f>
        <v>2</v>
      </c>
      <c r="E20">
        <f>COUNTIFS(data!E:E,data!$J$2,data!G:G,"&lt;"&amp;B20)</f>
        <v>360</v>
      </c>
      <c r="F20">
        <f>COUNTIFS(data!E:E,data!$I$2,data!G:G,"&lt;"&amp;B20)</f>
        <v>249</v>
      </c>
      <c r="G20">
        <f t="shared" si="1"/>
        <v>5.5248618784530384E-3</v>
      </c>
      <c r="H20">
        <f t="shared" si="2"/>
        <v>6.3909774436090222E-2</v>
      </c>
      <c r="I20">
        <f t="shared" si="3"/>
        <v>0</v>
      </c>
      <c r="J20">
        <f t="shared" si="4"/>
        <v>0.89473684210526316</v>
      </c>
      <c r="K20">
        <f t="shared" si="5"/>
        <v>0.11929824561403507</v>
      </c>
      <c r="L20">
        <f>A20*COUNTIF(data!E:E,$J$2)/data!$M$2</f>
        <v>8.0477707006369421</v>
      </c>
      <c r="M20" s="1">
        <f>A20/data!$M$2</f>
        <v>3.0254777070063694E-2</v>
      </c>
      <c r="N20">
        <f t="shared" si="0"/>
        <v>2.112386228729719</v>
      </c>
    </row>
    <row r="21" spans="1:14" x14ac:dyDescent="0.2">
      <c r="A21">
        <v>20</v>
      </c>
      <c r="B21">
        <f>LARGE(data!G:G,A21)</f>
        <v>0.83540020559999995</v>
      </c>
      <c r="C21">
        <f>COUNTIFS(data!E:E,data!$I$2,data!G:G,"&gt;="&amp;B21)</f>
        <v>18</v>
      </c>
      <c r="D21">
        <f>COUNTIFS(data!E:E,data!$J$2,data!G:G,"&gt;="&amp;B21)</f>
        <v>2</v>
      </c>
      <c r="E21">
        <f>COUNTIFS(data!E:E,data!$J$2,data!G:G,"&lt;"&amp;B21)</f>
        <v>360</v>
      </c>
      <c r="F21">
        <f>COUNTIFS(data!E:E,data!$I$2,data!G:G,"&lt;"&amp;B21)</f>
        <v>248</v>
      </c>
      <c r="G21">
        <f t="shared" si="1"/>
        <v>5.5248618784530384E-3</v>
      </c>
      <c r="H21">
        <f t="shared" si="2"/>
        <v>6.7669172932330823E-2</v>
      </c>
      <c r="I21">
        <f t="shared" si="3"/>
        <v>0</v>
      </c>
      <c r="J21">
        <f t="shared" si="4"/>
        <v>0.9</v>
      </c>
      <c r="K21">
        <f t="shared" si="5"/>
        <v>0.12587412587412589</v>
      </c>
      <c r="L21">
        <f>A21*COUNTIF(data!E:E,$J$2)/data!$M$2</f>
        <v>8.4713375796178347</v>
      </c>
      <c r="M21" s="1">
        <f>A21/data!$M$2</f>
        <v>3.1847133757961783E-2</v>
      </c>
      <c r="N21">
        <f t="shared" si="0"/>
        <v>2.124812030075188</v>
      </c>
    </row>
    <row r="22" spans="1:14" x14ac:dyDescent="0.2">
      <c r="A22">
        <v>21</v>
      </c>
      <c r="B22">
        <f>LARGE(data!G:G,A22)</f>
        <v>0.83222744589999997</v>
      </c>
      <c r="C22">
        <f>COUNTIFS(data!E:E,data!$I$2,data!G:G,"&gt;="&amp;B22)</f>
        <v>19</v>
      </c>
      <c r="D22">
        <f>COUNTIFS(data!E:E,data!$J$2,data!G:G,"&gt;="&amp;B22)</f>
        <v>2</v>
      </c>
      <c r="E22">
        <f>COUNTIFS(data!E:E,data!$J$2,data!G:G,"&lt;"&amp;B22)</f>
        <v>360</v>
      </c>
      <c r="F22">
        <f>COUNTIFS(data!E:E,data!$I$2,data!G:G,"&lt;"&amp;B22)</f>
        <v>247</v>
      </c>
      <c r="G22">
        <f t="shared" si="1"/>
        <v>5.5248618784530384E-3</v>
      </c>
      <c r="H22">
        <f t="shared" si="2"/>
        <v>7.1428571428571425E-2</v>
      </c>
      <c r="I22">
        <f t="shared" si="3"/>
        <v>0</v>
      </c>
      <c r="J22">
        <f t="shared" si="4"/>
        <v>0.90476190476190477</v>
      </c>
      <c r="K22">
        <f t="shared" si="5"/>
        <v>0.13240418118466898</v>
      </c>
      <c r="L22">
        <f>A22*COUNTIF(data!E:E,$J$2)/data!$M$2</f>
        <v>8.8949044585987256</v>
      </c>
      <c r="M22" s="1">
        <f>A22/data!$M$2</f>
        <v>3.3439490445859872E-2</v>
      </c>
      <c r="N22">
        <f t="shared" si="0"/>
        <v>2.1360544217687076</v>
      </c>
    </row>
    <row r="23" spans="1:14" x14ac:dyDescent="0.2">
      <c r="A23">
        <v>22</v>
      </c>
      <c r="B23">
        <f>LARGE(data!G:G,A23)</f>
        <v>0.83076859920000001</v>
      </c>
      <c r="C23">
        <f>COUNTIFS(data!E:E,data!$I$2,data!G:G,"&gt;="&amp;B23)</f>
        <v>20</v>
      </c>
      <c r="D23">
        <f>COUNTIFS(data!E:E,data!$J$2,data!G:G,"&gt;="&amp;B23)</f>
        <v>2</v>
      </c>
      <c r="E23">
        <f>COUNTIFS(data!E:E,data!$J$2,data!G:G,"&lt;"&amp;B23)</f>
        <v>360</v>
      </c>
      <c r="F23">
        <f>COUNTIFS(data!E:E,data!$I$2,data!G:G,"&lt;"&amp;B23)</f>
        <v>246</v>
      </c>
      <c r="G23">
        <f t="shared" si="1"/>
        <v>5.5248618784530384E-3</v>
      </c>
      <c r="H23">
        <f t="shared" si="2"/>
        <v>7.5187969924812026E-2</v>
      </c>
      <c r="I23">
        <f t="shared" si="3"/>
        <v>0</v>
      </c>
      <c r="J23">
        <f t="shared" si="4"/>
        <v>0.90909090909090906</v>
      </c>
      <c r="K23">
        <f t="shared" si="5"/>
        <v>0.13888888888888887</v>
      </c>
      <c r="L23">
        <f>A23*COUNTIF(data!E:E,$J$2)/data!$M$2</f>
        <v>9.3184713375796182</v>
      </c>
      <c r="M23" s="1">
        <f>A23/data!$M$2</f>
        <v>3.5031847133757961E-2</v>
      </c>
      <c r="N23">
        <f t="shared" si="0"/>
        <v>2.146274777853725</v>
      </c>
    </row>
    <row r="24" spans="1:14" x14ac:dyDescent="0.2">
      <c r="A24">
        <v>23</v>
      </c>
      <c r="B24">
        <f>LARGE(data!G:G,A24)</f>
        <v>0.82996226350000002</v>
      </c>
      <c r="C24">
        <f>COUNTIFS(data!E:E,data!$I$2,data!G:G,"&gt;="&amp;B24)</f>
        <v>21</v>
      </c>
      <c r="D24">
        <f>COUNTIFS(data!E:E,data!$J$2,data!G:G,"&gt;="&amp;B24)</f>
        <v>2</v>
      </c>
      <c r="E24">
        <f>COUNTIFS(data!E:E,data!$J$2,data!G:G,"&lt;"&amp;B24)</f>
        <v>360</v>
      </c>
      <c r="F24">
        <f>COUNTIFS(data!E:E,data!$I$2,data!G:G,"&lt;"&amp;B24)</f>
        <v>245</v>
      </c>
      <c r="G24">
        <f t="shared" si="1"/>
        <v>5.5248618784530384E-3</v>
      </c>
      <c r="H24">
        <f t="shared" si="2"/>
        <v>7.8947368421052627E-2</v>
      </c>
      <c r="I24">
        <f t="shared" si="3"/>
        <v>0</v>
      </c>
      <c r="J24">
        <f t="shared" si="4"/>
        <v>0.91304347826086951</v>
      </c>
      <c r="K24">
        <f t="shared" si="5"/>
        <v>0.14532871972318337</v>
      </c>
      <c r="L24">
        <f>A24*COUNTIF(data!E:E,$J$2)/data!$M$2</f>
        <v>9.7420382165605091</v>
      </c>
      <c r="M24" s="1">
        <f>A24/data!$M$2</f>
        <v>3.662420382165605E-2</v>
      </c>
      <c r="N24">
        <f t="shared" si="0"/>
        <v>2.1556064073226544</v>
      </c>
    </row>
    <row r="25" spans="1:14" x14ac:dyDescent="0.2">
      <c r="A25">
        <v>24</v>
      </c>
      <c r="B25">
        <f>LARGE(data!G:G,A25)</f>
        <v>0.82864516519999998</v>
      </c>
      <c r="C25">
        <f>COUNTIFS(data!E:E,data!$I$2,data!G:G,"&gt;="&amp;B25)</f>
        <v>22</v>
      </c>
      <c r="D25">
        <f>COUNTIFS(data!E:E,data!$J$2,data!G:G,"&gt;="&amp;B25)</f>
        <v>2</v>
      </c>
      <c r="E25">
        <f>COUNTIFS(data!E:E,data!$J$2,data!G:G,"&lt;"&amp;B25)</f>
        <v>360</v>
      </c>
      <c r="F25">
        <f>COUNTIFS(data!E:E,data!$I$2,data!G:G,"&lt;"&amp;B25)</f>
        <v>244</v>
      </c>
      <c r="G25">
        <f t="shared" si="1"/>
        <v>5.5248618784530384E-3</v>
      </c>
      <c r="H25">
        <f t="shared" si="2"/>
        <v>8.2706766917293228E-2</v>
      </c>
      <c r="I25">
        <f t="shared" si="3"/>
        <v>0</v>
      </c>
      <c r="J25">
        <f t="shared" si="4"/>
        <v>0.91666666666666663</v>
      </c>
      <c r="K25">
        <f t="shared" si="5"/>
        <v>0.15172413793103448</v>
      </c>
      <c r="L25">
        <f>A25*COUNTIF(data!E:E,$J$2)/data!$M$2</f>
        <v>10.165605095541402</v>
      </c>
      <c r="M25" s="1">
        <f>A25/data!$M$2</f>
        <v>3.8216560509554139E-2</v>
      </c>
      <c r="N25">
        <f t="shared" si="0"/>
        <v>2.1641604010025062</v>
      </c>
    </row>
    <row r="26" spans="1:14" x14ac:dyDescent="0.2">
      <c r="A26">
        <v>25</v>
      </c>
      <c r="B26">
        <f>LARGE(data!G:G,A26)</f>
        <v>0.82826879220000005</v>
      </c>
      <c r="C26">
        <f>COUNTIFS(data!E:E,data!$I$2,data!G:G,"&gt;="&amp;B26)</f>
        <v>24</v>
      </c>
      <c r="D26">
        <f>COUNTIFS(data!E:E,data!$J$2,data!G:G,"&gt;="&amp;B26)</f>
        <v>2</v>
      </c>
      <c r="E26">
        <f>COUNTIFS(data!E:E,data!$J$2,data!G:G,"&lt;"&amp;B26)</f>
        <v>360</v>
      </c>
      <c r="F26">
        <f>COUNTIFS(data!E:E,data!$I$2,data!G:G,"&lt;"&amp;B26)</f>
        <v>242</v>
      </c>
      <c r="G26">
        <f t="shared" si="1"/>
        <v>5.5248618784530384E-3</v>
      </c>
      <c r="H26">
        <f t="shared" si="2"/>
        <v>9.0225563909774431E-2</v>
      </c>
      <c r="I26">
        <f t="shared" si="3"/>
        <v>0</v>
      </c>
      <c r="J26">
        <f t="shared" si="4"/>
        <v>0.92307692307692313</v>
      </c>
      <c r="K26">
        <f t="shared" si="5"/>
        <v>0.16438356164383561</v>
      </c>
      <c r="L26">
        <f>A26*COUNTIF(data!E:E,$J$2)/data!$M$2</f>
        <v>10.589171974522293</v>
      </c>
      <c r="M26" s="1">
        <f>A26/data!$M$2</f>
        <v>3.9808917197452227E-2</v>
      </c>
      <c r="N26">
        <f t="shared" si="0"/>
        <v>2.2664661654135339</v>
      </c>
    </row>
    <row r="27" spans="1:14" x14ac:dyDescent="0.2">
      <c r="A27">
        <v>26</v>
      </c>
      <c r="B27">
        <f>LARGE(data!G:G,A27)</f>
        <v>0.82826879220000005</v>
      </c>
      <c r="C27">
        <f>COUNTIFS(data!E:E,data!$I$2,data!G:G,"&gt;="&amp;B27)</f>
        <v>24</v>
      </c>
      <c r="D27">
        <f>COUNTIFS(data!E:E,data!$J$2,data!G:G,"&gt;="&amp;B27)</f>
        <v>2</v>
      </c>
      <c r="E27">
        <f>COUNTIFS(data!E:E,data!$J$2,data!G:G,"&lt;"&amp;B27)</f>
        <v>360</v>
      </c>
      <c r="F27">
        <f>COUNTIFS(data!E:E,data!$I$2,data!G:G,"&lt;"&amp;B27)</f>
        <v>242</v>
      </c>
      <c r="G27">
        <f t="shared" si="1"/>
        <v>5.5248618784530384E-3</v>
      </c>
      <c r="H27">
        <f t="shared" si="2"/>
        <v>9.0225563909774431E-2</v>
      </c>
      <c r="I27">
        <f t="shared" si="3"/>
        <v>0</v>
      </c>
      <c r="J27">
        <f t="shared" si="4"/>
        <v>0.92307692307692313</v>
      </c>
      <c r="K27">
        <f t="shared" si="5"/>
        <v>0.16438356164383561</v>
      </c>
      <c r="L27">
        <f>A27*COUNTIF(data!E:E,$J$2)/data!$M$2</f>
        <v>11.012738853503185</v>
      </c>
      <c r="M27" s="1">
        <f>A27/data!$M$2</f>
        <v>4.1401273885350316E-2</v>
      </c>
      <c r="N27">
        <f t="shared" si="0"/>
        <v>2.1792943898207056</v>
      </c>
    </row>
    <row r="28" spans="1:14" x14ac:dyDescent="0.2">
      <c r="A28">
        <v>27</v>
      </c>
      <c r="B28">
        <f>LARGE(data!G:G,A28)</f>
        <v>0.81989519030000002</v>
      </c>
      <c r="C28">
        <f>COUNTIFS(data!E:E,data!$I$2,data!G:G,"&gt;="&amp;B28)</f>
        <v>25</v>
      </c>
      <c r="D28">
        <f>COUNTIFS(data!E:E,data!$J$2,data!G:G,"&gt;="&amp;B28)</f>
        <v>2</v>
      </c>
      <c r="E28">
        <f>COUNTIFS(data!E:E,data!$J$2,data!G:G,"&lt;"&amp;B28)</f>
        <v>360</v>
      </c>
      <c r="F28">
        <f>COUNTIFS(data!E:E,data!$I$2,data!G:G,"&lt;"&amp;B28)</f>
        <v>241</v>
      </c>
      <c r="G28">
        <f t="shared" si="1"/>
        <v>5.5248618784530384E-3</v>
      </c>
      <c r="H28">
        <f t="shared" si="2"/>
        <v>9.3984962406015032E-2</v>
      </c>
      <c r="I28">
        <f t="shared" si="3"/>
        <v>0</v>
      </c>
      <c r="J28">
        <f t="shared" si="4"/>
        <v>0.92592592592592593</v>
      </c>
      <c r="K28">
        <f t="shared" si="5"/>
        <v>0.17064846416382251</v>
      </c>
      <c r="L28">
        <f>A28*COUNTIF(data!E:E,$J$2)/data!$M$2</f>
        <v>11.436305732484076</v>
      </c>
      <c r="M28" s="1">
        <f>A28/data!$M$2</f>
        <v>4.2993630573248405E-2</v>
      </c>
      <c r="N28">
        <f t="shared" si="0"/>
        <v>2.1860206070732389</v>
      </c>
    </row>
    <row r="29" spans="1:14" x14ac:dyDescent="0.2">
      <c r="A29">
        <v>28</v>
      </c>
      <c r="B29">
        <f>LARGE(data!G:G,A29)</f>
        <v>0.81815909799999997</v>
      </c>
      <c r="C29">
        <f>COUNTIFS(data!E:E,data!$I$2,data!G:G,"&gt;="&amp;B29)</f>
        <v>26</v>
      </c>
      <c r="D29">
        <f>COUNTIFS(data!E:E,data!$J$2,data!G:G,"&gt;="&amp;B29)</f>
        <v>2</v>
      </c>
      <c r="E29">
        <f>COUNTIFS(data!E:E,data!$J$2,data!G:G,"&lt;"&amp;B29)</f>
        <v>360</v>
      </c>
      <c r="F29">
        <f>COUNTIFS(data!E:E,data!$I$2,data!G:G,"&lt;"&amp;B29)</f>
        <v>240</v>
      </c>
      <c r="G29">
        <f t="shared" si="1"/>
        <v>5.5248618784530384E-3</v>
      </c>
      <c r="H29">
        <f t="shared" si="2"/>
        <v>9.7744360902255634E-2</v>
      </c>
      <c r="I29">
        <f t="shared" si="3"/>
        <v>0</v>
      </c>
      <c r="J29">
        <f t="shared" si="4"/>
        <v>0.9285714285714286</v>
      </c>
      <c r="K29">
        <f t="shared" si="5"/>
        <v>0.17687074829931973</v>
      </c>
      <c r="L29">
        <f>A29*COUNTIF(data!E:E,$J$2)/data!$M$2</f>
        <v>11.859872611464969</v>
      </c>
      <c r="M29" s="1">
        <f>A29/data!$M$2</f>
        <v>4.4585987261146494E-2</v>
      </c>
      <c r="N29">
        <f t="shared" si="0"/>
        <v>2.1922663802363052</v>
      </c>
    </row>
    <row r="30" spans="1:14" x14ac:dyDescent="0.2">
      <c r="A30">
        <v>29</v>
      </c>
      <c r="B30">
        <f>LARGE(data!G:G,A30)</f>
        <v>0.81512936849999995</v>
      </c>
      <c r="C30">
        <f>COUNTIFS(data!E:E,data!$I$2,data!G:G,"&gt;="&amp;B30)</f>
        <v>27</v>
      </c>
      <c r="D30">
        <f>COUNTIFS(data!E:E,data!$J$2,data!G:G,"&gt;="&amp;B30)</f>
        <v>2</v>
      </c>
      <c r="E30">
        <f>COUNTIFS(data!E:E,data!$J$2,data!G:G,"&lt;"&amp;B30)</f>
        <v>360</v>
      </c>
      <c r="F30">
        <f>COUNTIFS(data!E:E,data!$I$2,data!G:G,"&lt;"&amp;B30)</f>
        <v>239</v>
      </c>
      <c r="G30">
        <f t="shared" si="1"/>
        <v>5.5248618784530384E-3</v>
      </c>
      <c r="H30">
        <f t="shared" si="2"/>
        <v>0.10150375939849623</v>
      </c>
      <c r="I30">
        <f t="shared" si="3"/>
        <v>0</v>
      </c>
      <c r="J30">
        <f t="shared" si="4"/>
        <v>0.93103448275862066</v>
      </c>
      <c r="K30">
        <f t="shared" si="5"/>
        <v>0.18305084745762709</v>
      </c>
      <c r="L30">
        <f>A30*COUNTIF(data!E:E,$J$2)/data!$M$2</f>
        <v>12.283439490445859</v>
      </c>
      <c r="M30" s="1">
        <f>A30/data!$M$2</f>
        <v>4.6178343949044583E-2</v>
      </c>
      <c r="N30">
        <f t="shared" si="0"/>
        <v>2.1980814104226085</v>
      </c>
    </row>
    <row r="31" spans="1:14" x14ac:dyDescent="0.2">
      <c r="A31">
        <v>30</v>
      </c>
      <c r="B31">
        <f>LARGE(data!G:G,A31)</f>
        <v>0.8096599645</v>
      </c>
      <c r="C31">
        <f>COUNTIFS(data!E:E,data!$I$2,data!G:G,"&gt;="&amp;B31)</f>
        <v>28</v>
      </c>
      <c r="D31">
        <f>COUNTIFS(data!E:E,data!$J$2,data!G:G,"&gt;="&amp;B31)</f>
        <v>2</v>
      </c>
      <c r="E31">
        <f>COUNTIFS(data!E:E,data!$J$2,data!G:G,"&lt;"&amp;B31)</f>
        <v>360</v>
      </c>
      <c r="F31">
        <f>COUNTIFS(data!E:E,data!$I$2,data!G:G,"&lt;"&amp;B31)</f>
        <v>238</v>
      </c>
      <c r="G31">
        <f t="shared" si="1"/>
        <v>5.5248618784530384E-3</v>
      </c>
      <c r="H31">
        <f t="shared" si="2"/>
        <v>0.10526315789473684</v>
      </c>
      <c r="I31">
        <f t="shared" si="3"/>
        <v>0</v>
      </c>
      <c r="J31">
        <f t="shared" si="4"/>
        <v>0.93333333333333335</v>
      </c>
      <c r="K31">
        <f t="shared" si="5"/>
        <v>0.18918918918918917</v>
      </c>
      <c r="L31">
        <f>A31*COUNTIF(data!E:E,$J$2)/data!$M$2</f>
        <v>12.707006369426752</v>
      </c>
      <c r="M31" s="1">
        <f>A31/data!$M$2</f>
        <v>4.7770700636942678E-2</v>
      </c>
      <c r="N31">
        <f t="shared" si="0"/>
        <v>2.2035087719298243</v>
      </c>
    </row>
    <row r="32" spans="1:14" x14ac:dyDescent="0.2">
      <c r="A32">
        <v>31</v>
      </c>
      <c r="B32">
        <f>LARGE(data!G:G,A32)</f>
        <v>0.80961112619999998</v>
      </c>
      <c r="C32">
        <f>COUNTIFS(data!E:E,data!$I$2,data!G:G,"&gt;="&amp;B32)</f>
        <v>28</v>
      </c>
      <c r="D32">
        <f>COUNTIFS(data!E:E,data!$J$2,data!G:G,"&gt;="&amp;B32)</f>
        <v>3</v>
      </c>
      <c r="E32">
        <f>COUNTIFS(data!E:E,data!$J$2,data!G:G,"&lt;"&amp;B32)</f>
        <v>359</v>
      </c>
      <c r="F32">
        <f>COUNTIFS(data!E:E,data!$I$2,data!G:G,"&lt;"&amp;B32)</f>
        <v>238</v>
      </c>
      <c r="G32">
        <f t="shared" si="1"/>
        <v>8.2872928176795577E-3</v>
      </c>
      <c r="H32">
        <f t="shared" si="2"/>
        <v>0.10526315789473684</v>
      </c>
      <c r="I32">
        <f t="shared" si="3"/>
        <v>2.9078220412910729E-4</v>
      </c>
      <c r="J32">
        <f t="shared" si="4"/>
        <v>0.90322580645161288</v>
      </c>
      <c r="K32">
        <f t="shared" si="5"/>
        <v>0.18855218855218855</v>
      </c>
      <c r="L32">
        <f>A32*COUNTIF(data!E:E,$J$2)/data!$M$2</f>
        <v>13.130573248407643</v>
      </c>
      <c r="M32" s="1">
        <f>A32/data!$M$2</f>
        <v>4.9363057324840767E-2</v>
      </c>
      <c r="N32">
        <f t="shared" si="0"/>
        <v>2.1324278438030562</v>
      </c>
    </row>
    <row r="33" spans="1:14" x14ac:dyDescent="0.2">
      <c r="A33">
        <v>32</v>
      </c>
      <c r="B33">
        <f>LARGE(data!G:G,A33)</f>
        <v>0.80401802600000005</v>
      </c>
      <c r="C33">
        <f>COUNTIFS(data!E:E,data!$I$2,data!G:G,"&gt;="&amp;B33)</f>
        <v>29</v>
      </c>
      <c r="D33">
        <f>COUNTIFS(data!E:E,data!$J$2,data!G:G,"&gt;="&amp;B33)</f>
        <v>3</v>
      </c>
      <c r="E33">
        <f>COUNTIFS(data!E:E,data!$J$2,data!G:G,"&lt;"&amp;B33)</f>
        <v>359</v>
      </c>
      <c r="F33">
        <f>COUNTIFS(data!E:E,data!$I$2,data!G:G,"&lt;"&amp;B33)</f>
        <v>237</v>
      </c>
      <c r="G33">
        <f t="shared" si="1"/>
        <v>8.2872928176795577E-3</v>
      </c>
      <c r="H33">
        <f t="shared" si="2"/>
        <v>0.10902255639097744</v>
      </c>
      <c r="I33">
        <f t="shared" si="3"/>
        <v>0</v>
      </c>
      <c r="J33">
        <f t="shared" si="4"/>
        <v>0.90625</v>
      </c>
      <c r="K33">
        <f t="shared" si="5"/>
        <v>0.19463087248322147</v>
      </c>
      <c r="L33">
        <f>A33*COUNTIF(data!E:E,$J$2)/data!$M$2</f>
        <v>13.554140127388536</v>
      </c>
      <c r="M33" s="1">
        <f>A33/data!$M$2</f>
        <v>5.0955414012738856E-2</v>
      </c>
      <c r="N33">
        <f t="shared" si="0"/>
        <v>2.1395676691729322</v>
      </c>
    </row>
    <row r="34" spans="1:14" x14ac:dyDescent="0.2">
      <c r="A34">
        <v>33</v>
      </c>
      <c r="B34">
        <f>LARGE(data!G:G,A34)</f>
        <v>0.80050805729999996</v>
      </c>
      <c r="C34">
        <f>COUNTIFS(data!E:E,data!$I$2,data!G:G,"&gt;="&amp;B34)</f>
        <v>30</v>
      </c>
      <c r="D34">
        <f>COUNTIFS(data!E:E,data!$J$2,data!G:G,"&gt;="&amp;B34)</f>
        <v>3</v>
      </c>
      <c r="E34">
        <f>COUNTIFS(data!E:E,data!$J$2,data!G:G,"&lt;"&amp;B34)</f>
        <v>359</v>
      </c>
      <c r="F34">
        <f>COUNTIFS(data!E:E,data!$I$2,data!G:G,"&lt;"&amp;B34)</f>
        <v>236</v>
      </c>
      <c r="G34">
        <f t="shared" si="1"/>
        <v>8.2872928176795577E-3</v>
      </c>
      <c r="H34">
        <f t="shared" si="2"/>
        <v>0.11278195488721804</v>
      </c>
      <c r="I34">
        <f t="shared" si="3"/>
        <v>0</v>
      </c>
      <c r="J34">
        <f t="shared" si="4"/>
        <v>0.90909090909090906</v>
      </c>
      <c r="K34">
        <f t="shared" si="5"/>
        <v>0.20066889632107021</v>
      </c>
      <c r="L34">
        <f>A34*COUNTIF(data!E:E,$J$2)/data!$M$2</f>
        <v>13.977707006369426</v>
      </c>
      <c r="M34" s="1">
        <f>A34/data!$M$2</f>
        <v>5.2547770700636945E-2</v>
      </c>
      <c r="N34">
        <f t="shared" si="0"/>
        <v>2.1462747778537254</v>
      </c>
    </row>
    <row r="35" spans="1:14" x14ac:dyDescent="0.2">
      <c r="A35">
        <v>34</v>
      </c>
      <c r="B35">
        <f>LARGE(data!G:G,A35)</f>
        <v>0.79833183299999999</v>
      </c>
      <c r="C35">
        <f>COUNTIFS(data!E:E,data!$I$2,data!G:G,"&gt;="&amp;B35)</f>
        <v>31</v>
      </c>
      <c r="D35">
        <f>COUNTIFS(data!E:E,data!$J$2,data!G:G,"&gt;="&amp;B35)</f>
        <v>3</v>
      </c>
      <c r="E35">
        <f>COUNTIFS(data!E:E,data!$J$2,data!G:G,"&lt;"&amp;B35)</f>
        <v>359</v>
      </c>
      <c r="F35">
        <f>COUNTIFS(data!E:E,data!$I$2,data!G:G,"&lt;"&amp;B35)</f>
        <v>235</v>
      </c>
      <c r="G35">
        <f t="shared" si="1"/>
        <v>8.2872928176795577E-3</v>
      </c>
      <c r="H35">
        <f t="shared" si="2"/>
        <v>0.11654135338345864</v>
      </c>
      <c r="I35">
        <f t="shared" si="3"/>
        <v>0</v>
      </c>
      <c r="J35">
        <f t="shared" si="4"/>
        <v>0.91176470588235292</v>
      </c>
      <c r="K35">
        <f t="shared" si="5"/>
        <v>0.20666666666666667</v>
      </c>
      <c r="L35">
        <f>A35*COUNTIF(data!E:E,$J$2)/data!$M$2</f>
        <v>14.401273885350319</v>
      </c>
      <c r="M35" s="1">
        <f>A35/data!$M$2</f>
        <v>5.4140127388535034E-2</v>
      </c>
      <c r="N35">
        <f t="shared" si="0"/>
        <v>2.1525873507297657</v>
      </c>
    </row>
    <row r="36" spans="1:14" x14ac:dyDescent="0.2">
      <c r="A36">
        <v>35</v>
      </c>
      <c r="B36">
        <f>LARGE(data!G:G,A36)</f>
        <v>0.79214336119999995</v>
      </c>
      <c r="C36">
        <f>COUNTIFS(data!E:E,data!$I$2,data!G:G,"&gt;="&amp;B36)</f>
        <v>31</v>
      </c>
      <c r="D36">
        <f>COUNTIFS(data!E:E,data!$J$2,data!G:G,"&gt;="&amp;B36)</f>
        <v>4</v>
      </c>
      <c r="E36">
        <f>COUNTIFS(data!E:E,data!$J$2,data!G:G,"&lt;"&amp;B36)</f>
        <v>358</v>
      </c>
      <c r="F36">
        <f>COUNTIFS(data!E:E,data!$I$2,data!G:G,"&lt;"&amp;B36)</f>
        <v>235</v>
      </c>
      <c r="G36">
        <f t="shared" si="1"/>
        <v>1.1049723756906077E-2</v>
      </c>
      <c r="H36">
        <f t="shared" si="2"/>
        <v>0.11654135338345864</v>
      </c>
      <c r="I36">
        <f t="shared" si="3"/>
        <v>3.2193744028579735E-4</v>
      </c>
      <c r="J36">
        <f t="shared" si="4"/>
        <v>0.88571428571428568</v>
      </c>
      <c r="K36">
        <f t="shared" si="5"/>
        <v>0.20598006644518269</v>
      </c>
      <c r="L36">
        <f>A36*COUNTIF(data!E:E,$J$2)/data!$M$2</f>
        <v>14.82484076433121</v>
      </c>
      <c r="M36" s="1">
        <f>A36/data!$M$2</f>
        <v>5.5732484076433123E-2</v>
      </c>
      <c r="N36">
        <f t="shared" si="0"/>
        <v>2.0910848549946293</v>
      </c>
    </row>
    <row r="37" spans="1:14" x14ac:dyDescent="0.2">
      <c r="A37">
        <v>36</v>
      </c>
      <c r="B37">
        <f>LARGE(data!G:G,A37)</f>
        <v>0.79101759049999998</v>
      </c>
      <c r="C37">
        <f>COUNTIFS(data!E:E,data!$I$2,data!G:G,"&gt;="&amp;B37)</f>
        <v>32</v>
      </c>
      <c r="D37">
        <f>COUNTIFS(data!E:E,data!$J$2,data!G:G,"&gt;="&amp;B37)</f>
        <v>4</v>
      </c>
      <c r="E37">
        <f>COUNTIFS(data!E:E,data!$J$2,data!G:G,"&lt;"&amp;B37)</f>
        <v>358</v>
      </c>
      <c r="F37">
        <f>COUNTIFS(data!E:E,data!$I$2,data!G:G,"&lt;"&amp;B37)</f>
        <v>234</v>
      </c>
      <c r="G37">
        <f t="shared" si="1"/>
        <v>1.1049723756906077E-2</v>
      </c>
      <c r="H37">
        <f t="shared" si="2"/>
        <v>0.12030075187969924</v>
      </c>
      <c r="I37">
        <f t="shared" si="3"/>
        <v>0</v>
      </c>
      <c r="J37">
        <f t="shared" si="4"/>
        <v>0.88888888888888884</v>
      </c>
      <c r="K37">
        <f t="shared" si="5"/>
        <v>0.2119205298013245</v>
      </c>
      <c r="L37">
        <f>A37*COUNTIF(data!E:E,$J$2)/data!$M$2</f>
        <v>15.248407643312103</v>
      </c>
      <c r="M37" s="1">
        <f>A37/data!$M$2</f>
        <v>5.7324840764331211E-2</v>
      </c>
      <c r="N37">
        <f t="shared" si="0"/>
        <v>2.098579782790309</v>
      </c>
    </row>
    <row r="38" spans="1:14" x14ac:dyDescent="0.2">
      <c r="A38">
        <v>37</v>
      </c>
      <c r="B38">
        <f>LARGE(data!G:G,A38)</f>
        <v>0.79073334579999999</v>
      </c>
      <c r="C38">
        <f>COUNTIFS(data!E:E,data!$I$2,data!G:G,"&gt;="&amp;B38)</f>
        <v>32</v>
      </c>
      <c r="D38">
        <f>COUNTIFS(data!E:E,data!$J$2,data!G:G,"&gt;="&amp;B38)</f>
        <v>5</v>
      </c>
      <c r="E38">
        <f>COUNTIFS(data!E:E,data!$J$2,data!G:G,"&lt;"&amp;B38)</f>
        <v>357</v>
      </c>
      <c r="F38">
        <f>COUNTIFS(data!E:E,data!$I$2,data!G:G,"&lt;"&amp;B38)</f>
        <v>234</v>
      </c>
      <c r="G38">
        <f t="shared" si="1"/>
        <v>1.3812154696132596E-2</v>
      </c>
      <c r="H38">
        <f t="shared" si="2"/>
        <v>0.12030075187969924</v>
      </c>
      <c r="I38">
        <f t="shared" si="3"/>
        <v>3.3232251900469401E-4</v>
      </c>
      <c r="J38">
        <f t="shared" si="4"/>
        <v>0.86486486486486491</v>
      </c>
      <c r="K38">
        <f t="shared" si="5"/>
        <v>0.21122112211221122</v>
      </c>
      <c r="L38">
        <f>A38*COUNTIF(data!E:E,$J$2)/data!$M$2</f>
        <v>15.671974522292993</v>
      </c>
      <c r="M38" s="1">
        <f>A38/data!$M$2</f>
        <v>5.89171974522293E-2</v>
      </c>
      <c r="N38">
        <f t="shared" si="0"/>
        <v>2.041861410282463</v>
      </c>
    </row>
    <row r="39" spans="1:14" x14ac:dyDescent="0.2">
      <c r="A39">
        <v>38</v>
      </c>
      <c r="B39">
        <f>LARGE(data!G:G,A39)</f>
        <v>0.78940759199999999</v>
      </c>
      <c r="C39">
        <f>COUNTIFS(data!E:E,data!$I$2,data!G:G,"&gt;="&amp;B39)</f>
        <v>33</v>
      </c>
      <c r="D39">
        <f>COUNTIFS(data!E:E,data!$J$2,data!G:G,"&gt;="&amp;B39)</f>
        <v>5</v>
      </c>
      <c r="E39">
        <f>COUNTIFS(data!E:E,data!$J$2,data!G:G,"&lt;"&amp;B39)</f>
        <v>357</v>
      </c>
      <c r="F39">
        <f>COUNTIFS(data!E:E,data!$I$2,data!G:G,"&lt;"&amp;B39)</f>
        <v>233</v>
      </c>
      <c r="G39">
        <f t="shared" si="1"/>
        <v>1.3812154696132596E-2</v>
      </c>
      <c r="H39">
        <f t="shared" si="2"/>
        <v>0.12406015037593984</v>
      </c>
      <c r="I39">
        <f t="shared" si="3"/>
        <v>0</v>
      </c>
      <c r="J39">
        <f t="shared" si="4"/>
        <v>0.86842105263157898</v>
      </c>
      <c r="K39">
        <f t="shared" si="5"/>
        <v>0.21710526315789475</v>
      </c>
      <c r="L39">
        <f>A39*COUNTIF(data!E:E,$J$2)/data!$M$2</f>
        <v>16.095541401273884</v>
      </c>
      <c r="M39" s="1">
        <f>A39/data!$M$2</f>
        <v>6.0509554140127389E-2</v>
      </c>
      <c r="N39">
        <f t="shared" si="0"/>
        <v>2.0502572220023745</v>
      </c>
    </row>
    <row r="40" spans="1:14" x14ac:dyDescent="0.2">
      <c r="A40">
        <v>39</v>
      </c>
      <c r="B40">
        <f>LARGE(data!G:G,A40)</f>
        <v>0.78681448769999995</v>
      </c>
      <c r="C40">
        <f>COUNTIFS(data!E:E,data!$I$2,data!G:G,"&gt;="&amp;B40)</f>
        <v>33</v>
      </c>
      <c r="D40">
        <f>COUNTIFS(data!E:E,data!$J$2,data!G:G,"&gt;="&amp;B40)</f>
        <v>6</v>
      </c>
      <c r="E40">
        <f>COUNTIFS(data!E:E,data!$J$2,data!G:G,"&lt;"&amp;B40)</f>
        <v>356</v>
      </c>
      <c r="F40">
        <f>COUNTIFS(data!E:E,data!$I$2,data!G:G,"&lt;"&amp;B40)</f>
        <v>233</v>
      </c>
      <c r="G40">
        <f t="shared" si="1"/>
        <v>1.6574585635359115E-2</v>
      </c>
      <c r="H40">
        <f t="shared" si="2"/>
        <v>0.12406015037593984</v>
      </c>
      <c r="I40">
        <f t="shared" si="3"/>
        <v>3.4270759772359071E-4</v>
      </c>
      <c r="J40">
        <f t="shared" si="4"/>
        <v>0.84615384615384615</v>
      </c>
      <c r="K40">
        <f t="shared" si="5"/>
        <v>0.21639344262295082</v>
      </c>
      <c r="L40">
        <f>A40*COUNTIF(data!E:E,$J$2)/data!$M$2</f>
        <v>16.519108280254777</v>
      </c>
      <c r="M40" s="1">
        <f>A40/data!$M$2</f>
        <v>6.2101910828025478E-2</v>
      </c>
      <c r="N40">
        <f t="shared" si="0"/>
        <v>1.9976865240023136</v>
      </c>
    </row>
    <row r="41" spans="1:14" x14ac:dyDescent="0.2">
      <c r="A41">
        <v>40</v>
      </c>
      <c r="B41">
        <f>LARGE(data!G:G,A41)</f>
        <v>0.78447469449999996</v>
      </c>
      <c r="C41">
        <f>COUNTIFS(data!E:E,data!$I$2,data!G:G,"&gt;="&amp;B41)</f>
        <v>33</v>
      </c>
      <c r="D41">
        <f>COUNTIFS(data!E:E,data!$J$2,data!G:G,"&gt;="&amp;B41)</f>
        <v>7</v>
      </c>
      <c r="E41">
        <f>COUNTIFS(data!E:E,data!$J$2,data!G:G,"&lt;"&amp;B41)</f>
        <v>355</v>
      </c>
      <c r="F41">
        <f>COUNTIFS(data!E:E,data!$I$2,data!G:G,"&lt;"&amp;B41)</f>
        <v>233</v>
      </c>
      <c r="G41">
        <f t="shared" si="1"/>
        <v>1.9337016574585635E-2</v>
      </c>
      <c r="H41">
        <f t="shared" si="2"/>
        <v>0.12406015037593984</v>
      </c>
      <c r="I41">
        <f t="shared" si="3"/>
        <v>3.4270759772359071E-4</v>
      </c>
      <c r="J41">
        <f t="shared" si="4"/>
        <v>0.82499999999999996</v>
      </c>
      <c r="K41">
        <f t="shared" si="5"/>
        <v>0.2156862745098039</v>
      </c>
      <c r="L41">
        <f>A41*COUNTIF(data!E:E,$J$2)/data!$M$2</f>
        <v>16.942675159235669</v>
      </c>
      <c r="M41" s="1">
        <f>A41/data!$M$2</f>
        <v>6.3694267515923567E-2</v>
      </c>
      <c r="N41">
        <f t="shared" si="0"/>
        <v>1.9477443609022556</v>
      </c>
    </row>
    <row r="42" spans="1:14" x14ac:dyDescent="0.2">
      <c r="A42">
        <v>41</v>
      </c>
      <c r="B42">
        <f>LARGE(data!G:G,A42)</f>
        <v>0.78157502489999997</v>
      </c>
      <c r="C42">
        <f>COUNTIFS(data!E:E,data!$I$2,data!G:G,"&gt;="&amp;B42)</f>
        <v>34</v>
      </c>
      <c r="D42">
        <f>COUNTIFS(data!E:E,data!$J$2,data!G:G,"&gt;="&amp;B42)</f>
        <v>7</v>
      </c>
      <c r="E42">
        <f>COUNTIFS(data!E:E,data!$J$2,data!G:G,"&lt;"&amp;B42)</f>
        <v>355</v>
      </c>
      <c r="F42">
        <f>COUNTIFS(data!E:E,data!$I$2,data!G:G,"&lt;"&amp;B42)</f>
        <v>232</v>
      </c>
      <c r="G42">
        <f t="shared" si="1"/>
        <v>1.9337016574585635E-2</v>
      </c>
      <c r="H42">
        <f t="shared" si="2"/>
        <v>0.12781954887218044</v>
      </c>
      <c r="I42">
        <f t="shared" si="3"/>
        <v>0</v>
      </c>
      <c r="J42">
        <f t="shared" si="4"/>
        <v>0.82926829268292679</v>
      </c>
      <c r="K42">
        <f t="shared" si="5"/>
        <v>0.22149837133550487</v>
      </c>
      <c r="L42">
        <f>A42*COUNTIF(data!E:E,$J$2)/data!$M$2</f>
        <v>17.366242038216562</v>
      </c>
      <c r="M42" s="1">
        <f>A42/data!$M$2</f>
        <v>6.5286624203821655E-2</v>
      </c>
      <c r="N42">
        <f t="shared" si="0"/>
        <v>1.9578213827251052</v>
      </c>
    </row>
    <row r="43" spans="1:14" x14ac:dyDescent="0.2">
      <c r="A43">
        <v>42</v>
      </c>
      <c r="B43">
        <f>LARGE(data!G:G,A43)</f>
        <v>0.78112559159999995</v>
      </c>
      <c r="C43">
        <f>COUNTIFS(data!E:E,data!$I$2,data!G:G,"&gt;="&amp;B43)</f>
        <v>35</v>
      </c>
      <c r="D43">
        <f>COUNTIFS(data!E:E,data!$J$2,data!G:G,"&gt;="&amp;B43)</f>
        <v>7</v>
      </c>
      <c r="E43">
        <f>COUNTIFS(data!E:E,data!$J$2,data!G:G,"&lt;"&amp;B43)</f>
        <v>355</v>
      </c>
      <c r="F43">
        <f>COUNTIFS(data!E:E,data!$I$2,data!G:G,"&lt;"&amp;B43)</f>
        <v>231</v>
      </c>
      <c r="G43">
        <f t="shared" si="1"/>
        <v>1.9337016574585635E-2</v>
      </c>
      <c r="H43">
        <f t="shared" si="2"/>
        <v>0.13157894736842105</v>
      </c>
      <c r="I43">
        <f t="shared" si="3"/>
        <v>0</v>
      </c>
      <c r="J43">
        <f t="shared" si="4"/>
        <v>0.83333333333333337</v>
      </c>
      <c r="K43">
        <f t="shared" si="5"/>
        <v>0.22727272727272727</v>
      </c>
      <c r="L43">
        <f>A43*COUNTIF(data!E:E,$J$2)/data!$M$2</f>
        <v>17.789808917197451</v>
      </c>
      <c r="M43" s="1">
        <f>A43/data!$M$2</f>
        <v>6.6878980891719744E-2</v>
      </c>
      <c r="N43">
        <f t="shared" si="0"/>
        <v>1.9674185463659148</v>
      </c>
    </row>
    <row r="44" spans="1:14" x14ac:dyDescent="0.2">
      <c r="A44">
        <v>43</v>
      </c>
      <c r="B44">
        <f>LARGE(data!G:G,A44)</f>
        <v>0.77987798519999996</v>
      </c>
      <c r="C44">
        <f>COUNTIFS(data!E:E,data!$I$2,data!G:G,"&gt;="&amp;B44)</f>
        <v>36</v>
      </c>
      <c r="D44">
        <f>COUNTIFS(data!E:E,data!$J$2,data!G:G,"&gt;="&amp;B44)</f>
        <v>7</v>
      </c>
      <c r="E44">
        <f>COUNTIFS(data!E:E,data!$J$2,data!G:G,"&lt;"&amp;B44)</f>
        <v>355</v>
      </c>
      <c r="F44">
        <f>COUNTIFS(data!E:E,data!$I$2,data!G:G,"&lt;"&amp;B44)</f>
        <v>230</v>
      </c>
      <c r="G44">
        <f t="shared" si="1"/>
        <v>1.9337016574585635E-2</v>
      </c>
      <c r="H44">
        <f t="shared" si="2"/>
        <v>0.13533834586466165</v>
      </c>
      <c r="I44">
        <f t="shared" si="3"/>
        <v>0</v>
      </c>
      <c r="J44">
        <f t="shared" si="4"/>
        <v>0.83720930232558144</v>
      </c>
      <c r="K44">
        <f t="shared" si="5"/>
        <v>0.23300970873786406</v>
      </c>
      <c r="L44">
        <f>A44*COUNTIF(data!E:E,$J$2)/data!$M$2</f>
        <v>18.213375796178344</v>
      </c>
      <c r="M44" s="1">
        <f>A44/data!$M$2</f>
        <v>6.8471337579617833E-2</v>
      </c>
      <c r="N44">
        <f t="shared" si="0"/>
        <v>1.9765693303025005</v>
      </c>
    </row>
    <row r="45" spans="1:14" x14ac:dyDescent="0.2">
      <c r="A45">
        <v>44</v>
      </c>
      <c r="B45">
        <f>LARGE(data!G:G,A45)</f>
        <v>0.77494236130000005</v>
      </c>
      <c r="C45">
        <f>COUNTIFS(data!E:E,data!$I$2,data!G:G,"&gt;="&amp;B45)</f>
        <v>36</v>
      </c>
      <c r="D45">
        <f>COUNTIFS(data!E:E,data!$J$2,data!G:G,"&gt;="&amp;B45)</f>
        <v>8</v>
      </c>
      <c r="E45">
        <f>COUNTIFS(data!E:E,data!$J$2,data!G:G,"&lt;"&amp;B45)</f>
        <v>354</v>
      </c>
      <c r="F45">
        <f>COUNTIFS(data!E:E,data!$I$2,data!G:G,"&lt;"&amp;B45)</f>
        <v>230</v>
      </c>
      <c r="G45">
        <f t="shared" si="1"/>
        <v>2.2099447513812154E-2</v>
      </c>
      <c r="H45">
        <f t="shared" si="2"/>
        <v>0.13533834586466165</v>
      </c>
      <c r="I45">
        <f t="shared" si="3"/>
        <v>3.7386283388028078E-4</v>
      </c>
      <c r="J45">
        <f t="shared" si="4"/>
        <v>0.81818181818181823</v>
      </c>
      <c r="K45">
        <f t="shared" si="5"/>
        <v>0.23225806451612901</v>
      </c>
      <c r="L45">
        <f>A45*COUNTIF(data!E:E,$J$2)/data!$M$2</f>
        <v>18.636942675159236</v>
      </c>
      <c r="M45" s="1">
        <f>A45/data!$M$2</f>
        <v>7.0063694267515922E-2</v>
      </c>
      <c r="N45">
        <f t="shared" si="0"/>
        <v>1.9316473000683527</v>
      </c>
    </row>
    <row r="46" spans="1:14" x14ac:dyDescent="0.2">
      <c r="A46">
        <v>45</v>
      </c>
      <c r="B46">
        <f>LARGE(data!G:G,A46)</f>
        <v>0.77159685229999997</v>
      </c>
      <c r="C46">
        <f>COUNTIFS(data!E:E,data!$I$2,data!G:G,"&gt;="&amp;B46)</f>
        <v>38</v>
      </c>
      <c r="D46">
        <f>COUNTIFS(data!E:E,data!$J$2,data!G:G,"&gt;="&amp;B46)</f>
        <v>8</v>
      </c>
      <c r="E46">
        <f>COUNTIFS(data!E:E,data!$J$2,data!G:G,"&lt;"&amp;B46)</f>
        <v>354</v>
      </c>
      <c r="F46">
        <f>COUNTIFS(data!E:E,data!$I$2,data!G:G,"&lt;"&amp;B46)</f>
        <v>228</v>
      </c>
      <c r="G46">
        <f t="shared" si="1"/>
        <v>2.2099447513812154E-2</v>
      </c>
      <c r="H46">
        <f t="shared" si="2"/>
        <v>0.14285714285714285</v>
      </c>
      <c r="I46">
        <f t="shared" si="3"/>
        <v>0</v>
      </c>
      <c r="J46">
        <f t="shared" si="4"/>
        <v>0.82608695652173914</v>
      </c>
      <c r="K46">
        <f t="shared" si="5"/>
        <v>0.24358974358974358</v>
      </c>
      <c r="L46">
        <f>A46*COUNTIF(data!E:E,$J$2)/data!$M$2</f>
        <v>19.060509554140129</v>
      </c>
      <c r="M46" s="1">
        <f>A46/data!$M$2</f>
        <v>7.1656050955414011E-2</v>
      </c>
      <c r="N46">
        <f t="shared" si="0"/>
        <v>1.9936507936507935</v>
      </c>
    </row>
    <row r="47" spans="1:14" x14ac:dyDescent="0.2">
      <c r="A47">
        <v>46</v>
      </c>
      <c r="B47">
        <f>LARGE(data!G:G,A47)</f>
        <v>0.77159685229999997</v>
      </c>
      <c r="C47">
        <f>COUNTIFS(data!E:E,data!$I$2,data!G:G,"&gt;="&amp;B47)</f>
        <v>38</v>
      </c>
      <c r="D47">
        <f>COUNTIFS(data!E:E,data!$J$2,data!G:G,"&gt;="&amp;B47)</f>
        <v>8</v>
      </c>
      <c r="E47">
        <f>COUNTIFS(data!E:E,data!$J$2,data!G:G,"&lt;"&amp;B47)</f>
        <v>354</v>
      </c>
      <c r="F47">
        <f>COUNTIFS(data!E:E,data!$I$2,data!G:G,"&lt;"&amp;B47)</f>
        <v>228</v>
      </c>
      <c r="G47">
        <f t="shared" si="1"/>
        <v>2.2099447513812154E-2</v>
      </c>
      <c r="H47">
        <f t="shared" si="2"/>
        <v>0.14285714285714285</v>
      </c>
      <c r="I47">
        <f t="shared" si="3"/>
        <v>0</v>
      </c>
      <c r="J47">
        <f t="shared" si="4"/>
        <v>0.82608695652173914</v>
      </c>
      <c r="K47">
        <f t="shared" si="5"/>
        <v>0.24358974358974358</v>
      </c>
      <c r="L47">
        <f>A47*COUNTIF(data!E:E,$J$2)/data!$M$2</f>
        <v>19.484076433121018</v>
      </c>
      <c r="M47" s="1">
        <f>A47/data!$M$2</f>
        <v>7.32484076433121E-2</v>
      </c>
      <c r="N47">
        <f t="shared" si="0"/>
        <v>1.9503105590062113</v>
      </c>
    </row>
    <row r="48" spans="1:14" x14ac:dyDescent="0.2">
      <c r="A48">
        <v>47</v>
      </c>
      <c r="B48">
        <f>LARGE(data!G:G,A48)</f>
        <v>0.77014110309999995</v>
      </c>
      <c r="C48">
        <f>COUNTIFS(data!E:E,data!$I$2,data!G:G,"&gt;="&amp;B48)</f>
        <v>39</v>
      </c>
      <c r="D48">
        <f>COUNTIFS(data!E:E,data!$J$2,data!G:G,"&gt;="&amp;B48)</f>
        <v>8</v>
      </c>
      <c r="E48">
        <f>COUNTIFS(data!E:E,data!$J$2,data!G:G,"&lt;"&amp;B48)</f>
        <v>354</v>
      </c>
      <c r="F48">
        <f>COUNTIFS(data!E:E,data!$I$2,data!G:G,"&lt;"&amp;B48)</f>
        <v>227</v>
      </c>
      <c r="G48">
        <f t="shared" si="1"/>
        <v>2.2099447513812154E-2</v>
      </c>
      <c r="H48">
        <f t="shared" si="2"/>
        <v>0.14661654135338345</v>
      </c>
      <c r="I48">
        <f t="shared" si="3"/>
        <v>0</v>
      </c>
      <c r="J48">
        <f t="shared" si="4"/>
        <v>0.82978723404255317</v>
      </c>
      <c r="K48">
        <f t="shared" si="5"/>
        <v>0.24920127795527156</v>
      </c>
      <c r="L48">
        <f>A48*COUNTIF(data!E:E,$J$2)/data!$M$2</f>
        <v>19.907643312101911</v>
      </c>
      <c r="M48" s="1">
        <f>A48/data!$M$2</f>
        <v>7.4840764331210188E-2</v>
      </c>
      <c r="N48">
        <f t="shared" si="0"/>
        <v>1.9590465525515917</v>
      </c>
    </row>
    <row r="49" spans="1:14" x14ac:dyDescent="0.2">
      <c r="A49">
        <v>48</v>
      </c>
      <c r="B49">
        <f>LARGE(data!G:G,A49)</f>
        <v>0.76981255280000005</v>
      </c>
      <c r="C49">
        <f>COUNTIFS(data!E:E,data!$I$2,data!G:G,"&gt;="&amp;B49)</f>
        <v>39</v>
      </c>
      <c r="D49">
        <f>COUNTIFS(data!E:E,data!$J$2,data!G:G,"&gt;="&amp;B49)</f>
        <v>9</v>
      </c>
      <c r="E49">
        <f>COUNTIFS(data!E:E,data!$J$2,data!G:G,"&lt;"&amp;B49)</f>
        <v>353</v>
      </c>
      <c r="F49">
        <f>COUNTIFS(data!E:E,data!$I$2,data!G:G,"&lt;"&amp;B49)</f>
        <v>227</v>
      </c>
      <c r="G49">
        <f t="shared" si="1"/>
        <v>2.4861878453038673E-2</v>
      </c>
      <c r="H49">
        <f t="shared" si="2"/>
        <v>0.14661654135338345</v>
      </c>
      <c r="I49">
        <f t="shared" si="3"/>
        <v>4.0501807003697084E-4</v>
      </c>
      <c r="J49">
        <f t="shared" si="4"/>
        <v>0.8125</v>
      </c>
      <c r="K49">
        <f t="shared" si="5"/>
        <v>0.24840764331210191</v>
      </c>
      <c r="L49">
        <f>A49*COUNTIF(data!E:E,$J$2)/data!$M$2</f>
        <v>20.331210191082803</v>
      </c>
      <c r="M49" s="1">
        <f>A49/data!$M$2</f>
        <v>7.6433121019108277E-2</v>
      </c>
      <c r="N49">
        <f t="shared" si="0"/>
        <v>1.9182330827067668</v>
      </c>
    </row>
    <row r="50" spans="1:14" x14ac:dyDescent="0.2">
      <c r="A50">
        <v>49</v>
      </c>
      <c r="B50">
        <f>LARGE(data!G:G,A50)</f>
        <v>0.76543966050000001</v>
      </c>
      <c r="C50">
        <f>COUNTIFS(data!E:E,data!$I$2,data!G:G,"&gt;="&amp;B50)</f>
        <v>40</v>
      </c>
      <c r="D50">
        <f>COUNTIFS(data!E:E,data!$J$2,data!G:G,"&gt;="&amp;B50)</f>
        <v>10</v>
      </c>
      <c r="E50">
        <f>COUNTIFS(data!E:E,data!$J$2,data!G:G,"&lt;"&amp;B50)</f>
        <v>352</v>
      </c>
      <c r="F50">
        <f>COUNTIFS(data!E:E,data!$I$2,data!G:G,"&lt;"&amp;B50)</f>
        <v>226</v>
      </c>
      <c r="G50">
        <f t="shared" si="1"/>
        <v>2.7624309392265192E-2</v>
      </c>
      <c r="H50">
        <f t="shared" si="2"/>
        <v>0.15037593984962405</v>
      </c>
      <c r="I50">
        <f t="shared" si="3"/>
        <v>4.1021060939641917E-4</v>
      </c>
      <c r="J50">
        <f t="shared" si="4"/>
        <v>0.8</v>
      </c>
      <c r="K50">
        <f t="shared" si="5"/>
        <v>0.25316455696202528</v>
      </c>
      <c r="L50">
        <f>A50*COUNTIF(data!E:E,$J$2)/data!$M$2</f>
        <v>20.754777070063696</v>
      </c>
      <c r="M50" s="1">
        <f>A50/data!$M$2</f>
        <v>7.8025477707006366E-2</v>
      </c>
      <c r="N50">
        <f t="shared" si="0"/>
        <v>1.9272671474604879</v>
      </c>
    </row>
    <row r="51" spans="1:14" x14ac:dyDescent="0.2">
      <c r="A51">
        <v>50</v>
      </c>
      <c r="B51">
        <f>LARGE(data!G:G,A51)</f>
        <v>0.76543966050000001</v>
      </c>
      <c r="C51">
        <f>COUNTIFS(data!E:E,data!$I$2,data!G:G,"&gt;="&amp;B51)</f>
        <v>40</v>
      </c>
      <c r="D51">
        <f>COUNTIFS(data!E:E,data!$J$2,data!G:G,"&gt;="&amp;B51)</f>
        <v>10</v>
      </c>
      <c r="E51">
        <f>COUNTIFS(data!E:E,data!$J$2,data!G:G,"&lt;"&amp;B51)</f>
        <v>352</v>
      </c>
      <c r="F51">
        <f>COUNTIFS(data!E:E,data!$I$2,data!G:G,"&lt;"&amp;B51)</f>
        <v>226</v>
      </c>
      <c r="G51">
        <f t="shared" si="1"/>
        <v>2.7624309392265192E-2</v>
      </c>
      <c r="H51">
        <f t="shared" si="2"/>
        <v>0.15037593984962405</v>
      </c>
      <c r="I51">
        <f t="shared" si="3"/>
        <v>0</v>
      </c>
      <c r="J51">
        <f t="shared" si="4"/>
        <v>0.8</v>
      </c>
      <c r="K51">
        <f t="shared" si="5"/>
        <v>0.25316455696202528</v>
      </c>
      <c r="L51">
        <f>A51*COUNTIF(data!E:E,$J$2)/data!$M$2</f>
        <v>21.178343949044585</v>
      </c>
      <c r="M51" s="1">
        <f>A51/data!$M$2</f>
        <v>7.9617834394904455E-2</v>
      </c>
      <c r="N51">
        <f t="shared" si="0"/>
        <v>1.8887218045112784</v>
      </c>
    </row>
    <row r="52" spans="1:14" x14ac:dyDescent="0.2">
      <c r="A52">
        <v>51</v>
      </c>
      <c r="B52">
        <f>LARGE(data!G:G,A52)</f>
        <v>0.76534852949999999</v>
      </c>
      <c r="C52">
        <f>COUNTIFS(data!E:E,data!$I$2,data!G:G,"&gt;="&amp;B52)</f>
        <v>41</v>
      </c>
      <c r="D52">
        <f>COUNTIFS(data!E:E,data!$J$2,data!G:G,"&gt;="&amp;B52)</f>
        <v>10</v>
      </c>
      <c r="E52">
        <f>COUNTIFS(data!E:E,data!$J$2,data!G:G,"&lt;"&amp;B52)</f>
        <v>352</v>
      </c>
      <c r="F52">
        <f>COUNTIFS(data!E:E,data!$I$2,data!G:G,"&lt;"&amp;B52)</f>
        <v>225</v>
      </c>
      <c r="G52">
        <f t="shared" si="1"/>
        <v>2.7624309392265192E-2</v>
      </c>
      <c r="H52">
        <f t="shared" si="2"/>
        <v>0.15413533834586465</v>
      </c>
      <c r="I52">
        <f t="shared" si="3"/>
        <v>0</v>
      </c>
      <c r="J52">
        <f t="shared" si="4"/>
        <v>0.80392156862745101</v>
      </c>
      <c r="K52">
        <f t="shared" si="5"/>
        <v>0.25867507886435331</v>
      </c>
      <c r="L52">
        <f>A52*COUNTIF(data!E:E,$J$2)/data!$M$2</f>
        <v>21.601910828025478</v>
      </c>
      <c r="M52" s="1">
        <f>A52/data!$M$2</f>
        <v>8.1210191082802544E-2</v>
      </c>
      <c r="N52">
        <f t="shared" si="0"/>
        <v>1.8979802447294707</v>
      </c>
    </row>
    <row r="53" spans="1:14" x14ac:dyDescent="0.2">
      <c r="A53">
        <v>52</v>
      </c>
      <c r="B53">
        <f>LARGE(data!G:G,A53)</f>
        <v>0.76108787190000005</v>
      </c>
      <c r="C53">
        <f>COUNTIFS(data!E:E,data!$I$2,data!G:G,"&gt;="&amp;B53)</f>
        <v>42</v>
      </c>
      <c r="D53">
        <f>COUNTIFS(data!E:E,data!$J$2,data!G:G,"&gt;="&amp;B53)</f>
        <v>10</v>
      </c>
      <c r="E53">
        <f>COUNTIFS(data!E:E,data!$J$2,data!G:G,"&lt;"&amp;B53)</f>
        <v>352</v>
      </c>
      <c r="F53">
        <f>COUNTIFS(data!E:E,data!$I$2,data!G:G,"&lt;"&amp;B53)</f>
        <v>224</v>
      </c>
      <c r="G53">
        <f t="shared" si="1"/>
        <v>2.7624309392265192E-2</v>
      </c>
      <c r="H53">
        <f t="shared" si="2"/>
        <v>0.15789473684210525</v>
      </c>
      <c r="I53">
        <f t="shared" si="3"/>
        <v>0</v>
      </c>
      <c r="J53">
        <f t="shared" si="4"/>
        <v>0.80769230769230771</v>
      </c>
      <c r="K53">
        <f t="shared" si="5"/>
        <v>0.26415094339622636</v>
      </c>
      <c r="L53">
        <f>A53*COUNTIF(data!E:E,$J$2)/data!$M$2</f>
        <v>22.02547770700637</v>
      </c>
      <c r="M53" s="1">
        <f>A53/data!$M$2</f>
        <v>8.2802547770700632E-2</v>
      </c>
      <c r="N53">
        <f t="shared" si="0"/>
        <v>1.9068825910931173</v>
      </c>
    </row>
    <row r="54" spans="1:14" x14ac:dyDescent="0.2">
      <c r="A54">
        <v>53</v>
      </c>
      <c r="B54">
        <f>LARGE(data!G:G,A54)</f>
        <v>0.75152179900000005</v>
      </c>
      <c r="C54">
        <f>COUNTIFS(data!E:E,data!$I$2,data!G:G,"&gt;="&amp;B54)</f>
        <v>43</v>
      </c>
      <c r="D54">
        <f>COUNTIFS(data!E:E,data!$J$2,data!G:G,"&gt;="&amp;B54)</f>
        <v>10</v>
      </c>
      <c r="E54">
        <f>COUNTIFS(data!E:E,data!$J$2,data!G:G,"&lt;"&amp;B54)</f>
        <v>352</v>
      </c>
      <c r="F54">
        <f>COUNTIFS(data!E:E,data!$I$2,data!G:G,"&lt;"&amp;B54)</f>
        <v>223</v>
      </c>
      <c r="G54">
        <f t="shared" si="1"/>
        <v>2.7624309392265192E-2</v>
      </c>
      <c r="H54">
        <f t="shared" si="2"/>
        <v>0.16165413533834586</v>
      </c>
      <c r="I54">
        <f t="shared" si="3"/>
        <v>0</v>
      </c>
      <c r="J54">
        <f t="shared" si="4"/>
        <v>0.81132075471698117</v>
      </c>
      <c r="K54">
        <f t="shared" si="5"/>
        <v>0.26959247648902823</v>
      </c>
      <c r="L54">
        <f>A54*COUNTIF(data!E:E,$J$2)/data!$M$2</f>
        <v>22.449044585987259</v>
      </c>
      <c r="M54" s="1">
        <f>A54/data!$M$2</f>
        <v>8.4394904458598721E-2</v>
      </c>
      <c r="N54">
        <f t="shared" si="0"/>
        <v>1.9154489998581361</v>
      </c>
    </row>
    <row r="55" spans="1:14" x14ac:dyDescent="0.2">
      <c r="A55">
        <v>54</v>
      </c>
      <c r="B55">
        <f>LARGE(data!G:G,A55)</f>
        <v>0.75080788200000004</v>
      </c>
      <c r="C55">
        <f>COUNTIFS(data!E:E,data!$I$2,data!G:G,"&gt;="&amp;B55)</f>
        <v>44</v>
      </c>
      <c r="D55">
        <f>COUNTIFS(data!E:E,data!$J$2,data!G:G,"&gt;="&amp;B55)</f>
        <v>10</v>
      </c>
      <c r="E55">
        <f>COUNTIFS(data!E:E,data!$J$2,data!G:G,"&lt;"&amp;B55)</f>
        <v>352</v>
      </c>
      <c r="F55">
        <f>COUNTIFS(data!E:E,data!$I$2,data!G:G,"&lt;"&amp;B55)</f>
        <v>222</v>
      </c>
      <c r="G55">
        <f t="shared" si="1"/>
        <v>2.7624309392265192E-2</v>
      </c>
      <c r="H55">
        <f t="shared" si="2"/>
        <v>0.16541353383458646</v>
      </c>
      <c r="I55">
        <f t="shared" si="3"/>
        <v>0</v>
      </c>
      <c r="J55">
        <f t="shared" si="4"/>
        <v>0.81481481481481477</v>
      </c>
      <c r="K55">
        <f t="shared" si="5"/>
        <v>0.27500000000000002</v>
      </c>
      <c r="L55">
        <f>A55*COUNTIF(data!E:E,$J$2)/data!$M$2</f>
        <v>22.872611464968152</v>
      </c>
      <c r="M55" s="1">
        <f>A55/data!$M$2</f>
        <v>8.598726114649681E-2</v>
      </c>
      <c r="N55">
        <f t="shared" si="0"/>
        <v>1.9236981342244501</v>
      </c>
    </row>
    <row r="56" spans="1:14" x14ac:dyDescent="0.2">
      <c r="A56">
        <v>55</v>
      </c>
      <c r="B56">
        <f>LARGE(data!G:G,A56)</f>
        <v>0.74934118949999995</v>
      </c>
      <c r="C56">
        <f>COUNTIFS(data!E:E,data!$I$2,data!G:G,"&gt;="&amp;B56)</f>
        <v>45</v>
      </c>
      <c r="D56">
        <f>COUNTIFS(data!E:E,data!$J$2,data!G:G,"&gt;="&amp;B56)</f>
        <v>10</v>
      </c>
      <c r="E56">
        <f>COUNTIFS(data!E:E,data!$J$2,data!G:G,"&lt;"&amp;B56)</f>
        <v>352</v>
      </c>
      <c r="F56">
        <f>COUNTIFS(data!E:E,data!$I$2,data!G:G,"&lt;"&amp;B56)</f>
        <v>221</v>
      </c>
      <c r="G56">
        <f t="shared" si="1"/>
        <v>2.7624309392265192E-2</v>
      </c>
      <c r="H56">
        <f t="shared" si="2"/>
        <v>0.16917293233082706</v>
      </c>
      <c r="I56">
        <f t="shared" si="3"/>
        <v>0</v>
      </c>
      <c r="J56">
        <f t="shared" si="4"/>
        <v>0.81818181818181823</v>
      </c>
      <c r="K56">
        <f t="shared" si="5"/>
        <v>0.28037383177570097</v>
      </c>
      <c r="L56">
        <f>A56*COUNTIF(data!E:E,$J$2)/data!$M$2</f>
        <v>23.296178343949045</v>
      </c>
      <c r="M56" s="1">
        <f>A56/data!$M$2</f>
        <v>8.7579617834394899E-2</v>
      </c>
      <c r="N56">
        <f t="shared" si="0"/>
        <v>1.9316473000683527</v>
      </c>
    </row>
    <row r="57" spans="1:14" x14ac:dyDescent="0.2">
      <c r="A57">
        <v>56</v>
      </c>
      <c r="B57">
        <f>LARGE(data!G:G,A57)</f>
        <v>0.74777944370000005</v>
      </c>
      <c r="C57">
        <f>COUNTIFS(data!E:E,data!$I$2,data!G:G,"&gt;="&amp;B57)</f>
        <v>48</v>
      </c>
      <c r="D57">
        <f>COUNTIFS(data!E:E,data!$J$2,data!G:G,"&gt;="&amp;B57)</f>
        <v>11</v>
      </c>
      <c r="E57">
        <f>COUNTIFS(data!E:E,data!$J$2,data!G:G,"&lt;"&amp;B57)</f>
        <v>351</v>
      </c>
      <c r="F57">
        <f>COUNTIFS(data!E:E,data!$I$2,data!G:G,"&lt;"&amp;B57)</f>
        <v>218</v>
      </c>
      <c r="G57">
        <f t="shared" si="1"/>
        <v>3.0386740331491711E-2</v>
      </c>
      <c r="H57">
        <f t="shared" si="2"/>
        <v>0.18045112781954886</v>
      </c>
      <c r="I57">
        <f t="shared" si="3"/>
        <v>4.8290616042869606E-4</v>
      </c>
      <c r="J57">
        <f t="shared" si="4"/>
        <v>0.81355932203389836</v>
      </c>
      <c r="K57">
        <f t="shared" si="5"/>
        <v>0.29538461538461536</v>
      </c>
      <c r="L57">
        <f>A57*COUNTIF(data!E:E,$J$2)/data!$M$2</f>
        <v>23.719745222929937</v>
      </c>
      <c r="M57" s="1">
        <f>A57/data!$M$2</f>
        <v>8.9171974522292988E-2</v>
      </c>
      <c r="N57">
        <f t="shared" si="0"/>
        <v>2.0236305048335121</v>
      </c>
    </row>
    <row r="58" spans="1:14" x14ac:dyDescent="0.2">
      <c r="A58">
        <v>57</v>
      </c>
      <c r="B58">
        <f>LARGE(data!G:G,A58)</f>
        <v>0.74777944370000005</v>
      </c>
      <c r="C58">
        <f>COUNTIFS(data!E:E,data!$I$2,data!G:G,"&gt;="&amp;B58)</f>
        <v>48</v>
      </c>
      <c r="D58">
        <f>COUNTIFS(data!E:E,data!$J$2,data!G:G,"&gt;="&amp;B58)</f>
        <v>11</v>
      </c>
      <c r="E58">
        <f>COUNTIFS(data!E:E,data!$J$2,data!G:G,"&lt;"&amp;B58)</f>
        <v>351</v>
      </c>
      <c r="F58">
        <f>COUNTIFS(data!E:E,data!$I$2,data!G:G,"&lt;"&amp;B58)</f>
        <v>218</v>
      </c>
      <c r="G58">
        <f t="shared" si="1"/>
        <v>3.0386740331491711E-2</v>
      </c>
      <c r="H58">
        <f t="shared" si="2"/>
        <v>0.18045112781954886</v>
      </c>
      <c r="I58">
        <f t="shared" si="3"/>
        <v>0</v>
      </c>
      <c r="J58">
        <f t="shared" si="4"/>
        <v>0.81355932203389836</v>
      </c>
      <c r="K58">
        <f t="shared" si="5"/>
        <v>0.29538461538461536</v>
      </c>
      <c r="L58">
        <f>A58*COUNTIF(data!E:E,$J$2)/data!$M$2</f>
        <v>24.143312101910826</v>
      </c>
      <c r="M58" s="1">
        <f>A58/data!$M$2</f>
        <v>9.0764331210191077E-2</v>
      </c>
      <c r="N58">
        <f t="shared" si="0"/>
        <v>1.9881282152750299</v>
      </c>
    </row>
    <row r="59" spans="1:14" x14ac:dyDescent="0.2">
      <c r="A59">
        <v>58</v>
      </c>
      <c r="B59">
        <f>LARGE(data!G:G,A59)</f>
        <v>0.74777944370000005</v>
      </c>
      <c r="C59">
        <f>COUNTIFS(data!E:E,data!$I$2,data!G:G,"&gt;="&amp;B59)</f>
        <v>48</v>
      </c>
      <c r="D59">
        <f>COUNTIFS(data!E:E,data!$J$2,data!G:G,"&gt;="&amp;B59)</f>
        <v>11</v>
      </c>
      <c r="E59">
        <f>COUNTIFS(data!E:E,data!$J$2,data!G:G,"&lt;"&amp;B59)</f>
        <v>351</v>
      </c>
      <c r="F59">
        <f>COUNTIFS(data!E:E,data!$I$2,data!G:G,"&lt;"&amp;B59)</f>
        <v>218</v>
      </c>
      <c r="G59">
        <f t="shared" si="1"/>
        <v>3.0386740331491711E-2</v>
      </c>
      <c r="H59">
        <f t="shared" si="2"/>
        <v>0.18045112781954886</v>
      </c>
      <c r="I59">
        <f t="shared" si="3"/>
        <v>0</v>
      </c>
      <c r="J59">
        <f t="shared" si="4"/>
        <v>0.81355932203389836</v>
      </c>
      <c r="K59">
        <f t="shared" si="5"/>
        <v>0.29538461538461536</v>
      </c>
      <c r="L59">
        <f>A59*COUNTIF(data!E:E,$J$2)/data!$M$2</f>
        <v>24.566878980891719</v>
      </c>
      <c r="M59" s="1">
        <f>A59/data!$M$2</f>
        <v>9.2356687898089165E-2</v>
      </c>
      <c r="N59">
        <f t="shared" si="0"/>
        <v>1.953850142597874</v>
      </c>
    </row>
    <row r="60" spans="1:14" x14ac:dyDescent="0.2">
      <c r="A60">
        <v>59</v>
      </c>
      <c r="B60">
        <f>LARGE(data!G:G,A60)</f>
        <v>0.74777944370000005</v>
      </c>
      <c r="C60">
        <f>COUNTIFS(data!E:E,data!$I$2,data!G:G,"&gt;="&amp;B60)</f>
        <v>48</v>
      </c>
      <c r="D60">
        <f>COUNTIFS(data!E:E,data!$J$2,data!G:G,"&gt;="&amp;B60)</f>
        <v>11</v>
      </c>
      <c r="E60">
        <f>COUNTIFS(data!E:E,data!$J$2,data!G:G,"&lt;"&amp;B60)</f>
        <v>351</v>
      </c>
      <c r="F60">
        <f>COUNTIFS(data!E:E,data!$I$2,data!G:G,"&lt;"&amp;B60)</f>
        <v>218</v>
      </c>
      <c r="G60">
        <f t="shared" si="1"/>
        <v>3.0386740331491711E-2</v>
      </c>
      <c r="H60">
        <f t="shared" si="2"/>
        <v>0.18045112781954886</v>
      </c>
      <c r="I60">
        <f t="shared" si="3"/>
        <v>0</v>
      </c>
      <c r="J60">
        <f t="shared" si="4"/>
        <v>0.81355932203389836</v>
      </c>
      <c r="K60">
        <f t="shared" si="5"/>
        <v>0.29538461538461536</v>
      </c>
      <c r="L60">
        <f>A60*COUNTIF(data!E:E,$J$2)/data!$M$2</f>
        <v>24.990445859872612</v>
      </c>
      <c r="M60" s="1">
        <f>A60/data!$M$2</f>
        <v>9.3949044585987268E-2</v>
      </c>
      <c r="N60">
        <f t="shared" si="0"/>
        <v>1.9207340384860456</v>
      </c>
    </row>
    <row r="61" spans="1:14" x14ac:dyDescent="0.2">
      <c r="A61">
        <v>60</v>
      </c>
      <c r="B61">
        <f>LARGE(data!G:G,A61)</f>
        <v>0.74708332479999995</v>
      </c>
      <c r="C61">
        <f>COUNTIFS(data!E:E,data!$I$2,data!G:G,"&gt;="&amp;B61)</f>
        <v>49</v>
      </c>
      <c r="D61">
        <f>COUNTIFS(data!E:E,data!$J$2,data!G:G,"&gt;="&amp;B61)</f>
        <v>11</v>
      </c>
      <c r="E61">
        <f>COUNTIFS(data!E:E,data!$J$2,data!G:G,"&lt;"&amp;B61)</f>
        <v>351</v>
      </c>
      <c r="F61">
        <f>COUNTIFS(data!E:E,data!$I$2,data!G:G,"&lt;"&amp;B61)</f>
        <v>217</v>
      </c>
      <c r="G61">
        <f t="shared" si="1"/>
        <v>3.0386740331491711E-2</v>
      </c>
      <c r="H61">
        <f t="shared" si="2"/>
        <v>0.18421052631578946</v>
      </c>
      <c r="I61">
        <f t="shared" si="3"/>
        <v>0</v>
      </c>
      <c r="J61">
        <f t="shared" si="4"/>
        <v>0.81666666666666665</v>
      </c>
      <c r="K61">
        <f t="shared" si="5"/>
        <v>0.30061349693251538</v>
      </c>
      <c r="L61">
        <f>A61*COUNTIF(data!E:E,$J$2)/data!$M$2</f>
        <v>25.414012738853504</v>
      </c>
      <c r="M61" s="1">
        <f>A61/data!$M$2</f>
        <v>9.5541401273885357E-2</v>
      </c>
      <c r="N61">
        <f t="shared" si="0"/>
        <v>1.9280701754385965</v>
      </c>
    </row>
    <row r="62" spans="1:14" x14ac:dyDescent="0.2">
      <c r="A62">
        <v>61</v>
      </c>
      <c r="B62">
        <f>LARGE(data!G:G,A62)</f>
        <v>0.74668779679999997</v>
      </c>
      <c r="C62">
        <f>COUNTIFS(data!E:E,data!$I$2,data!G:G,"&gt;="&amp;B62)</f>
        <v>49</v>
      </c>
      <c r="D62">
        <f>COUNTIFS(data!E:E,data!$J$2,data!G:G,"&gt;="&amp;B62)</f>
        <v>12</v>
      </c>
      <c r="E62">
        <f>COUNTIFS(data!E:E,data!$J$2,data!G:G,"&lt;"&amp;B62)</f>
        <v>350</v>
      </c>
      <c r="F62">
        <f>COUNTIFS(data!E:E,data!$I$2,data!G:G,"&lt;"&amp;B62)</f>
        <v>217</v>
      </c>
      <c r="G62">
        <f t="shared" si="1"/>
        <v>3.3149171270718231E-2</v>
      </c>
      <c r="H62">
        <f t="shared" si="2"/>
        <v>0.18421052631578946</v>
      </c>
      <c r="I62">
        <f t="shared" si="3"/>
        <v>5.0886885722593769E-4</v>
      </c>
      <c r="J62">
        <f t="shared" si="4"/>
        <v>0.80327868852459017</v>
      </c>
      <c r="K62">
        <f t="shared" si="5"/>
        <v>0.29969418960244643</v>
      </c>
      <c r="L62">
        <f>A62*COUNTIF(data!E:E,$J$2)/data!$M$2</f>
        <v>25.837579617834393</v>
      </c>
      <c r="M62" s="1">
        <f>A62/data!$M$2</f>
        <v>9.7133757961783446E-2</v>
      </c>
      <c r="N62">
        <f t="shared" si="0"/>
        <v>1.8964624676445212</v>
      </c>
    </row>
    <row r="63" spans="1:14" x14ac:dyDescent="0.2">
      <c r="A63">
        <v>62</v>
      </c>
      <c r="B63">
        <f>LARGE(data!G:G,A63)</f>
        <v>0.73535618930000002</v>
      </c>
      <c r="C63">
        <f>COUNTIFS(data!E:E,data!$I$2,data!G:G,"&gt;="&amp;B63)</f>
        <v>50</v>
      </c>
      <c r="D63">
        <f>COUNTIFS(data!E:E,data!$J$2,data!G:G,"&gt;="&amp;B63)</f>
        <v>12</v>
      </c>
      <c r="E63">
        <f>COUNTIFS(data!E:E,data!$J$2,data!G:G,"&lt;"&amp;B63)</f>
        <v>350</v>
      </c>
      <c r="F63">
        <f>COUNTIFS(data!E:E,data!$I$2,data!G:G,"&lt;"&amp;B63)</f>
        <v>216</v>
      </c>
      <c r="G63">
        <f t="shared" si="1"/>
        <v>3.3149171270718231E-2</v>
      </c>
      <c r="H63">
        <f t="shared" si="2"/>
        <v>0.18796992481203006</v>
      </c>
      <c r="I63">
        <f t="shared" si="3"/>
        <v>0</v>
      </c>
      <c r="J63">
        <f t="shared" si="4"/>
        <v>0.80645161290322576</v>
      </c>
      <c r="K63">
        <f t="shared" si="5"/>
        <v>0.3048780487804878</v>
      </c>
      <c r="L63">
        <f>A63*COUNTIF(data!E:E,$J$2)/data!$M$2</f>
        <v>26.261146496815286</v>
      </c>
      <c r="M63" s="1">
        <f>A63/data!$M$2</f>
        <v>9.8726114649681534E-2</v>
      </c>
      <c r="N63">
        <f t="shared" si="0"/>
        <v>1.9039534319670144</v>
      </c>
    </row>
    <row r="64" spans="1:14" x14ac:dyDescent="0.2">
      <c r="A64">
        <v>63</v>
      </c>
      <c r="B64">
        <f>LARGE(data!G:G,A64)</f>
        <v>0.72715429659999997</v>
      </c>
      <c r="C64">
        <f>COUNTIFS(data!E:E,data!$I$2,data!G:G,"&gt;="&amp;B64)</f>
        <v>50</v>
      </c>
      <c r="D64">
        <f>COUNTIFS(data!E:E,data!$J$2,data!G:G,"&gt;="&amp;B64)</f>
        <v>13</v>
      </c>
      <c r="E64">
        <f>COUNTIFS(data!E:E,data!$J$2,data!G:G,"&lt;"&amp;B64)</f>
        <v>349</v>
      </c>
      <c r="F64">
        <f>COUNTIFS(data!E:E,data!$I$2,data!G:G,"&lt;"&amp;B64)</f>
        <v>216</v>
      </c>
      <c r="G64">
        <f t="shared" si="1"/>
        <v>3.591160220994475E-2</v>
      </c>
      <c r="H64">
        <f t="shared" si="2"/>
        <v>0.18796992481203006</v>
      </c>
      <c r="I64">
        <f t="shared" si="3"/>
        <v>5.1925393594483445E-4</v>
      </c>
      <c r="J64">
        <f t="shared" si="4"/>
        <v>0.79365079365079361</v>
      </c>
      <c r="K64">
        <f t="shared" si="5"/>
        <v>0.30395136778115506</v>
      </c>
      <c r="L64">
        <f>A64*COUNTIF(data!E:E,$J$2)/data!$M$2</f>
        <v>26.684713375796179</v>
      </c>
      <c r="M64" s="1">
        <f>A64/data!$M$2</f>
        <v>0.10031847133757962</v>
      </c>
      <c r="N64">
        <f t="shared" si="0"/>
        <v>1.8737319489199189</v>
      </c>
    </row>
    <row r="65" spans="1:14" x14ac:dyDescent="0.2">
      <c r="A65">
        <v>64</v>
      </c>
      <c r="B65">
        <f>LARGE(data!G:G,A65)</f>
        <v>0.71396268969999999</v>
      </c>
      <c r="C65">
        <f>COUNTIFS(data!E:E,data!$I$2,data!G:G,"&gt;="&amp;B65)</f>
        <v>51</v>
      </c>
      <c r="D65">
        <f>COUNTIFS(data!E:E,data!$J$2,data!G:G,"&gt;="&amp;B65)</f>
        <v>13</v>
      </c>
      <c r="E65">
        <f>COUNTIFS(data!E:E,data!$J$2,data!G:G,"&lt;"&amp;B65)</f>
        <v>349</v>
      </c>
      <c r="F65">
        <f>COUNTIFS(data!E:E,data!$I$2,data!G:G,"&lt;"&amp;B65)</f>
        <v>215</v>
      </c>
      <c r="G65">
        <f t="shared" si="1"/>
        <v>3.591160220994475E-2</v>
      </c>
      <c r="H65">
        <f t="shared" si="2"/>
        <v>0.19172932330827067</v>
      </c>
      <c r="I65">
        <f t="shared" si="3"/>
        <v>0</v>
      </c>
      <c r="J65">
        <f t="shared" si="4"/>
        <v>0.796875</v>
      </c>
      <c r="K65">
        <f t="shared" si="5"/>
        <v>0.30909090909090908</v>
      </c>
      <c r="L65">
        <f>A65*COUNTIF(data!E:E,$J$2)/data!$M$2</f>
        <v>27.108280254777071</v>
      </c>
      <c r="M65" s="1">
        <f>A65/data!$M$2</f>
        <v>0.10191082802547771</v>
      </c>
      <c r="N65">
        <f t="shared" si="0"/>
        <v>1.8813439849624058</v>
      </c>
    </row>
    <row r="66" spans="1:14" x14ac:dyDescent="0.2">
      <c r="A66">
        <v>65</v>
      </c>
      <c r="B66">
        <f>LARGE(data!G:G,A66)</f>
        <v>0.70993905879999997</v>
      </c>
      <c r="C66">
        <f>COUNTIFS(data!E:E,data!$I$2,data!G:G,"&gt;="&amp;B66)</f>
        <v>51</v>
      </c>
      <c r="D66">
        <f>COUNTIFS(data!E:E,data!$J$2,data!G:G,"&gt;="&amp;B66)</f>
        <v>14</v>
      </c>
      <c r="E66">
        <f>COUNTIFS(data!E:E,data!$J$2,data!G:G,"&lt;"&amp;B66)</f>
        <v>348</v>
      </c>
      <c r="F66">
        <f>COUNTIFS(data!E:E,data!$I$2,data!G:G,"&lt;"&amp;B66)</f>
        <v>215</v>
      </c>
      <c r="G66">
        <f t="shared" si="1"/>
        <v>3.8674033149171269E-2</v>
      </c>
      <c r="H66">
        <f t="shared" si="2"/>
        <v>0.19172932330827067</v>
      </c>
      <c r="I66">
        <f t="shared" si="3"/>
        <v>5.296390146637311E-4</v>
      </c>
      <c r="J66">
        <f t="shared" si="4"/>
        <v>0.7846153846153846</v>
      </c>
      <c r="K66">
        <f t="shared" si="5"/>
        <v>0.30815709969788518</v>
      </c>
      <c r="L66">
        <f>A66*COUNTIF(data!E:E,$J$2)/data!$M$2</f>
        <v>27.53184713375796</v>
      </c>
      <c r="M66" s="1">
        <f>A66/data!$M$2</f>
        <v>0.1035031847133758</v>
      </c>
      <c r="N66">
        <f t="shared" ref="N66:N129" si="6">C66/L66</f>
        <v>1.8524002313475998</v>
      </c>
    </row>
    <row r="67" spans="1:14" x14ac:dyDescent="0.2">
      <c r="A67">
        <v>66</v>
      </c>
      <c r="B67">
        <f>LARGE(data!G:G,A67)</f>
        <v>0.70638985109999997</v>
      </c>
      <c r="C67">
        <f>COUNTIFS(data!E:E,data!$I$2,data!G:G,"&gt;="&amp;B67)</f>
        <v>52</v>
      </c>
      <c r="D67">
        <f>COUNTIFS(data!E:E,data!$J$2,data!G:G,"&gt;="&amp;B67)</f>
        <v>14</v>
      </c>
      <c r="E67">
        <f>COUNTIFS(data!E:E,data!$J$2,data!G:G,"&lt;"&amp;B67)</f>
        <v>348</v>
      </c>
      <c r="F67">
        <f>COUNTIFS(data!E:E,data!$I$2,data!G:G,"&lt;"&amp;B67)</f>
        <v>214</v>
      </c>
      <c r="G67">
        <f t="shared" ref="G67:G130" si="7">D67/(E67+D67)</f>
        <v>3.8674033149171269E-2</v>
      </c>
      <c r="H67">
        <f t="shared" ref="H67:H130" si="8">C67/(C67+F67)</f>
        <v>0.19548872180451127</v>
      </c>
      <c r="I67">
        <f t="shared" ref="I67:I130" si="9">(G67-G66)*(H67+H66)*0.5</f>
        <v>0</v>
      </c>
      <c r="J67">
        <f t="shared" ref="J67:J130" si="10">C67/(C67+D67)</f>
        <v>0.78787878787878785</v>
      </c>
      <c r="K67">
        <f t="shared" ref="K67:K130" si="11">2*J67*H67/(J67+H67)</f>
        <v>0.31325301204819272</v>
      </c>
      <c r="L67">
        <f>A67*COUNTIF(data!E:E,$J$2)/data!$M$2</f>
        <v>27.955414012738853</v>
      </c>
      <c r="M67" s="1">
        <f>A67/data!$M$2</f>
        <v>0.10509554140127389</v>
      </c>
      <c r="N67">
        <f t="shared" si="6"/>
        <v>1.8601048074732285</v>
      </c>
    </row>
    <row r="68" spans="1:14" x14ac:dyDescent="0.2">
      <c r="A68">
        <v>67</v>
      </c>
      <c r="B68">
        <f>LARGE(data!G:G,A68)</f>
        <v>0.70638065679999995</v>
      </c>
      <c r="C68">
        <f>COUNTIFS(data!E:E,data!$I$2,data!G:G,"&gt;="&amp;B68)</f>
        <v>53</v>
      </c>
      <c r="D68">
        <f>COUNTIFS(data!E:E,data!$J$2,data!G:G,"&gt;="&amp;B68)</f>
        <v>14</v>
      </c>
      <c r="E68">
        <f>COUNTIFS(data!E:E,data!$J$2,data!G:G,"&lt;"&amp;B68)</f>
        <v>348</v>
      </c>
      <c r="F68">
        <f>COUNTIFS(data!E:E,data!$I$2,data!G:G,"&lt;"&amp;B68)</f>
        <v>213</v>
      </c>
      <c r="G68">
        <f t="shared" si="7"/>
        <v>3.8674033149171269E-2</v>
      </c>
      <c r="H68">
        <f t="shared" si="8"/>
        <v>0.19924812030075187</v>
      </c>
      <c r="I68">
        <f t="shared" si="9"/>
        <v>0</v>
      </c>
      <c r="J68">
        <f t="shared" si="10"/>
        <v>0.79104477611940294</v>
      </c>
      <c r="K68">
        <f t="shared" si="11"/>
        <v>0.31831831831831831</v>
      </c>
      <c r="L68">
        <f>A68*COUNTIF(data!E:E,$J$2)/data!$M$2</f>
        <v>28.378980891719745</v>
      </c>
      <c r="M68" s="1">
        <f>A68/data!$M$2</f>
        <v>0.10668789808917198</v>
      </c>
      <c r="N68">
        <f t="shared" si="6"/>
        <v>1.8675793962518237</v>
      </c>
    </row>
    <row r="69" spans="1:14" x14ac:dyDescent="0.2">
      <c r="A69">
        <v>68</v>
      </c>
      <c r="B69">
        <f>LARGE(data!G:G,A69)</f>
        <v>0.70621993829999996</v>
      </c>
      <c r="C69">
        <f>COUNTIFS(data!E:E,data!$I$2,data!G:G,"&gt;="&amp;B69)</f>
        <v>54</v>
      </c>
      <c r="D69">
        <f>COUNTIFS(data!E:E,data!$J$2,data!G:G,"&gt;="&amp;B69)</f>
        <v>14</v>
      </c>
      <c r="E69">
        <f>COUNTIFS(data!E:E,data!$J$2,data!G:G,"&lt;"&amp;B69)</f>
        <v>348</v>
      </c>
      <c r="F69">
        <f>COUNTIFS(data!E:E,data!$I$2,data!G:G,"&lt;"&amp;B69)</f>
        <v>212</v>
      </c>
      <c r="G69">
        <f t="shared" si="7"/>
        <v>3.8674033149171269E-2</v>
      </c>
      <c r="H69">
        <f t="shared" si="8"/>
        <v>0.20300751879699247</v>
      </c>
      <c r="I69">
        <f t="shared" si="9"/>
        <v>0</v>
      </c>
      <c r="J69">
        <f t="shared" si="10"/>
        <v>0.79411764705882348</v>
      </c>
      <c r="K69">
        <f t="shared" si="11"/>
        <v>0.32335329341317359</v>
      </c>
      <c r="L69">
        <f>A69*COUNTIF(data!E:E,$J$2)/data!$M$2</f>
        <v>28.802547770700638</v>
      </c>
      <c r="M69" s="1">
        <f>A69/data!$M$2</f>
        <v>0.10828025477707007</v>
      </c>
      <c r="N69">
        <f t="shared" si="6"/>
        <v>1.8748341441839893</v>
      </c>
    </row>
    <row r="70" spans="1:14" x14ac:dyDescent="0.2">
      <c r="A70">
        <v>69</v>
      </c>
      <c r="B70">
        <f>LARGE(data!G:G,A70)</f>
        <v>0.70446763779999999</v>
      </c>
      <c r="C70">
        <f>COUNTIFS(data!E:E,data!$I$2,data!G:G,"&gt;="&amp;B70)</f>
        <v>54</v>
      </c>
      <c r="D70">
        <f>COUNTIFS(data!E:E,data!$J$2,data!G:G,"&gt;="&amp;B70)</f>
        <v>15</v>
      </c>
      <c r="E70">
        <f>COUNTIFS(data!E:E,data!$J$2,data!G:G,"&lt;"&amp;B70)</f>
        <v>347</v>
      </c>
      <c r="F70">
        <f>COUNTIFS(data!E:E,data!$I$2,data!G:G,"&lt;"&amp;B70)</f>
        <v>212</v>
      </c>
      <c r="G70">
        <f t="shared" si="7"/>
        <v>4.1436464088397788E-2</v>
      </c>
      <c r="H70">
        <f t="shared" si="8"/>
        <v>0.20300751879699247</v>
      </c>
      <c r="I70">
        <f t="shared" si="9"/>
        <v>5.6079425082042117E-4</v>
      </c>
      <c r="J70">
        <f t="shared" si="10"/>
        <v>0.78260869565217395</v>
      </c>
      <c r="K70">
        <f t="shared" si="11"/>
        <v>0.32238805970149248</v>
      </c>
      <c r="L70">
        <f>A70*COUNTIF(data!E:E,$J$2)/data!$M$2</f>
        <v>29.226114649681527</v>
      </c>
      <c r="M70" s="1">
        <f>A70/data!$M$2</f>
        <v>0.10987261146496816</v>
      </c>
      <c r="N70">
        <f t="shared" si="6"/>
        <v>1.8476626348479896</v>
      </c>
    </row>
    <row r="71" spans="1:14" x14ac:dyDescent="0.2">
      <c r="A71">
        <v>70</v>
      </c>
      <c r="B71">
        <f>LARGE(data!G:G,A71)</f>
        <v>0.70440988670000004</v>
      </c>
      <c r="C71">
        <f>COUNTIFS(data!E:E,data!$I$2,data!G:G,"&gt;="&amp;B71)</f>
        <v>54</v>
      </c>
      <c r="D71">
        <f>COUNTIFS(data!E:E,data!$J$2,data!G:G,"&gt;="&amp;B71)</f>
        <v>16</v>
      </c>
      <c r="E71">
        <f>COUNTIFS(data!E:E,data!$J$2,data!G:G,"&lt;"&amp;B71)</f>
        <v>346</v>
      </c>
      <c r="F71">
        <f>COUNTIFS(data!E:E,data!$I$2,data!G:G,"&lt;"&amp;B71)</f>
        <v>212</v>
      </c>
      <c r="G71">
        <f t="shared" si="7"/>
        <v>4.4198895027624308E-2</v>
      </c>
      <c r="H71">
        <f t="shared" si="8"/>
        <v>0.20300751879699247</v>
      </c>
      <c r="I71">
        <f t="shared" si="9"/>
        <v>5.6079425082042117E-4</v>
      </c>
      <c r="J71">
        <f t="shared" si="10"/>
        <v>0.77142857142857146</v>
      </c>
      <c r="K71">
        <f t="shared" si="11"/>
        <v>0.3214285714285714</v>
      </c>
      <c r="L71">
        <f>A71*COUNTIF(data!E:E,$J$2)/data!$M$2</f>
        <v>29.64968152866242</v>
      </c>
      <c r="M71" s="1">
        <f>A71/data!$M$2</f>
        <v>0.11146496815286625</v>
      </c>
      <c r="N71">
        <f t="shared" si="6"/>
        <v>1.8212674543501612</v>
      </c>
    </row>
    <row r="72" spans="1:14" x14ac:dyDescent="0.2">
      <c r="A72">
        <v>71</v>
      </c>
      <c r="B72">
        <f>LARGE(data!G:G,A72)</f>
        <v>0.70424966690000002</v>
      </c>
      <c r="C72">
        <f>COUNTIFS(data!E:E,data!$I$2,data!G:G,"&gt;="&amp;B72)</f>
        <v>55</v>
      </c>
      <c r="D72">
        <f>COUNTIFS(data!E:E,data!$J$2,data!G:G,"&gt;="&amp;B72)</f>
        <v>16</v>
      </c>
      <c r="E72">
        <f>COUNTIFS(data!E:E,data!$J$2,data!G:G,"&lt;"&amp;B72)</f>
        <v>346</v>
      </c>
      <c r="F72">
        <f>COUNTIFS(data!E:E,data!$I$2,data!G:G,"&lt;"&amp;B72)</f>
        <v>211</v>
      </c>
      <c r="G72">
        <f t="shared" si="7"/>
        <v>4.4198895027624308E-2</v>
      </c>
      <c r="H72">
        <f t="shared" si="8"/>
        <v>0.20676691729323307</v>
      </c>
      <c r="I72">
        <f t="shared" si="9"/>
        <v>0</v>
      </c>
      <c r="J72">
        <f t="shared" si="10"/>
        <v>0.77464788732394363</v>
      </c>
      <c r="K72">
        <f t="shared" si="11"/>
        <v>0.32640949554896143</v>
      </c>
      <c r="L72">
        <f>A72*COUNTIF(data!E:E,$J$2)/data!$M$2</f>
        <v>30.073248407643312</v>
      </c>
      <c r="M72" s="1">
        <f>A72/data!$M$2</f>
        <v>0.11305732484076433</v>
      </c>
      <c r="N72">
        <f t="shared" si="6"/>
        <v>1.8288679445091602</v>
      </c>
    </row>
    <row r="73" spans="1:14" x14ac:dyDescent="0.2">
      <c r="A73">
        <v>72</v>
      </c>
      <c r="B73">
        <f>LARGE(data!G:G,A73)</f>
        <v>0.70279023780000005</v>
      </c>
      <c r="C73">
        <f>COUNTIFS(data!E:E,data!$I$2,data!G:G,"&gt;="&amp;B73)</f>
        <v>56</v>
      </c>
      <c r="D73">
        <f>COUNTIFS(data!E:E,data!$J$2,data!G:G,"&gt;="&amp;B73)</f>
        <v>16</v>
      </c>
      <c r="E73">
        <f>COUNTIFS(data!E:E,data!$J$2,data!G:G,"&lt;"&amp;B73)</f>
        <v>346</v>
      </c>
      <c r="F73">
        <f>COUNTIFS(data!E:E,data!$I$2,data!G:G,"&lt;"&amp;B73)</f>
        <v>210</v>
      </c>
      <c r="G73">
        <f t="shared" si="7"/>
        <v>4.4198895027624308E-2</v>
      </c>
      <c r="H73">
        <f t="shared" si="8"/>
        <v>0.21052631578947367</v>
      </c>
      <c r="I73">
        <f t="shared" si="9"/>
        <v>0</v>
      </c>
      <c r="J73">
        <f t="shared" si="10"/>
        <v>0.77777777777777779</v>
      </c>
      <c r="K73">
        <f t="shared" si="11"/>
        <v>0.3313609467455621</v>
      </c>
      <c r="L73">
        <f>A73*COUNTIF(data!E:E,$J$2)/data!$M$2</f>
        <v>30.496815286624205</v>
      </c>
      <c r="M73" s="1">
        <f>A73/data!$M$2</f>
        <v>0.11464968152866242</v>
      </c>
      <c r="N73">
        <f t="shared" si="6"/>
        <v>1.8362573099415205</v>
      </c>
    </row>
    <row r="74" spans="1:14" x14ac:dyDescent="0.2">
      <c r="A74">
        <v>73</v>
      </c>
      <c r="B74">
        <f>LARGE(data!G:G,A74)</f>
        <v>0.70122615749999995</v>
      </c>
      <c r="C74">
        <f>COUNTIFS(data!E:E,data!$I$2,data!G:G,"&gt;="&amp;B74)</f>
        <v>57</v>
      </c>
      <c r="D74">
        <f>COUNTIFS(data!E:E,data!$J$2,data!G:G,"&gt;="&amp;B74)</f>
        <v>16</v>
      </c>
      <c r="E74">
        <f>COUNTIFS(data!E:E,data!$J$2,data!G:G,"&lt;"&amp;B74)</f>
        <v>346</v>
      </c>
      <c r="F74">
        <f>COUNTIFS(data!E:E,data!$I$2,data!G:G,"&lt;"&amp;B74)</f>
        <v>209</v>
      </c>
      <c r="G74">
        <f t="shared" si="7"/>
        <v>4.4198895027624308E-2</v>
      </c>
      <c r="H74">
        <f t="shared" si="8"/>
        <v>0.21428571428571427</v>
      </c>
      <c r="I74">
        <f t="shared" si="9"/>
        <v>0</v>
      </c>
      <c r="J74">
        <f t="shared" si="10"/>
        <v>0.78082191780821919</v>
      </c>
      <c r="K74">
        <f t="shared" si="11"/>
        <v>0.33628318584070793</v>
      </c>
      <c r="L74">
        <f>A74*COUNTIF(data!E:E,$J$2)/data!$M$2</f>
        <v>30.920382165605094</v>
      </c>
      <c r="M74" s="1">
        <f>A74/data!$M$2</f>
        <v>0.11624203821656051</v>
      </c>
      <c r="N74">
        <f t="shared" si="6"/>
        <v>1.8434442270058709</v>
      </c>
    </row>
    <row r="75" spans="1:14" x14ac:dyDescent="0.2">
      <c r="A75">
        <v>74</v>
      </c>
      <c r="B75">
        <f>LARGE(data!G:G,A75)</f>
        <v>0.69991790320000002</v>
      </c>
      <c r="C75">
        <f>COUNTIFS(data!E:E,data!$I$2,data!G:G,"&gt;="&amp;B75)</f>
        <v>58</v>
      </c>
      <c r="D75">
        <f>COUNTIFS(data!E:E,data!$J$2,data!G:G,"&gt;="&amp;B75)</f>
        <v>16</v>
      </c>
      <c r="E75">
        <f>COUNTIFS(data!E:E,data!$J$2,data!G:G,"&lt;"&amp;B75)</f>
        <v>346</v>
      </c>
      <c r="F75">
        <f>COUNTIFS(data!E:E,data!$I$2,data!G:G,"&lt;"&amp;B75)</f>
        <v>208</v>
      </c>
      <c r="G75">
        <f t="shared" si="7"/>
        <v>4.4198895027624308E-2</v>
      </c>
      <c r="H75">
        <f t="shared" si="8"/>
        <v>0.21804511278195488</v>
      </c>
      <c r="I75">
        <f t="shared" si="9"/>
        <v>0</v>
      </c>
      <c r="J75">
        <f t="shared" si="10"/>
        <v>0.78378378378378377</v>
      </c>
      <c r="K75">
        <f t="shared" si="11"/>
        <v>0.3411764705882353</v>
      </c>
      <c r="L75">
        <f>A75*COUNTIF(data!E:E,$J$2)/data!$M$2</f>
        <v>31.343949044585987</v>
      </c>
      <c r="M75" s="1">
        <f>A75/data!$M$2</f>
        <v>0.1178343949044586</v>
      </c>
      <c r="N75">
        <f t="shared" si="6"/>
        <v>1.850436903068482</v>
      </c>
    </row>
    <row r="76" spans="1:14" x14ac:dyDescent="0.2">
      <c r="A76">
        <v>75</v>
      </c>
      <c r="B76">
        <f>LARGE(data!G:G,A76)</f>
        <v>0.69639123660000002</v>
      </c>
      <c r="C76">
        <f>COUNTIFS(data!E:E,data!$I$2,data!G:G,"&gt;="&amp;B76)</f>
        <v>58</v>
      </c>
      <c r="D76">
        <f>COUNTIFS(data!E:E,data!$J$2,data!G:G,"&gt;="&amp;B76)</f>
        <v>17</v>
      </c>
      <c r="E76">
        <f>COUNTIFS(data!E:E,data!$J$2,data!G:G,"&lt;"&amp;B76)</f>
        <v>345</v>
      </c>
      <c r="F76">
        <f>COUNTIFS(data!E:E,data!$I$2,data!G:G,"&lt;"&amp;B76)</f>
        <v>208</v>
      </c>
      <c r="G76">
        <f t="shared" si="7"/>
        <v>4.6961325966850827E-2</v>
      </c>
      <c r="H76">
        <f t="shared" si="8"/>
        <v>0.21804511278195488</v>
      </c>
      <c r="I76">
        <f t="shared" si="9"/>
        <v>6.0233456569600788E-4</v>
      </c>
      <c r="J76">
        <f t="shared" si="10"/>
        <v>0.77333333333333332</v>
      </c>
      <c r="K76">
        <f t="shared" si="11"/>
        <v>0.34017595307917886</v>
      </c>
      <c r="L76">
        <f>A76*COUNTIF(data!E:E,$J$2)/data!$M$2</f>
        <v>31.767515923566879</v>
      </c>
      <c r="M76" s="1">
        <f>A76/data!$M$2</f>
        <v>0.11942675159235669</v>
      </c>
      <c r="N76">
        <f t="shared" si="6"/>
        <v>1.8257644110275688</v>
      </c>
    </row>
    <row r="77" spans="1:14" x14ac:dyDescent="0.2">
      <c r="A77">
        <v>76</v>
      </c>
      <c r="B77">
        <f>LARGE(data!G:G,A77)</f>
        <v>0.69423360450000005</v>
      </c>
      <c r="C77">
        <f>COUNTIFS(data!E:E,data!$I$2,data!G:G,"&gt;="&amp;B77)</f>
        <v>59</v>
      </c>
      <c r="D77">
        <f>COUNTIFS(data!E:E,data!$J$2,data!G:G,"&gt;="&amp;B77)</f>
        <v>17</v>
      </c>
      <c r="E77">
        <f>COUNTIFS(data!E:E,data!$J$2,data!G:G,"&lt;"&amp;B77)</f>
        <v>345</v>
      </c>
      <c r="F77">
        <f>COUNTIFS(data!E:E,data!$I$2,data!G:G,"&lt;"&amp;B77)</f>
        <v>207</v>
      </c>
      <c r="G77">
        <f t="shared" si="7"/>
        <v>4.6961325966850827E-2</v>
      </c>
      <c r="H77">
        <f t="shared" si="8"/>
        <v>0.22180451127819548</v>
      </c>
      <c r="I77">
        <f t="shared" si="9"/>
        <v>0</v>
      </c>
      <c r="J77">
        <f t="shared" si="10"/>
        <v>0.77631578947368418</v>
      </c>
      <c r="K77">
        <f t="shared" si="11"/>
        <v>0.34502923976608185</v>
      </c>
      <c r="L77">
        <f>A77*COUNTIF(data!E:E,$J$2)/data!$M$2</f>
        <v>32.191082802547768</v>
      </c>
      <c r="M77" s="1">
        <f>A77/data!$M$2</f>
        <v>0.12101910828025478</v>
      </c>
      <c r="N77">
        <f t="shared" si="6"/>
        <v>1.8328056984566681</v>
      </c>
    </row>
    <row r="78" spans="1:14" x14ac:dyDescent="0.2">
      <c r="A78">
        <v>77</v>
      </c>
      <c r="B78">
        <f>LARGE(data!G:G,A78)</f>
        <v>0.69374152889999996</v>
      </c>
      <c r="C78">
        <f>COUNTIFS(data!E:E,data!$I$2,data!G:G,"&gt;="&amp;B78)</f>
        <v>59</v>
      </c>
      <c r="D78">
        <f>COUNTIFS(data!E:E,data!$J$2,data!G:G,"&gt;="&amp;B78)</f>
        <v>18</v>
      </c>
      <c r="E78">
        <f>COUNTIFS(data!E:E,data!$J$2,data!G:G,"&lt;"&amp;B78)</f>
        <v>344</v>
      </c>
      <c r="F78">
        <f>COUNTIFS(data!E:E,data!$I$2,data!G:G,"&lt;"&amp;B78)</f>
        <v>207</v>
      </c>
      <c r="G78">
        <f t="shared" si="7"/>
        <v>4.9723756906077346E-2</v>
      </c>
      <c r="H78">
        <f t="shared" si="8"/>
        <v>0.22180451127819548</v>
      </c>
      <c r="I78">
        <f t="shared" si="9"/>
        <v>6.1271964441490464E-4</v>
      </c>
      <c r="J78">
        <f t="shared" si="10"/>
        <v>0.76623376623376627</v>
      </c>
      <c r="K78">
        <f t="shared" si="11"/>
        <v>0.34402332361516036</v>
      </c>
      <c r="L78">
        <f>A78*COUNTIF(data!E:E,$J$2)/data!$M$2</f>
        <v>32.614649681528661</v>
      </c>
      <c r="M78" s="1">
        <f>A78/data!$M$2</f>
        <v>0.12261146496815287</v>
      </c>
      <c r="N78">
        <f t="shared" si="6"/>
        <v>1.8090030270481399</v>
      </c>
    </row>
    <row r="79" spans="1:14" x14ac:dyDescent="0.2">
      <c r="A79">
        <v>78</v>
      </c>
      <c r="B79">
        <f>LARGE(data!G:G,A79)</f>
        <v>0.69306072429999999</v>
      </c>
      <c r="C79">
        <f>COUNTIFS(data!E:E,data!$I$2,data!G:G,"&gt;="&amp;B79)</f>
        <v>59</v>
      </c>
      <c r="D79">
        <f>COUNTIFS(data!E:E,data!$J$2,data!G:G,"&gt;="&amp;B79)</f>
        <v>19</v>
      </c>
      <c r="E79">
        <f>COUNTIFS(data!E:E,data!$J$2,data!G:G,"&lt;"&amp;B79)</f>
        <v>343</v>
      </c>
      <c r="F79">
        <f>COUNTIFS(data!E:E,data!$I$2,data!G:G,"&lt;"&amp;B79)</f>
        <v>207</v>
      </c>
      <c r="G79">
        <f t="shared" si="7"/>
        <v>5.2486187845303865E-2</v>
      </c>
      <c r="H79">
        <f t="shared" si="8"/>
        <v>0.22180451127819548</v>
      </c>
      <c r="I79">
        <f t="shared" si="9"/>
        <v>6.1271964441490464E-4</v>
      </c>
      <c r="J79">
        <f t="shared" si="10"/>
        <v>0.75641025641025639</v>
      </c>
      <c r="K79">
        <f t="shared" si="11"/>
        <v>0.34302325581395349</v>
      </c>
      <c r="L79">
        <f>A79*COUNTIF(data!E:E,$J$2)/data!$M$2</f>
        <v>33.038216560509554</v>
      </c>
      <c r="M79" s="1">
        <f>A79/data!$M$2</f>
        <v>0.12420382165605096</v>
      </c>
      <c r="N79">
        <f t="shared" si="6"/>
        <v>1.7858106805475227</v>
      </c>
    </row>
    <row r="80" spans="1:14" x14ac:dyDescent="0.2">
      <c r="A80">
        <v>79</v>
      </c>
      <c r="B80">
        <f>LARGE(data!G:G,A80)</f>
        <v>0.68786424209999997</v>
      </c>
      <c r="C80">
        <f>COUNTIFS(data!E:E,data!$I$2,data!G:G,"&gt;="&amp;B80)</f>
        <v>59</v>
      </c>
      <c r="D80">
        <f>COUNTIFS(data!E:E,data!$J$2,data!G:G,"&gt;="&amp;B80)</f>
        <v>20</v>
      </c>
      <c r="E80">
        <f>COUNTIFS(data!E:E,data!$J$2,data!G:G,"&lt;"&amp;B80)</f>
        <v>342</v>
      </c>
      <c r="F80">
        <f>COUNTIFS(data!E:E,data!$I$2,data!G:G,"&lt;"&amp;B80)</f>
        <v>207</v>
      </c>
      <c r="G80">
        <f t="shared" si="7"/>
        <v>5.5248618784530384E-2</v>
      </c>
      <c r="H80">
        <f t="shared" si="8"/>
        <v>0.22180451127819548</v>
      </c>
      <c r="I80">
        <f t="shared" si="9"/>
        <v>6.1271964441490464E-4</v>
      </c>
      <c r="J80">
        <f t="shared" si="10"/>
        <v>0.74683544303797467</v>
      </c>
      <c r="K80">
        <f t="shared" si="11"/>
        <v>0.34202898550724642</v>
      </c>
      <c r="L80">
        <f>A80*COUNTIF(data!E:E,$J$2)/data!$M$2</f>
        <v>33.461783439490446</v>
      </c>
      <c r="M80" s="1">
        <f>A80/data!$M$2</f>
        <v>0.12579617834394904</v>
      </c>
      <c r="N80">
        <f t="shared" si="6"/>
        <v>1.7632054820595793</v>
      </c>
    </row>
    <row r="81" spans="1:14" x14ac:dyDescent="0.2">
      <c r="A81">
        <v>80</v>
      </c>
      <c r="B81">
        <f>LARGE(data!G:G,A81)</f>
        <v>0.68630148449999995</v>
      </c>
      <c r="C81">
        <f>COUNTIFS(data!E:E,data!$I$2,data!G:G,"&gt;="&amp;B81)</f>
        <v>60</v>
      </c>
      <c r="D81">
        <f>COUNTIFS(data!E:E,data!$J$2,data!G:G,"&gt;="&amp;B81)</f>
        <v>20</v>
      </c>
      <c r="E81">
        <f>COUNTIFS(data!E:E,data!$J$2,data!G:G,"&lt;"&amp;B81)</f>
        <v>342</v>
      </c>
      <c r="F81">
        <f>COUNTIFS(data!E:E,data!$I$2,data!G:G,"&lt;"&amp;B81)</f>
        <v>206</v>
      </c>
      <c r="G81">
        <f t="shared" si="7"/>
        <v>5.5248618784530384E-2</v>
      </c>
      <c r="H81">
        <f t="shared" si="8"/>
        <v>0.22556390977443608</v>
      </c>
      <c r="I81">
        <f t="shared" si="9"/>
        <v>0</v>
      </c>
      <c r="J81">
        <f t="shared" si="10"/>
        <v>0.75</v>
      </c>
      <c r="K81">
        <f t="shared" si="11"/>
        <v>0.34682080924855491</v>
      </c>
      <c r="L81">
        <f>A81*COUNTIF(data!E:E,$J$2)/data!$M$2</f>
        <v>33.885350318471339</v>
      </c>
      <c r="M81" s="1">
        <f>A81/data!$M$2</f>
        <v>0.12738853503184713</v>
      </c>
      <c r="N81">
        <f t="shared" si="6"/>
        <v>1.7706766917293233</v>
      </c>
    </row>
    <row r="82" spans="1:14" x14ac:dyDescent="0.2">
      <c r="A82">
        <v>81</v>
      </c>
      <c r="B82">
        <f>LARGE(data!G:G,A82)</f>
        <v>0.68441090029999996</v>
      </c>
      <c r="C82">
        <f>COUNTIFS(data!E:E,data!$I$2,data!G:G,"&gt;="&amp;B82)</f>
        <v>61</v>
      </c>
      <c r="D82">
        <f>COUNTIFS(data!E:E,data!$J$2,data!G:G,"&gt;="&amp;B82)</f>
        <v>20</v>
      </c>
      <c r="E82">
        <f>COUNTIFS(data!E:E,data!$J$2,data!G:G,"&lt;"&amp;B82)</f>
        <v>342</v>
      </c>
      <c r="F82">
        <f>COUNTIFS(data!E:E,data!$I$2,data!G:G,"&lt;"&amp;B82)</f>
        <v>205</v>
      </c>
      <c r="G82">
        <f t="shared" si="7"/>
        <v>5.5248618784530384E-2</v>
      </c>
      <c r="H82">
        <f t="shared" si="8"/>
        <v>0.22932330827067668</v>
      </c>
      <c r="I82">
        <f t="shared" si="9"/>
        <v>0</v>
      </c>
      <c r="J82">
        <f t="shared" si="10"/>
        <v>0.75308641975308643</v>
      </c>
      <c r="K82">
        <f t="shared" si="11"/>
        <v>0.35158501440922185</v>
      </c>
      <c r="L82">
        <f>A82*COUNTIF(data!E:E,$J$2)/data!$M$2</f>
        <v>34.308917197452232</v>
      </c>
      <c r="M82" s="1">
        <f>A82/data!$M$2</f>
        <v>0.12898089171974522</v>
      </c>
      <c r="N82">
        <f t="shared" si="6"/>
        <v>1.7779634270862339</v>
      </c>
    </row>
    <row r="83" spans="1:14" x14ac:dyDescent="0.2">
      <c r="A83">
        <v>82</v>
      </c>
      <c r="B83">
        <f>LARGE(data!G:G,A83)</f>
        <v>0.68107723210000004</v>
      </c>
      <c r="C83">
        <f>COUNTIFS(data!E:E,data!$I$2,data!G:G,"&gt;="&amp;B83)</f>
        <v>61</v>
      </c>
      <c r="D83">
        <f>COUNTIFS(data!E:E,data!$J$2,data!G:G,"&gt;="&amp;B83)</f>
        <v>21</v>
      </c>
      <c r="E83">
        <f>COUNTIFS(data!E:E,data!$J$2,data!G:G,"&lt;"&amp;B83)</f>
        <v>341</v>
      </c>
      <c r="F83">
        <f>COUNTIFS(data!E:E,data!$I$2,data!G:G,"&lt;"&amp;B83)</f>
        <v>205</v>
      </c>
      <c r="G83">
        <f t="shared" si="7"/>
        <v>5.8011049723756904E-2</v>
      </c>
      <c r="H83">
        <f t="shared" si="8"/>
        <v>0.22932330827067668</v>
      </c>
      <c r="I83">
        <f t="shared" si="9"/>
        <v>6.3348980185269795E-4</v>
      </c>
      <c r="J83">
        <f t="shared" si="10"/>
        <v>0.74390243902439024</v>
      </c>
      <c r="K83">
        <f t="shared" si="11"/>
        <v>0.35057471264367812</v>
      </c>
      <c r="L83">
        <f>A83*COUNTIF(data!E:E,$J$2)/data!$M$2</f>
        <v>34.732484076433124</v>
      </c>
      <c r="M83" s="1">
        <f>A83/data!$M$2</f>
        <v>0.13057324840764331</v>
      </c>
      <c r="N83">
        <f t="shared" si="6"/>
        <v>1.756280946268109</v>
      </c>
    </row>
    <row r="84" spans="1:14" x14ac:dyDescent="0.2">
      <c r="A84">
        <v>83</v>
      </c>
      <c r="B84">
        <f>LARGE(data!G:G,A84)</f>
        <v>0.67852359900000003</v>
      </c>
      <c r="C84">
        <f>COUNTIFS(data!E:E,data!$I$2,data!G:G,"&gt;="&amp;B84)</f>
        <v>61</v>
      </c>
      <c r="D84">
        <f>COUNTIFS(data!E:E,data!$J$2,data!G:G,"&gt;="&amp;B84)</f>
        <v>22</v>
      </c>
      <c r="E84">
        <f>COUNTIFS(data!E:E,data!$J$2,data!G:G,"&lt;"&amp;B84)</f>
        <v>340</v>
      </c>
      <c r="F84">
        <f>COUNTIFS(data!E:E,data!$I$2,data!G:G,"&lt;"&amp;B84)</f>
        <v>205</v>
      </c>
      <c r="G84">
        <f t="shared" si="7"/>
        <v>6.0773480662983423E-2</v>
      </c>
      <c r="H84">
        <f t="shared" si="8"/>
        <v>0.22932330827067668</v>
      </c>
      <c r="I84">
        <f t="shared" si="9"/>
        <v>6.3348980185269795E-4</v>
      </c>
      <c r="J84">
        <f t="shared" si="10"/>
        <v>0.73493975903614461</v>
      </c>
      <c r="K84">
        <f t="shared" si="11"/>
        <v>0.34957020057306587</v>
      </c>
      <c r="L84">
        <f>A84*COUNTIF(data!E:E,$J$2)/data!$M$2</f>
        <v>35.15605095541401</v>
      </c>
      <c r="M84" s="1">
        <f>A84/data!$M$2</f>
        <v>0.1321656050955414</v>
      </c>
      <c r="N84">
        <f t="shared" si="6"/>
        <v>1.7351209348672889</v>
      </c>
    </row>
    <row r="85" spans="1:14" x14ac:dyDescent="0.2">
      <c r="A85">
        <v>84</v>
      </c>
      <c r="B85">
        <f>LARGE(data!G:G,A85)</f>
        <v>0.67754690699999998</v>
      </c>
      <c r="C85">
        <f>COUNTIFS(data!E:E,data!$I$2,data!G:G,"&gt;="&amp;B85)</f>
        <v>61</v>
      </c>
      <c r="D85">
        <f>COUNTIFS(data!E:E,data!$J$2,data!G:G,"&gt;="&amp;B85)</f>
        <v>23</v>
      </c>
      <c r="E85">
        <f>COUNTIFS(data!E:E,data!$J$2,data!G:G,"&lt;"&amp;B85)</f>
        <v>339</v>
      </c>
      <c r="F85">
        <f>COUNTIFS(data!E:E,data!$I$2,data!G:G,"&lt;"&amp;B85)</f>
        <v>205</v>
      </c>
      <c r="G85">
        <f t="shared" si="7"/>
        <v>6.3535911602209949E-2</v>
      </c>
      <c r="H85">
        <f t="shared" si="8"/>
        <v>0.22932330827067668</v>
      </c>
      <c r="I85">
        <f t="shared" si="9"/>
        <v>6.3348980185269957E-4</v>
      </c>
      <c r="J85">
        <f t="shared" si="10"/>
        <v>0.72619047619047616</v>
      </c>
      <c r="K85">
        <f t="shared" si="11"/>
        <v>0.34857142857142853</v>
      </c>
      <c r="L85">
        <f>A85*COUNTIF(data!E:E,$J$2)/data!$M$2</f>
        <v>35.579617834394902</v>
      </c>
      <c r="M85" s="1">
        <f>A85/data!$M$2</f>
        <v>0.13375796178343949</v>
      </c>
      <c r="N85">
        <f t="shared" si="6"/>
        <v>1.7144647332617258</v>
      </c>
    </row>
    <row r="86" spans="1:14" x14ac:dyDescent="0.2">
      <c r="A86">
        <v>85</v>
      </c>
      <c r="B86">
        <f>LARGE(data!G:G,A86)</f>
        <v>0.67746109639999996</v>
      </c>
      <c r="C86">
        <f>COUNTIFS(data!E:E,data!$I$2,data!G:G,"&gt;="&amp;B86)</f>
        <v>61</v>
      </c>
      <c r="D86">
        <f>COUNTIFS(data!E:E,data!$J$2,data!G:G,"&gt;="&amp;B86)</f>
        <v>24</v>
      </c>
      <c r="E86">
        <f>COUNTIFS(data!E:E,data!$J$2,data!G:G,"&lt;"&amp;B86)</f>
        <v>338</v>
      </c>
      <c r="F86">
        <f>COUNTIFS(data!E:E,data!$I$2,data!G:G,"&lt;"&amp;B86)</f>
        <v>205</v>
      </c>
      <c r="G86">
        <f t="shared" si="7"/>
        <v>6.6298342541436461E-2</v>
      </c>
      <c r="H86">
        <f t="shared" si="8"/>
        <v>0.22932330827067668</v>
      </c>
      <c r="I86">
        <f t="shared" si="9"/>
        <v>6.3348980185269643E-4</v>
      </c>
      <c r="J86">
        <f t="shared" si="10"/>
        <v>0.71764705882352942</v>
      </c>
      <c r="K86">
        <f t="shared" si="11"/>
        <v>0.34757834757834755</v>
      </c>
      <c r="L86">
        <f>A86*COUNTIF(data!E:E,$J$2)/data!$M$2</f>
        <v>36.003184713375795</v>
      </c>
      <c r="M86" s="1">
        <f>A86/data!$M$2</f>
        <v>0.13535031847133758</v>
      </c>
      <c r="N86">
        <f t="shared" si="6"/>
        <v>1.6942945599292349</v>
      </c>
    </row>
    <row r="87" spans="1:14" x14ac:dyDescent="0.2">
      <c r="A87">
        <v>86</v>
      </c>
      <c r="B87">
        <f>LARGE(data!G:G,A87)</f>
        <v>0.67716444200000003</v>
      </c>
      <c r="C87">
        <f>COUNTIFS(data!E:E,data!$I$2,data!G:G,"&gt;="&amp;B87)</f>
        <v>61</v>
      </c>
      <c r="D87">
        <f>COUNTIFS(data!E:E,data!$J$2,data!G:G,"&gt;="&amp;B87)</f>
        <v>25</v>
      </c>
      <c r="E87">
        <f>COUNTIFS(data!E:E,data!$J$2,data!G:G,"&lt;"&amp;B87)</f>
        <v>337</v>
      </c>
      <c r="F87">
        <f>COUNTIFS(data!E:E,data!$I$2,data!G:G,"&lt;"&amp;B87)</f>
        <v>205</v>
      </c>
      <c r="G87">
        <f t="shared" si="7"/>
        <v>6.9060773480662987E-2</v>
      </c>
      <c r="H87">
        <f t="shared" si="8"/>
        <v>0.22932330827067668</v>
      </c>
      <c r="I87">
        <f t="shared" si="9"/>
        <v>6.3348980185269957E-4</v>
      </c>
      <c r="J87">
        <f t="shared" si="10"/>
        <v>0.70930232558139539</v>
      </c>
      <c r="K87">
        <f t="shared" si="11"/>
        <v>0.34659090909090906</v>
      </c>
      <c r="L87">
        <f>A87*COUNTIF(data!E:E,$J$2)/data!$M$2</f>
        <v>36.426751592356688</v>
      </c>
      <c r="M87" s="1">
        <f>A87/data!$M$2</f>
        <v>0.13694267515923567</v>
      </c>
      <c r="N87">
        <f t="shared" si="6"/>
        <v>1.674593460395174</v>
      </c>
    </row>
    <row r="88" spans="1:14" x14ac:dyDescent="0.2">
      <c r="A88">
        <v>87</v>
      </c>
      <c r="B88">
        <f>LARGE(data!G:G,A88)</f>
        <v>0.67415537189999997</v>
      </c>
      <c r="C88">
        <f>COUNTIFS(data!E:E,data!$I$2,data!G:G,"&gt;="&amp;B88)</f>
        <v>62</v>
      </c>
      <c r="D88">
        <f>COUNTIFS(data!E:E,data!$J$2,data!G:G,"&gt;="&amp;B88)</f>
        <v>25</v>
      </c>
      <c r="E88">
        <f>COUNTIFS(data!E:E,data!$J$2,data!G:G,"&lt;"&amp;B88)</f>
        <v>337</v>
      </c>
      <c r="F88">
        <f>COUNTIFS(data!E:E,data!$I$2,data!G:G,"&lt;"&amp;B88)</f>
        <v>204</v>
      </c>
      <c r="G88">
        <f t="shared" si="7"/>
        <v>6.9060773480662987E-2</v>
      </c>
      <c r="H88">
        <f t="shared" si="8"/>
        <v>0.23308270676691728</v>
      </c>
      <c r="I88">
        <f t="shared" si="9"/>
        <v>0</v>
      </c>
      <c r="J88">
        <f t="shared" si="10"/>
        <v>0.71264367816091956</v>
      </c>
      <c r="K88">
        <f t="shared" si="11"/>
        <v>0.35127478753541075</v>
      </c>
      <c r="L88">
        <f>A88*COUNTIF(data!E:E,$J$2)/data!$M$2</f>
        <v>36.85031847133758</v>
      </c>
      <c r="M88" s="1">
        <f>A88/data!$M$2</f>
        <v>0.13853503184713375</v>
      </c>
      <c r="N88">
        <f t="shared" si="6"/>
        <v>1.6824820672370582</v>
      </c>
    </row>
    <row r="89" spans="1:14" x14ac:dyDescent="0.2">
      <c r="A89">
        <v>88</v>
      </c>
      <c r="B89">
        <f>LARGE(data!G:G,A89)</f>
        <v>0.66956970029999996</v>
      </c>
      <c r="C89">
        <f>COUNTIFS(data!E:E,data!$I$2,data!G:G,"&gt;="&amp;B89)</f>
        <v>63</v>
      </c>
      <c r="D89">
        <f>COUNTIFS(data!E:E,data!$J$2,data!G:G,"&gt;="&amp;B89)</f>
        <v>25</v>
      </c>
      <c r="E89">
        <f>COUNTIFS(data!E:E,data!$J$2,data!G:G,"&lt;"&amp;B89)</f>
        <v>337</v>
      </c>
      <c r="F89">
        <f>COUNTIFS(data!E:E,data!$I$2,data!G:G,"&lt;"&amp;B89)</f>
        <v>203</v>
      </c>
      <c r="G89">
        <f t="shared" si="7"/>
        <v>6.9060773480662987E-2</v>
      </c>
      <c r="H89">
        <f t="shared" si="8"/>
        <v>0.23684210526315788</v>
      </c>
      <c r="I89">
        <f t="shared" si="9"/>
        <v>0</v>
      </c>
      <c r="J89">
        <f t="shared" si="10"/>
        <v>0.71590909090909094</v>
      </c>
      <c r="K89">
        <f t="shared" si="11"/>
        <v>0.3559322033898305</v>
      </c>
      <c r="L89">
        <f>A89*COUNTIF(data!E:E,$J$2)/data!$M$2</f>
        <v>37.273885350318473</v>
      </c>
      <c r="M89" s="1">
        <f>A89/data!$M$2</f>
        <v>0.14012738853503184</v>
      </c>
      <c r="N89">
        <f t="shared" si="6"/>
        <v>1.6901913875598085</v>
      </c>
    </row>
    <row r="90" spans="1:14" x14ac:dyDescent="0.2">
      <c r="A90">
        <v>89</v>
      </c>
      <c r="B90">
        <f>LARGE(data!G:G,A90)</f>
        <v>0.66764848710000002</v>
      </c>
      <c r="C90">
        <f>COUNTIFS(data!E:E,data!$I$2,data!G:G,"&gt;="&amp;B90)</f>
        <v>63</v>
      </c>
      <c r="D90">
        <f>COUNTIFS(data!E:E,data!$J$2,data!G:G,"&gt;="&amp;B90)</f>
        <v>26</v>
      </c>
      <c r="E90">
        <f>COUNTIFS(data!E:E,data!$J$2,data!G:G,"&lt;"&amp;B90)</f>
        <v>336</v>
      </c>
      <c r="F90">
        <f>COUNTIFS(data!E:E,data!$I$2,data!G:G,"&lt;"&amp;B90)</f>
        <v>203</v>
      </c>
      <c r="G90">
        <f t="shared" si="7"/>
        <v>7.18232044198895E-2</v>
      </c>
      <c r="H90">
        <f t="shared" si="8"/>
        <v>0.23684210526315788</v>
      </c>
      <c r="I90">
        <f t="shared" si="9"/>
        <v>6.5425995929048973E-4</v>
      </c>
      <c r="J90">
        <f t="shared" si="10"/>
        <v>0.7078651685393258</v>
      </c>
      <c r="K90">
        <f t="shared" si="11"/>
        <v>0.3549295774647887</v>
      </c>
      <c r="L90">
        <f>A90*COUNTIF(data!E:E,$J$2)/data!$M$2</f>
        <v>37.697452229299365</v>
      </c>
      <c r="M90" s="1">
        <f>A90/data!$M$2</f>
        <v>0.14171974522292993</v>
      </c>
      <c r="N90">
        <f t="shared" si="6"/>
        <v>1.6712004730928445</v>
      </c>
    </row>
    <row r="91" spans="1:14" x14ac:dyDescent="0.2">
      <c r="A91">
        <v>90</v>
      </c>
      <c r="B91">
        <f>LARGE(data!G:G,A91)</f>
        <v>0.66597455689999996</v>
      </c>
      <c r="C91">
        <f>COUNTIFS(data!E:E,data!$I$2,data!G:G,"&gt;="&amp;B91)</f>
        <v>63</v>
      </c>
      <c r="D91">
        <f>COUNTIFS(data!E:E,data!$J$2,data!G:G,"&gt;="&amp;B91)</f>
        <v>27</v>
      </c>
      <c r="E91">
        <f>COUNTIFS(data!E:E,data!$J$2,data!G:G,"&lt;"&amp;B91)</f>
        <v>335</v>
      </c>
      <c r="F91">
        <f>COUNTIFS(data!E:E,data!$I$2,data!G:G,"&lt;"&amp;B91)</f>
        <v>203</v>
      </c>
      <c r="G91">
        <f t="shared" si="7"/>
        <v>7.4585635359116026E-2</v>
      </c>
      <c r="H91">
        <f t="shared" si="8"/>
        <v>0.23684210526315788</v>
      </c>
      <c r="I91">
        <f t="shared" si="9"/>
        <v>6.5425995929049299E-4</v>
      </c>
      <c r="J91">
        <f t="shared" si="10"/>
        <v>0.7</v>
      </c>
      <c r="K91">
        <f t="shared" si="11"/>
        <v>0.35393258426966295</v>
      </c>
      <c r="L91">
        <f>A91*COUNTIF(data!E:E,$J$2)/data!$M$2</f>
        <v>38.121019108280258</v>
      </c>
      <c r="M91" s="1">
        <f>A91/data!$M$2</f>
        <v>0.14331210191082802</v>
      </c>
      <c r="N91">
        <f t="shared" si="6"/>
        <v>1.6526315789473682</v>
      </c>
    </row>
    <row r="92" spans="1:14" x14ac:dyDescent="0.2">
      <c r="A92">
        <v>91</v>
      </c>
      <c r="B92">
        <f>LARGE(data!G:G,A92)</f>
        <v>0.66593848860000004</v>
      </c>
      <c r="C92">
        <f>COUNTIFS(data!E:E,data!$I$2,data!G:G,"&gt;="&amp;B92)</f>
        <v>65</v>
      </c>
      <c r="D92">
        <f>COUNTIFS(data!E:E,data!$J$2,data!G:G,"&gt;="&amp;B92)</f>
        <v>27</v>
      </c>
      <c r="E92">
        <f>COUNTIFS(data!E:E,data!$J$2,data!G:G,"&lt;"&amp;B92)</f>
        <v>335</v>
      </c>
      <c r="F92">
        <f>COUNTIFS(data!E:E,data!$I$2,data!G:G,"&lt;"&amp;B92)</f>
        <v>201</v>
      </c>
      <c r="G92">
        <f t="shared" si="7"/>
        <v>7.4585635359116026E-2</v>
      </c>
      <c r="H92">
        <f t="shared" si="8"/>
        <v>0.24436090225563908</v>
      </c>
      <c r="I92">
        <f t="shared" si="9"/>
        <v>0</v>
      </c>
      <c r="J92">
        <f t="shared" si="10"/>
        <v>0.70652173913043481</v>
      </c>
      <c r="K92">
        <f t="shared" si="11"/>
        <v>0.36312849162011174</v>
      </c>
      <c r="L92">
        <f>A92*COUNTIF(data!E:E,$J$2)/data!$M$2</f>
        <v>38.544585987261144</v>
      </c>
      <c r="M92" s="1">
        <f>A92/data!$M$2</f>
        <v>0.14490445859872611</v>
      </c>
      <c r="N92">
        <f t="shared" si="6"/>
        <v>1.686358754027927</v>
      </c>
    </row>
    <row r="93" spans="1:14" x14ac:dyDescent="0.2">
      <c r="A93">
        <v>92</v>
      </c>
      <c r="B93">
        <f>LARGE(data!G:G,A93)</f>
        <v>0.66593848860000004</v>
      </c>
      <c r="C93">
        <f>COUNTIFS(data!E:E,data!$I$2,data!G:G,"&gt;="&amp;B93)</f>
        <v>65</v>
      </c>
      <c r="D93">
        <f>COUNTIFS(data!E:E,data!$J$2,data!G:G,"&gt;="&amp;B93)</f>
        <v>27</v>
      </c>
      <c r="E93">
        <f>COUNTIFS(data!E:E,data!$J$2,data!G:G,"&lt;"&amp;B93)</f>
        <v>335</v>
      </c>
      <c r="F93">
        <f>COUNTIFS(data!E:E,data!$I$2,data!G:G,"&lt;"&amp;B93)</f>
        <v>201</v>
      </c>
      <c r="G93">
        <f t="shared" si="7"/>
        <v>7.4585635359116026E-2</v>
      </c>
      <c r="H93">
        <f t="shared" si="8"/>
        <v>0.24436090225563908</v>
      </c>
      <c r="I93">
        <f t="shared" si="9"/>
        <v>0</v>
      </c>
      <c r="J93">
        <f t="shared" si="10"/>
        <v>0.70652173913043481</v>
      </c>
      <c r="K93">
        <f t="shared" si="11"/>
        <v>0.36312849162011174</v>
      </c>
      <c r="L93">
        <f>A93*COUNTIF(data!E:E,$J$2)/data!$M$2</f>
        <v>38.968152866242036</v>
      </c>
      <c r="M93" s="1">
        <f>A93/data!$M$2</f>
        <v>0.1464968152866242</v>
      </c>
      <c r="N93">
        <f t="shared" si="6"/>
        <v>1.6680287675711019</v>
      </c>
    </row>
    <row r="94" spans="1:14" x14ac:dyDescent="0.2">
      <c r="A94">
        <v>93</v>
      </c>
      <c r="B94">
        <f>LARGE(data!G:G,A94)</f>
        <v>0.66392858460000004</v>
      </c>
      <c r="C94">
        <f>COUNTIFS(data!E:E,data!$I$2,data!G:G,"&gt;="&amp;B94)</f>
        <v>67</v>
      </c>
      <c r="D94">
        <f>COUNTIFS(data!E:E,data!$J$2,data!G:G,"&gt;="&amp;B94)</f>
        <v>27</v>
      </c>
      <c r="E94">
        <f>COUNTIFS(data!E:E,data!$J$2,data!G:G,"&lt;"&amp;B94)</f>
        <v>335</v>
      </c>
      <c r="F94">
        <f>COUNTIFS(data!E:E,data!$I$2,data!G:G,"&lt;"&amp;B94)</f>
        <v>199</v>
      </c>
      <c r="G94">
        <f t="shared" si="7"/>
        <v>7.4585635359116026E-2</v>
      </c>
      <c r="H94">
        <f t="shared" si="8"/>
        <v>0.25187969924812031</v>
      </c>
      <c r="I94">
        <f t="shared" si="9"/>
        <v>0</v>
      </c>
      <c r="J94">
        <f t="shared" si="10"/>
        <v>0.71276595744680848</v>
      </c>
      <c r="K94">
        <f t="shared" si="11"/>
        <v>0.37222222222222218</v>
      </c>
      <c r="L94">
        <f>A94*COUNTIF(data!E:E,$J$2)/data!$M$2</f>
        <v>39.391719745222929</v>
      </c>
      <c r="M94" s="1">
        <f>A94/data!$M$2</f>
        <v>0.14808917197452229</v>
      </c>
      <c r="N94">
        <f t="shared" si="6"/>
        <v>1.7008650658905329</v>
      </c>
    </row>
    <row r="95" spans="1:14" x14ac:dyDescent="0.2">
      <c r="A95">
        <v>94</v>
      </c>
      <c r="B95">
        <f>LARGE(data!G:G,A95)</f>
        <v>0.66392858460000004</v>
      </c>
      <c r="C95">
        <f>COUNTIFS(data!E:E,data!$I$2,data!G:G,"&gt;="&amp;B95)</f>
        <v>67</v>
      </c>
      <c r="D95">
        <f>COUNTIFS(data!E:E,data!$J$2,data!G:G,"&gt;="&amp;B95)</f>
        <v>27</v>
      </c>
      <c r="E95">
        <f>COUNTIFS(data!E:E,data!$J$2,data!G:G,"&lt;"&amp;B95)</f>
        <v>335</v>
      </c>
      <c r="F95">
        <f>COUNTIFS(data!E:E,data!$I$2,data!G:G,"&lt;"&amp;B95)</f>
        <v>199</v>
      </c>
      <c r="G95">
        <f t="shared" si="7"/>
        <v>7.4585635359116026E-2</v>
      </c>
      <c r="H95">
        <f t="shared" si="8"/>
        <v>0.25187969924812031</v>
      </c>
      <c r="I95">
        <f t="shared" si="9"/>
        <v>0</v>
      </c>
      <c r="J95">
        <f t="shared" si="10"/>
        <v>0.71276595744680848</v>
      </c>
      <c r="K95">
        <f t="shared" si="11"/>
        <v>0.37222222222222218</v>
      </c>
      <c r="L95">
        <f>A95*COUNTIF(data!E:E,$J$2)/data!$M$2</f>
        <v>39.815286624203821</v>
      </c>
      <c r="M95" s="1">
        <f>A95/data!$M$2</f>
        <v>0.14968152866242038</v>
      </c>
      <c r="N95">
        <f t="shared" si="6"/>
        <v>1.6827707566789314</v>
      </c>
    </row>
    <row r="96" spans="1:14" x14ac:dyDescent="0.2">
      <c r="A96">
        <v>95</v>
      </c>
      <c r="B96">
        <f>LARGE(data!G:G,A96)</f>
        <v>0.66368254829999995</v>
      </c>
      <c r="C96">
        <f>COUNTIFS(data!E:E,data!$I$2,data!G:G,"&gt;="&amp;B96)</f>
        <v>67</v>
      </c>
      <c r="D96">
        <f>COUNTIFS(data!E:E,data!$J$2,data!G:G,"&gt;="&amp;B96)</f>
        <v>28</v>
      </c>
      <c r="E96">
        <f>COUNTIFS(data!E:E,data!$J$2,data!G:G,"&lt;"&amp;B96)</f>
        <v>334</v>
      </c>
      <c r="F96">
        <f>COUNTIFS(data!E:E,data!$I$2,data!G:G,"&lt;"&amp;B96)</f>
        <v>199</v>
      </c>
      <c r="G96">
        <f t="shared" si="7"/>
        <v>7.7348066298342538E-2</v>
      </c>
      <c r="H96">
        <f t="shared" si="8"/>
        <v>0.25187969924812031</v>
      </c>
      <c r="I96">
        <f t="shared" si="9"/>
        <v>6.9580027416607645E-4</v>
      </c>
      <c r="J96">
        <f t="shared" si="10"/>
        <v>0.70526315789473681</v>
      </c>
      <c r="K96">
        <f t="shared" si="11"/>
        <v>0.37119113573407209</v>
      </c>
      <c r="L96">
        <f>A96*COUNTIF(data!E:E,$J$2)/data!$M$2</f>
        <v>40.238853503184714</v>
      </c>
      <c r="M96" s="1">
        <f>A96/data!$M$2</f>
        <v>0.15127388535031847</v>
      </c>
      <c r="N96">
        <f t="shared" si="6"/>
        <v>1.6650573802928372</v>
      </c>
    </row>
    <row r="97" spans="1:14" x14ac:dyDescent="0.2">
      <c r="A97">
        <v>96</v>
      </c>
      <c r="B97">
        <f>LARGE(data!G:G,A97)</f>
        <v>0.66259163919999997</v>
      </c>
      <c r="C97">
        <f>COUNTIFS(data!E:E,data!$I$2,data!G:G,"&gt;="&amp;B97)</f>
        <v>69</v>
      </c>
      <c r="D97">
        <f>COUNTIFS(data!E:E,data!$J$2,data!G:G,"&gt;="&amp;B97)</f>
        <v>28</v>
      </c>
      <c r="E97">
        <f>COUNTIFS(data!E:E,data!$J$2,data!G:G,"&lt;"&amp;B97)</f>
        <v>334</v>
      </c>
      <c r="F97">
        <f>COUNTIFS(data!E:E,data!$I$2,data!G:G,"&lt;"&amp;B97)</f>
        <v>197</v>
      </c>
      <c r="G97">
        <f t="shared" si="7"/>
        <v>7.7348066298342538E-2</v>
      </c>
      <c r="H97">
        <f t="shared" si="8"/>
        <v>0.25939849624060152</v>
      </c>
      <c r="I97">
        <f t="shared" si="9"/>
        <v>0</v>
      </c>
      <c r="J97">
        <f t="shared" si="10"/>
        <v>0.71134020618556704</v>
      </c>
      <c r="K97">
        <f t="shared" si="11"/>
        <v>0.38016528925619836</v>
      </c>
      <c r="L97">
        <f>A97*COUNTIF(data!E:E,$J$2)/data!$M$2</f>
        <v>40.662420382165607</v>
      </c>
      <c r="M97" s="1">
        <f>A97/data!$M$2</f>
        <v>0.15286624203821655</v>
      </c>
      <c r="N97">
        <f t="shared" si="6"/>
        <v>1.6968984962406015</v>
      </c>
    </row>
    <row r="98" spans="1:14" x14ac:dyDescent="0.2">
      <c r="A98">
        <v>97</v>
      </c>
      <c r="B98">
        <f>LARGE(data!G:G,A98)</f>
        <v>0.66259163919999997</v>
      </c>
      <c r="C98">
        <f>COUNTIFS(data!E:E,data!$I$2,data!G:G,"&gt;="&amp;B98)</f>
        <v>69</v>
      </c>
      <c r="D98">
        <f>COUNTIFS(data!E:E,data!$J$2,data!G:G,"&gt;="&amp;B98)</f>
        <v>28</v>
      </c>
      <c r="E98">
        <f>COUNTIFS(data!E:E,data!$J$2,data!G:G,"&lt;"&amp;B98)</f>
        <v>334</v>
      </c>
      <c r="F98">
        <f>COUNTIFS(data!E:E,data!$I$2,data!G:G,"&lt;"&amp;B98)</f>
        <v>197</v>
      </c>
      <c r="G98">
        <f t="shared" si="7"/>
        <v>7.7348066298342538E-2</v>
      </c>
      <c r="H98">
        <f t="shared" si="8"/>
        <v>0.25939849624060152</v>
      </c>
      <c r="I98">
        <f t="shared" si="9"/>
        <v>0</v>
      </c>
      <c r="J98">
        <f t="shared" si="10"/>
        <v>0.71134020618556704</v>
      </c>
      <c r="K98">
        <f t="shared" si="11"/>
        <v>0.38016528925619836</v>
      </c>
      <c r="L98">
        <f>A98*COUNTIF(data!E:E,$J$2)/data!$M$2</f>
        <v>41.085987261146499</v>
      </c>
      <c r="M98" s="1">
        <f>A98/data!$M$2</f>
        <v>0.15445859872611464</v>
      </c>
      <c r="N98">
        <f t="shared" si="6"/>
        <v>1.6794046973102859</v>
      </c>
    </row>
    <row r="99" spans="1:14" x14ac:dyDescent="0.2">
      <c r="A99">
        <v>98</v>
      </c>
      <c r="B99">
        <f>LARGE(data!G:G,A99)</f>
        <v>0.66145592399999997</v>
      </c>
      <c r="C99">
        <f>COUNTIFS(data!E:E,data!$I$2,data!G:G,"&gt;="&amp;B99)</f>
        <v>70</v>
      </c>
      <c r="D99">
        <f>COUNTIFS(data!E:E,data!$J$2,data!G:G,"&gt;="&amp;B99)</f>
        <v>28</v>
      </c>
      <c r="E99">
        <f>COUNTIFS(data!E:E,data!$J$2,data!G:G,"&lt;"&amp;B99)</f>
        <v>334</v>
      </c>
      <c r="F99">
        <f>COUNTIFS(data!E:E,data!$I$2,data!G:G,"&lt;"&amp;B99)</f>
        <v>196</v>
      </c>
      <c r="G99">
        <f t="shared" si="7"/>
        <v>7.7348066298342538E-2</v>
      </c>
      <c r="H99">
        <f t="shared" si="8"/>
        <v>0.26315789473684209</v>
      </c>
      <c r="I99">
        <f t="shared" si="9"/>
        <v>0</v>
      </c>
      <c r="J99">
        <f t="shared" si="10"/>
        <v>0.7142857142857143</v>
      </c>
      <c r="K99">
        <f t="shared" si="11"/>
        <v>0.38461538461538458</v>
      </c>
      <c r="L99">
        <f>A99*COUNTIF(data!E:E,$J$2)/data!$M$2</f>
        <v>41.509554140127392</v>
      </c>
      <c r="M99" s="1">
        <f>A99/data!$M$2</f>
        <v>0.15605095541401273</v>
      </c>
      <c r="N99">
        <f t="shared" si="6"/>
        <v>1.6863587540279268</v>
      </c>
    </row>
    <row r="100" spans="1:14" x14ac:dyDescent="0.2">
      <c r="A100">
        <v>99</v>
      </c>
      <c r="B100">
        <f>LARGE(data!G:G,A100)</f>
        <v>0.65867935560000002</v>
      </c>
      <c r="C100">
        <f>COUNTIFS(data!E:E,data!$I$2,data!G:G,"&gt;="&amp;B100)</f>
        <v>70</v>
      </c>
      <c r="D100">
        <f>COUNTIFS(data!E:E,data!$J$2,data!G:G,"&gt;="&amp;B100)</f>
        <v>29</v>
      </c>
      <c r="E100">
        <f>COUNTIFS(data!E:E,data!$J$2,data!G:G,"&lt;"&amp;B100)</f>
        <v>333</v>
      </c>
      <c r="F100">
        <f>COUNTIFS(data!E:E,data!$I$2,data!G:G,"&lt;"&amp;B100)</f>
        <v>196</v>
      </c>
      <c r="G100">
        <f t="shared" si="7"/>
        <v>8.0110497237569064E-2</v>
      </c>
      <c r="H100">
        <f t="shared" si="8"/>
        <v>0.26315789473684209</v>
      </c>
      <c r="I100">
        <f t="shared" si="9"/>
        <v>7.2695551032276999E-4</v>
      </c>
      <c r="J100">
        <f t="shared" si="10"/>
        <v>0.70707070707070707</v>
      </c>
      <c r="K100">
        <f t="shared" si="11"/>
        <v>0.38356164383561642</v>
      </c>
      <c r="L100">
        <f>A100*COUNTIF(data!E:E,$J$2)/data!$M$2</f>
        <v>41.933121019108277</v>
      </c>
      <c r="M100" s="1">
        <f>A100/data!$M$2</f>
        <v>0.15764331210191082</v>
      </c>
      <c r="N100">
        <f t="shared" si="6"/>
        <v>1.6693248272195642</v>
      </c>
    </row>
    <row r="101" spans="1:14" x14ac:dyDescent="0.2">
      <c r="A101">
        <v>100</v>
      </c>
      <c r="B101">
        <f>LARGE(data!G:G,A101)</f>
        <v>0.65689289510000004</v>
      </c>
      <c r="C101">
        <f>COUNTIFS(data!E:E,data!$I$2,data!G:G,"&gt;="&amp;B101)</f>
        <v>71</v>
      </c>
      <c r="D101">
        <f>COUNTIFS(data!E:E,data!$J$2,data!G:G,"&gt;="&amp;B101)</f>
        <v>29</v>
      </c>
      <c r="E101">
        <f>COUNTIFS(data!E:E,data!$J$2,data!G:G,"&lt;"&amp;B101)</f>
        <v>333</v>
      </c>
      <c r="F101">
        <f>COUNTIFS(data!E:E,data!$I$2,data!G:G,"&lt;"&amp;B101)</f>
        <v>195</v>
      </c>
      <c r="G101">
        <f t="shared" si="7"/>
        <v>8.0110497237569064E-2</v>
      </c>
      <c r="H101">
        <f t="shared" si="8"/>
        <v>0.26691729323308272</v>
      </c>
      <c r="I101">
        <f t="shared" si="9"/>
        <v>0</v>
      </c>
      <c r="J101">
        <f t="shared" si="10"/>
        <v>0.71</v>
      </c>
      <c r="K101">
        <f t="shared" si="11"/>
        <v>0.38797814207650272</v>
      </c>
      <c r="L101">
        <f>A101*COUNTIF(data!E:E,$J$2)/data!$M$2</f>
        <v>42.35668789808917</v>
      </c>
      <c r="M101" s="1">
        <f>A101/data!$M$2</f>
        <v>0.15923566878980891</v>
      </c>
      <c r="N101">
        <f t="shared" si="6"/>
        <v>1.6762406015037594</v>
      </c>
    </row>
    <row r="102" spans="1:14" x14ac:dyDescent="0.2">
      <c r="A102">
        <v>101</v>
      </c>
      <c r="B102">
        <f>LARGE(data!G:G,A102)</f>
        <v>0.65630565669999996</v>
      </c>
      <c r="C102">
        <f>COUNTIFS(data!E:E,data!$I$2,data!G:G,"&gt;="&amp;B102)</f>
        <v>71</v>
      </c>
      <c r="D102">
        <f>COUNTIFS(data!E:E,data!$J$2,data!G:G,"&gt;="&amp;B102)</f>
        <v>30</v>
      </c>
      <c r="E102">
        <f>COUNTIFS(data!E:E,data!$J$2,data!G:G,"&lt;"&amp;B102)</f>
        <v>332</v>
      </c>
      <c r="F102">
        <f>COUNTIFS(data!E:E,data!$I$2,data!G:G,"&lt;"&amp;B102)</f>
        <v>195</v>
      </c>
      <c r="G102">
        <f t="shared" si="7"/>
        <v>8.2872928176795577E-2</v>
      </c>
      <c r="H102">
        <f t="shared" si="8"/>
        <v>0.26691729323308272</v>
      </c>
      <c r="I102">
        <f t="shared" si="9"/>
        <v>7.3734058904166306E-4</v>
      </c>
      <c r="J102">
        <f t="shared" si="10"/>
        <v>0.70297029702970293</v>
      </c>
      <c r="K102">
        <f t="shared" si="11"/>
        <v>0.38692098092643051</v>
      </c>
      <c r="L102">
        <f>A102*COUNTIF(data!E:E,$J$2)/data!$M$2</f>
        <v>42.780254777070063</v>
      </c>
      <c r="M102" s="1">
        <f>A102/data!$M$2</f>
        <v>0.160828025477707</v>
      </c>
      <c r="N102">
        <f t="shared" si="6"/>
        <v>1.6596441599047123</v>
      </c>
    </row>
    <row r="103" spans="1:14" x14ac:dyDescent="0.2">
      <c r="A103">
        <v>102</v>
      </c>
      <c r="B103">
        <f>LARGE(data!G:G,A103)</f>
        <v>0.65296470610000001</v>
      </c>
      <c r="C103">
        <f>COUNTIFS(data!E:E,data!$I$2,data!G:G,"&gt;="&amp;B103)</f>
        <v>71</v>
      </c>
      <c r="D103">
        <f>COUNTIFS(data!E:E,data!$J$2,data!G:G,"&gt;="&amp;B103)</f>
        <v>31</v>
      </c>
      <c r="E103">
        <f>COUNTIFS(data!E:E,data!$J$2,data!G:G,"&lt;"&amp;B103)</f>
        <v>331</v>
      </c>
      <c r="F103">
        <f>COUNTIFS(data!E:E,data!$I$2,data!G:G,"&lt;"&amp;B103)</f>
        <v>195</v>
      </c>
      <c r="G103">
        <f t="shared" si="7"/>
        <v>8.5635359116022103E-2</v>
      </c>
      <c r="H103">
        <f t="shared" si="8"/>
        <v>0.26691729323308272</v>
      </c>
      <c r="I103">
        <f t="shared" si="9"/>
        <v>7.3734058904166675E-4</v>
      </c>
      <c r="J103">
        <f t="shared" si="10"/>
        <v>0.69607843137254899</v>
      </c>
      <c r="K103">
        <f t="shared" si="11"/>
        <v>0.3858695652173913</v>
      </c>
      <c r="L103">
        <f>A103*COUNTIF(data!E:E,$J$2)/data!$M$2</f>
        <v>43.203821656050955</v>
      </c>
      <c r="M103" s="1">
        <f>A103/data!$M$2</f>
        <v>0.16242038216560509</v>
      </c>
      <c r="N103">
        <f t="shared" si="6"/>
        <v>1.6433731387291759</v>
      </c>
    </row>
    <row r="104" spans="1:14" x14ac:dyDescent="0.2">
      <c r="A104">
        <v>103</v>
      </c>
      <c r="B104">
        <f>LARGE(data!G:G,A104)</f>
        <v>0.64993972320000004</v>
      </c>
      <c r="C104">
        <f>COUNTIFS(data!E:E,data!$I$2,data!G:G,"&gt;="&amp;B104)</f>
        <v>71</v>
      </c>
      <c r="D104">
        <f>COUNTIFS(data!E:E,data!$J$2,data!G:G,"&gt;="&amp;B104)</f>
        <v>32</v>
      </c>
      <c r="E104">
        <f>COUNTIFS(data!E:E,data!$J$2,data!G:G,"&lt;"&amp;B104)</f>
        <v>330</v>
      </c>
      <c r="F104">
        <f>COUNTIFS(data!E:E,data!$I$2,data!G:G,"&lt;"&amp;B104)</f>
        <v>195</v>
      </c>
      <c r="G104">
        <f t="shared" si="7"/>
        <v>8.8397790055248615E-2</v>
      </c>
      <c r="H104">
        <f t="shared" si="8"/>
        <v>0.26691729323308272</v>
      </c>
      <c r="I104">
        <f t="shared" si="9"/>
        <v>7.3734058904166306E-4</v>
      </c>
      <c r="J104">
        <f t="shared" si="10"/>
        <v>0.68932038834951459</v>
      </c>
      <c r="K104">
        <f t="shared" si="11"/>
        <v>0.38482384823848242</v>
      </c>
      <c r="L104">
        <f>A104*COUNTIF(data!E:E,$J$2)/data!$M$2</f>
        <v>43.627388535031848</v>
      </c>
      <c r="M104" s="1">
        <f>A104/data!$M$2</f>
        <v>0.16401273885350318</v>
      </c>
      <c r="N104">
        <f t="shared" si="6"/>
        <v>1.6274180597123877</v>
      </c>
    </row>
    <row r="105" spans="1:14" x14ac:dyDescent="0.2">
      <c r="A105">
        <v>104</v>
      </c>
      <c r="B105">
        <f>LARGE(data!G:G,A105)</f>
        <v>0.64958753459999996</v>
      </c>
      <c r="C105">
        <f>COUNTIFS(data!E:E,data!$I$2,data!G:G,"&gt;="&amp;B105)</f>
        <v>72</v>
      </c>
      <c r="D105">
        <f>COUNTIFS(data!E:E,data!$J$2,data!G:G,"&gt;="&amp;B105)</f>
        <v>32</v>
      </c>
      <c r="E105">
        <f>COUNTIFS(data!E:E,data!$J$2,data!G:G,"&lt;"&amp;B105)</f>
        <v>330</v>
      </c>
      <c r="F105">
        <f>COUNTIFS(data!E:E,data!$I$2,data!G:G,"&lt;"&amp;B105)</f>
        <v>194</v>
      </c>
      <c r="G105">
        <f t="shared" si="7"/>
        <v>8.8397790055248615E-2</v>
      </c>
      <c r="H105">
        <f t="shared" si="8"/>
        <v>0.27067669172932329</v>
      </c>
      <c r="I105">
        <f t="shared" si="9"/>
        <v>0</v>
      </c>
      <c r="J105">
        <f t="shared" si="10"/>
        <v>0.69230769230769229</v>
      </c>
      <c r="K105">
        <f t="shared" si="11"/>
        <v>0.38918918918918921</v>
      </c>
      <c r="L105">
        <f>A105*COUNTIF(data!E:E,$J$2)/data!$M$2</f>
        <v>44.050955414012741</v>
      </c>
      <c r="M105" s="1">
        <f>A105/data!$M$2</f>
        <v>0.16560509554140126</v>
      </c>
      <c r="N105">
        <f t="shared" si="6"/>
        <v>1.6344707923655291</v>
      </c>
    </row>
    <row r="106" spans="1:14" x14ac:dyDescent="0.2">
      <c r="A106">
        <v>105</v>
      </c>
      <c r="B106">
        <f>LARGE(data!G:G,A106)</f>
        <v>0.6468487154</v>
      </c>
      <c r="C106">
        <f>COUNTIFS(data!E:E,data!$I$2,data!G:G,"&gt;="&amp;B106)</f>
        <v>72</v>
      </c>
      <c r="D106">
        <f>COUNTIFS(data!E:E,data!$J$2,data!G:G,"&gt;="&amp;B106)</f>
        <v>33</v>
      </c>
      <c r="E106">
        <f>COUNTIFS(data!E:E,data!$J$2,data!G:G,"&lt;"&amp;B106)</f>
        <v>329</v>
      </c>
      <c r="F106">
        <f>COUNTIFS(data!E:E,data!$I$2,data!G:G,"&lt;"&amp;B106)</f>
        <v>194</v>
      </c>
      <c r="G106">
        <f t="shared" si="7"/>
        <v>9.1160220994475141E-2</v>
      </c>
      <c r="H106">
        <f t="shared" si="8"/>
        <v>0.27067669172932329</v>
      </c>
      <c r="I106">
        <f t="shared" si="9"/>
        <v>7.477256677605634E-4</v>
      </c>
      <c r="J106">
        <f t="shared" si="10"/>
        <v>0.68571428571428572</v>
      </c>
      <c r="K106">
        <f t="shared" si="11"/>
        <v>0.38814016172506738</v>
      </c>
      <c r="L106">
        <f>A106*COUNTIF(data!E:E,$J$2)/data!$M$2</f>
        <v>44.474522292993633</v>
      </c>
      <c r="M106" s="1">
        <f>A106/data!$M$2</f>
        <v>0.16719745222929935</v>
      </c>
      <c r="N106">
        <f t="shared" si="6"/>
        <v>1.6189044038668099</v>
      </c>
    </row>
    <row r="107" spans="1:14" x14ac:dyDescent="0.2">
      <c r="A107">
        <v>106</v>
      </c>
      <c r="B107">
        <f>LARGE(data!G:G,A107)</f>
        <v>0.64474336109999997</v>
      </c>
      <c r="C107">
        <f>COUNTIFS(data!E:E,data!$I$2,data!G:G,"&gt;="&amp;B107)</f>
        <v>74</v>
      </c>
      <c r="D107">
        <f>COUNTIFS(data!E:E,data!$J$2,data!G:G,"&gt;="&amp;B107)</f>
        <v>33</v>
      </c>
      <c r="E107">
        <f>COUNTIFS(data!E:E,data!$J$2,data!G:G,"&lt;"&amp;B107)</f>
        <v>329</v>
      </c>
      <c r="F107">
        <f>COUNTIFS(data!E:E,data!$I$2,data!G:G,"&lt;"&amp;B107)</f>
        <v>192</v>
      </c>
      <c r="G107">
        <f t="shared" si="7"/>
        <v>9.1160220994475141E-2</v>
      </c>
      <c r="H107">
        <f t="shared" si="8"/>
        <v>0.2781954887218045</v>
      </c>
      <c r="I107">
        <f t="shared" si="9"/>
        <v>0</v>
      </c>
      <c r="J107">
        <f t="shared" si="10"/>
        <v>0.69158878504672894</v>
      </c>
      <c r="K107">
        <f t="shared" si="11"/>
        <v>0.39678284182305629</v>
      </c>
      <c r="L107">
        <f>A107*COUNTIF(data!E:E,$J$2)/data!$M$2</f>
        <v>44.898089171974519</v>
      </c>
      <c r="M107" s="1">
        <f>A107/data!$M$2</f>
        <v>0.16878980891719744</v>
      </c>
      <c r="N107">
        <f t="shared" si="6"/>
        <v>1.6481770463895589</v>
      </c>
    </row>
    <row r="108" spans="1:14" x14ac:dyDescent="0.2">
      <c r="A108">
        <v>107</v>
      </c>
      <c r="B108">
        <f>LARGE(data!G:G,A108)</f>
        <v>0.64474336109999997</v>
      </c>
      <c r="C108">
        <f>COUNTIFS(data!E:E,data!$I$2,data!G:G,"&gt;="&amp;B108)</f>
        <v>74</v>
      </c>
      <c r="D108">
        <f>COUNTIFS(data!E:E,data!$J$2,data!G:G,"&gt;="&amp;B108)</f>
        <v>33</v>
      </c>
      <c r="E108">
        <f>COUNTIFS(data!E:E,data!$J$2,data!G:G,"&lt;"&amp;B108)</f>
        <v>329</v>
      </c>
      <c r="F108">
        <f>COUNTIFS(data!E:E,data!$I$2,data!G:G,"&lt;"&amp;B108)</f>
        <v>192</v>
      </c>
      <c r="G108">
        <f t="shared" si="7"/>
        <v>9.1160220994475141E-2</v>
      </c>
      <c r="H108">
        <f t="shared" si="8"/>
        <v>0.2781954887218045</v>
      </c>
      <c r="I108">
        <f t="shared" si="9"/>
        <v>0</v>
      </c>
      <c r="J108">
        <f t="shared" si="10"/>
        <v>0.69158878504672894</v>
      </c>
      <c r="K108">
        <f t="shared" si="11"/>
        <v>0.39678284182305629</v>
      </c>
      <c r="L108">
        <f>A108*COUNTIF(data!E:E,$J$2)/data!$M$2</f>
        <v>45.321656050955411</v>
      </c>
      <c r="M108" s="1">
        <f>A108/data!$M$2</f>
        <v>0.17038216560509553</v>
      </c>
      <c r="N108">
        <f t="shared" si="6"/>
        <v>1.6327735225915256</v>
      </c>
    </row>
    <row r="109" spans="1:14" x14ac:dyDescent="0.2">
      <c r="A109">
        <v>108</v>
      </c>
      <c r="B109">
        <f>LARGE(data!G:G,A109)</f>
        <v>0.64377794590000004</v>
      </c>
      <c r="C109">
        <f>COUNTIFS(data!E:E,data!$I$2,data!G:G,"&gt;="&amp;B109)</f>
        <v>74</v>
      </c>
      <c r="D109">
        <f>COUNTIFS(data!E:E,data!$J$2,data!G:G,"&gt;="&amp;B109)</f>
        <v>34</v>
      </c>
      <c r="E109">
        <f>COUNTIFS(data!E:E,data!$J$2,data!G:G,"&lt;"&amp;B109)</f>
        <v>328</v>
      </c>
      <c r="F109">
        <f>COUNTIFS(data!E:E,data!$I$2,data!G:G,"&lt;"&amp;B109)</f>
        <v>192</v>
      </c>
      <c r="G109">
        <f t="shared" si="7"/>
        <v>9.3922651933701654E-2</v>
      </c>
      <c r="H109">
        <f t="shared" si="8"/>
        <v>0.2781954887218045</v>
      </c>
      <c r="I109">
        <f t="shared" si="9"/>
        <v>7.6849582519835302E-4</v>
      </c>
      <c r="J109">
        <f t="shared" si="10"/>
        <v>0.68518518518518523</v>
      </c>
      <c r="K109">
        <f t="shared" si="11"/>
        <v>0.39572192513368981</v>
      </c>
      <c r="L109">
        <f>A109*COUNTIF(data!E:E,$J$2)/data!$M$2</f>
        <v>45.745222929936304</v>
      </c>
      <c r="M109" s="1">
        <f>A109/data!$M$2</f>
        <v>0.17197452229299362</v>
      </c>
      <c r="N109">
        <f t="shared" si="6"/>
        <v>1.6176552492341967</v>
      </c>
    </row>
    <row r="110" spans="1:14" x14ac:dyDescent="0.2">
      <c r="A110">
        <v>109</v>
      </c>
      <c r="B110">
        <f>LARGE(data!G:G,A110)</f>
        <v>0.64277613389999999</v>
      </c>
      <c r="C110">
        <f>COUNTIFS(data!E:E,data!$I$2,data!G:G,"&gt;="&amp;B110)</f>
        <v>74</v>
      </c>
      <c r="D110">
        <f>COUNTIFS(data!E:E,data!$J$2,data!G:G,"&gt;="&amp;B110)</f>
        <v>35</v>
      </c>
      <c r="E110">
        <f>COUNTIFS(data!E:E,data!$J$2,data!G:G,"&lt;"&amp;B110)</f>
        <v>327</v>
      </c>
      <c r="F110">
        <f>COUNTIFS(data!E:E,data!$I$2,data!G:G,"&lt;"&amp;B110)</f>
        <v>192</v>
      </c>
      <c r="G110">
        <f t="shared" si="7"/>
        <v>9.668508287292818E-2</v>
      </c>
      <c r="H110">
        <f t="shared" si="8"/>
        <v>0.2781954887218045</v>
      </c>
      <c r="I110">
        <f t="shared" si="9"/>
        <v>7.6849582519835681E-4</v>
      </c>
      <c r="J110">
        <f t="shared" si="10"/>
        <v>0.67889908256880738</v>
      </c>
      <c r="K110">
        <f t="shared" si="11"/>
        <v>0.39466666666666672</v>
      </c>
      <c r="L110">
        <f>A110*COUNTIF(data!E:E,$J$2)/data!$M$2</f>
        <v>46.168789808917197</v>
      </c>
      <c r="M110" s="1">
        <f>A110/data!$M$2</f>
        <v>0.17356687898089171</v>
      </c>
      <c r="N110">
        <f t="shared" si="6"/>
        <v>1.6028143753880113</v>
      </c>
    </row>
    <row r="111" spans="1:14" x14ac:dyDescent="0.2">
      <c r="A111">
        <v>110</v>
      </c>
      <c r="B111">
        <f>LARGE(data!G:G,A111)</f>
        <v>0.64107370149999998</v>
      </c>
      <c r="C111">
        <f>COUNTIFS(data!E:E,data!$I$2,data!G:G,"&gt;="&amp;B111)</f>
        <v>74</v>
      </c>
      <c r="D111">
        <f>COUNTIFS(data!E:E,data!$J$2,data!G:G,"&gt;="&amp;B111)</f>
        <v>36</v>
      </c>
      <c r="E111">
        <f>COUNTIFS(data!E:E,data!$J$2,data!G:G,"&lt;"&amp;B111)</f>
        <v>326</v>
      </c>
      <c r="F111">
        <f>COUNTIFS(data!E:E,data!$I$2,data!G:G,"&lt;"&amp;B111)</f>
        <v>192</v>
      </c>
      <c r="G111">
        <f t="shared" si="7"/>
        <v>9.9447513812154692E-2</v>
      </c>
      <c r="H111">
        <f t="shared" si="8"/>
        <v>0.2781954887218045</v>
      </c>
      <c r="I111">
        <f t="shared" si="9"/>
        <v>7.6849582519835302E-4</v>
      </c>
      <c r="J111">
        <f t="shared" si="10"/>
        <v>0.67272727272727273</v>
      </c>
      <c r="K111">
        <f t="shared" si="11"/>
        <v>0.39361702127659576</v>
      </c>
      <c r="L111">
        <f>A111*COUNTIF(data!E:E,$J$2)/data!$M$2</f>
        <v>46.592356687898089</v>
      </c>
      <c r="M111" s="1">
        <f>A111/data!$M$2</f>
        <v>0.1751592356687898</v>
      </c>
      <c r="N111">
        <f t="shared" si="6"/>
        <v>1.5882433356117567</v>
      </c>
    </row>
    <row r="112" spans="1:14" x14ac:dyDescent="0.2">
      <c r="A112">
        <v>111</v>
      </c>
      <c r="B112">
        <f>LARGE(data!G:G,A112)</f>
        <v>0.64106222879999997</v>
      </c>
      <c r="C112">
        <f>COUNTIFS(data!E:E,data!$I$2,data!G:G,"&gt;="&amp;B112)</f>
        <v>74</v>
      </c>
      <c r="D112">
        <f>COUNTIFS(data!E:E,data!$J$2,data!G:G,"&gt;="&amp;B112)</f>
        <v>37</v>
      </c>
      <c r="E112">
        <f>COUNTIFS(data!E:E,data!$J$2,data!G:G,"&lt;"&amp;B112)</f>
        <v>325</v>
      </c>
      <c r="F112">
        <f>COUNTIFS(data!E:E,data!$I$2,data!G:G,"&lt;"&amp;B112)</f>
        <v>192</v>
      </c>
      <c r="G112">
        <f t="shared" si="7"/>
        <v>0.10220994475138122</v>
      </c>
      <c r="H112">
        <f t="shared" si="8"/>
        <v>0.2781954887218045</v>
      </c>
      <c r="I112">
        <f t="shared" si="9"/>
        <v>7.6849582519835681E-4</v>
      </c>
      <c r="J112">
        <f t="shared" si="10"/>
        <v>0.66666666666666663</v>
      </c>
      <c r="K112">
        <f t="shared" si="11"/>
        <v>0.39257294429708223</v>
      </c>
      <c r="L112">
        <f>A112*COUNTIF(data!E:E,$J$2)/data!$M$2</f>
        <v>47.015923566878982</v>
      </c>
      <c r="M112" s="1">
        <f>A112/data!$M$2</f>
        <v>0.17675159235668789</v>
      </c>
      <c r="N112">
        <f t="shared" si="6"/>
        <v>1.5739348370927317</v>
      </c>
    </row>
    <row r="113" spans="1:14" x14ac:dyDescent="0.2">
      <c r="A113">
        <v>112</v>
      </c>
      <c r="B113">
        <f>LARGE(data!G:G,A113)</f>
        <v>0.64013572080000003</v>
      </c>
      <c r="C113">
        <f>COUNTIFS(data!E:E,data!$I$2,data!G:G,"&gt;="&amp;B113)</f>
        <v>74</v>
      </c>
      <c r="D113">
        <f>COUNTIFS(data!E:E,data!$J$2,data!G:G,"&gt;="&amp;B113)</f>
        <v>38</v>
      </c>
      <c r="E113">
        <f>COUNTIFS(data!E:E,data!$J$2,data!G:G,"&lt;"&amp;B113)</f>
        <v>324</v>
      </c>
      <c r="F113">
        <f>COUNTIFS(data!E:E,data!$I$2,data!G:G,"&lt;"&amp;B113)</f>
        <v>192</v>
      </c>
      <c r="G113">
        <f t="shared" si="7"/>
        <v>0.10497237569060773</v>
      </c>
      <c r="H113">
        <f t="shared" si="8"/>
        <v>0.2781954887218045</v>
      </c>
      <c r="I113">
        <f t="shared" si="9"/>
        <v>7.6849582519835302E-4</v>
      </c>
      <c r="J113">
        <f t="shared" si="10"/>
        <v>0.6607142857142857</v>
      </c>
      <c r="K113">
        <f t="shared" si="11"/>
        <v>0.39153439153439157</v>
      </c>
      <c r="L113">
        <f>A113*COUNTIF(data!E:E,$J$2)/data!$M$2</f>
        <v>47.439490445859875</v>
      </c>
      <c r="M113" s="1">
        <f>A113/data!$M$2</f>
        <v>0.17834394904458598</v>
      </c>
      <c r="N113">
        <f t="shared" si="6"/>
        <v>1.5598818474758325</v>
      </c>
    </row>
    <row r="114" spans="1:14" x14ac:dyDescent="0.2">
      <c r="A114">
        <v>113</v>
      </c>
      <c r="B114">
        <f>LARGE(data!G:G,A114)</f>
        <v>0.63919081740000006</v>
      </c>
      <c r="C114">
        <f>COUNTIFS(data!E:E,data!$I$2,data!G:G,"&gt;="&amp;B114)</f>
        <v>75</v>
      </c>
      <c r="D114">
        <f>COUNTIFS(data!E:E,data!$J$2,data!G:G,"&gt;="&amp;B114)</f>
        <v>38</v>
      </c>
      <c r="E114">
        <f>COUNTIFS(data!E:E,data!$J$2,data!G:G,"&lt;"&amp;B114)</f>
        <v>324</v>
      </c>
      <c r="F114">
        <f>COUNTIFS(data!E:E,data!$I$2,data!G:G,"&lt;"&amp;B114)</f>
        <v>191</v>
      </c>
      <c r="G114">
        <f t="shared" si="7"/>
        <v>0.10497237569060773</v>
      </c>
      <c r="H114">
        <f t="shared" si="8"/>
        <v>0.28195488721804512</v>
      </c>
      <c r="I114">
        <f t="shared" si="9"/>
        <v>0</v>
      </c>
      <c r="J114">
        <f t="shared" si="10"/>
        <v>0.66371681415929207</v>
      </c>
      <c r="K114">
        <f t="shared" si="11"/>
        <v>0.39577836411609496</v>
      </c>
      <c r="L114">
        <f>A114*COUNTIF(data!E:E,$J$2)/data!$M$2</f>
        <v>47.863057324840767</v>
      </c>
      <c r="M114" s="1">
        <f>A114/data!$M$2</f>
        <v>0.17993630573248406</v>
      </c>
      <c r="N114">
        <f t="shared" si="6"/>
        <v>1.5669705236542684</v>
      </c>
    </row>
    <row r="115" spans="1:14" x14ac:dyDescent="0.2">
      <c r="A115">
        <v>114</v>
      </c>
      <c r="B115">
        <f>LARGE(data!G:G,A115)</f>
        <v>0.63370491490000003</v>
      </c>
      <c r="C115">
        <f>COUNTIFS(data!E:E,data!$I$2,data!G:G,"&gt;="&amp;B115)</f>
        <v>75</v>
      </c>
      <c r="D115">
        <f>COUNTIFS(data!E:E,data!$J$2,data!G:G,"&gt;="&amp;B115)</f>
        <v>39</v>
      </c>
      <c r="E115">
        <f>COUNTIFS(data!E:E,data!$J$2,data!G:G,"&lt;"&amp;B115)</f>
        <v>323</v>
      </c>
      <c r="F115">
        <f>COUNTIFS(data!E:E,data!$I$2,data!G:G,"&lt;"&amp;B115)</f>
        <v>191</v>
      </c>
      <c r="G115">
        <f t="shared" si="7"/>
        <v>0.10773480662983426</v>
      </c>
      <c r="H115">
        <f t="shared" si="8"/>
        <v>0.28195488721804512</v>
      </c>
      <c r="I115">
        <f t="shared" si="9"/>
        <v>7.7888090391725368E-4</v>
      </c>
      <c r="J115">
        <f t="shared" si="10"/>
        <v>0.65789473684210531</v>
      </c>
      <c r="K115">
        <f t="shared" si="11"/>
        <v>0.39473684210526322</v>
      </c>
      <c r="L115">
        <f>A115*COUNTIF(data!E:E,$J$2)/data!$M$2</f>
        <v>48.286624203821653</v>
      </c>
      <c r="M115" s="1">
        <f>A115/data!$M$2</f>
        <v>0.18152866242038215</v>
      </c>
      <c r="N115">
        <f t="shared" si="6"/>
        <v>1.5532251681836171</v>
      </c>
    </row>
    <row r="116" spans="1:14" x14ac:dyDescent="0.2">
      <c r="A116">
        <v>115</v>
      </c>
      <c r="B116">
        <f>LARGE(data!G:G,A116)</f>
        <v>0.63345317300000004</v>
      </c>
      <c r="C116">
        <f>COUNTIFS(data!E:E,data!$I$2,data!G:G,"&gt;="&amp;B116)</f>
        <v>76</v>
      </c>
      <c r="D116">
        <f>COUNTIFS(data!E:E,data!$J$2,data!G:G,"&gt;="&amp;B116)</f>
        <v>39</v>
      </c>
      <c r="E116">
        <f>COUNTIFS(data!E:E,data!$J$2,data!G:G,"&lt;"&amp;B116)</f>
        <v>323</v>
      </c>
      <c r="F116">
        <f>COUNTIFS(data!E:E,data!$I$2,data!G:G,"&lt;"&amp;B116)</f>
        <v>190</v>
      </c>
      <c r="G116">
        <f t="shared" si="7"/>
        <v>0.10773480662983426</v>
      </c>
      <c r="H116">
        <f t="shared" si="8"/>
        <v>0.2857142857142857</v>
      </c>
      <c r="I116">
        <f t="shared" si="9"/>
        <v>0</v>
      </c>
      <c r="J116">
        <f t="shared" si="10"/>
        <v>0.66086956521739126</v>
      </c>
      <c r="K116">
        <f t="shared" si="11"/>
        <v>0.39895013123359579</v>
      </c>
      <c r="L116">
        <f>A116*COUNTIF(data!E:E,$J$2)/data!$M$2</f>
        <v>48.710191082802545</v>
      </c>
      <c r="M116" s="1">
        <f>A116/data!$M$2</f>
        <v>0.18312101910828024</v>
      </c>
      <c r="N116">
        <f t="shared" si="6"/>
        <v>1.5602484472049689</v>
      </c>
    </row>
    <row r="117" spans="1:14" x14ac:dyDescent="0.2">
      <c r="A117">
        <v>116</v>
      </c>
      <c r="B117">
        <f>LARGE(data!G:G,A117)</f>
        <v>0.63243412970000001</v>
      </c>
      <c r="C117">
        <f>COUNTIFS(data!E:E,data!$I$2,data!G:G,"&gt;="&amp;B117)</f>
        <v>76</v>
      </c>
      <c r="D117">
        <f>COUNTIFS(data!E:E,data!$J$2,data!G:G,"&gt;="&amp;B117)</f>
        <v>40</v>
      </c>
      <c r="E117">
        <f>COUNTIFS(data!E:E,data!$J$2,data!G:G,"&lt;"&amp;B117)</f>
        <v>322</v>
      </c>
      <c r="F117">
        <f>COUNTIFS(data!E:E,data!$I$2,data!G:G,"&lt;"&amp;B117)</f>
        <v>190</v>
      </c>
      <c r="G117">
        <f t="shared" si="7"/>
        <v>0.11049723756906077</v>
      </c>
      <c r="H117">
        <f t="shared" si="8"/>
        <v>0.2857142857142857</v>
      </c>
      <c r="I117">
        <f t="shared" si="9"/>
        <v>7.8926598263614632E-4</v>
      </c>
      <c r="J117">
        <f t="shared" si="10"/>
        <v>0.65517241379310343</v>
      </c>
      <c r="K117">
        <f t="shared" si="11"/>
        <v>0.39790575916230364</v>
      </c>
      <c r="L117">
        <f>A117*COUNTIF(data!E:E,$J$2)/data!$M$2</f>
        <v>49.133757961783438</v>
      </c>
      <c r="M117" s="1">
        <f>A117/data!$M$2</f>
        <v>0.18471337579617833</v>
      </c>
      <c r="N117">
        <f t="shared" si="6"/>
        <v>1.5467980295566504</v>
      </c>
    </row>
    <row r="118" spans="1:14" x14ac:dyDescent="0.2">
      <c r="A118">
        <v>117</v>
      </c>
      <c r="B118">
        <f>LARGE(data!G:G,A118)</f>
        <v>0.63175922039999999</v>
      </c>
      <c r="C118">
        <f>COUNTIFS(data!E:E,data!$I$2,data!G:G,"&gt;="&amp;B118)</f>
        <v>76</v>
      </c>
      <c r="D118">
        <f>COUNTIFS(data!E:E,data!$J$2,data!G:G,"&gt;="&amp;B118)</f>
        <v>41</v>
      </c>
      <c r="E118">
        <f>COUNTIFS(data!E:E,data!$J$2,data!G:G,"&lt;"&amp;B118)</f>
        <v>321</v>
      </c>
      <c r="F118">
        <f>COUNTIFS(data!E:E,data!$I$2,data!G:G,"&lt;"&amp;B118)</f>
        <v>190</v>
      </c>
      <c r="G118">
        <f t="shared" si="7"/>
        <v>0.1132596685082873</v>
      </c>
      <c r="H118">
        <f t="shared" si="8"/>
        <v>0.2857142857142857</v>
      </c>
      <c r="I118">
        <f t="shared" si="9"/>
        <v>7.8926598263615033E-4</v>
      </c>
      <c r="J118">
        <f t="shared" si="10"/>
        <v>0.6495726495726496</v>
      </c>
      <c r="K118">
        <f t="shared" si="11"/>
        <v>0.39686684073107048</v>
      </c>
      <c r="L118">
        <f>A118*COUNTIF(data!E:E,$J$2)/data!$M$2</f>
        <v>49.557324840764331</v>
      </c>
      <c r="M118" s="1">
        <f>A118/data!$M$2</f>
        <v>0.18630573248407642</v>
      </c>
      <c r="N118">
        <f t="shared" si="6"/>
        <v>1.5335775335775337</v>
      </c>
    </row>
    <row r="119" spans="1:14" x14ac:dyDescent="0.2">
      <c r="A119">
        <v>118</v>
      </c>
      <c r="B119">
        <f>LARGE(data!G:G,A119)</f>
        <v>0.63141549539999997</v>
      </c>
      <c r="C119">
        <f>COUNTIFS(data!E:E,data!$I$2,data!G:G,"&gt;="&amp;B119)</f>
        <v>76</v>
      </c>
      <c r="D119">
        <f>COUNTIFS(data!E:E,data!$J$2,data!G:G,"&gt;="&amp;B119)</f>
        <v>42</v>
      </c>
      <c r="E119">
        <f>COUNTIFS(data!E:E,data!$J$2,data!G:G,"&lt;"&amp;B119)</f>
        <v>320</v>
      </c>
      <c r="F119">
        <f>COUNTIFS(data!E:E,data!$I$2,data!G:G,"&lt;"&amp;B119)</f>
        <v>190</v>
      </c>
      <c r="G119">
        <f t="shared" si="7"/>
        <v>0.11602209944751381</v>
      </c>
      <c r="H119">
        <f t="shared" si="8"/>
        <v>0.2857142857142857</v>
      </c>
      <c r="I119">
        <f t="shared" si="9"/>
        <v>7.8926598263614632E-4</v>
      </c>
      <c r="J119">
        <f t="shared" si="10"/>
        <v>0.64406779661016944</v>
      </c>
      <c r="K119">
        <f t="shared" si="11"/>
        <v>0.39583333333333331</v>
      </c>
      <c r="L119">
        <f>A119*COUNTIF(data!E:E,$J$2)/data!$M$2</f>
        <v>49.980891719745223</v>
      </c>
      <c r="M119" s="1">
        <f>A119/data!$M$2</f>
        <v>0.18789808917197454</v>
      </c>
      <c r="N119">
        <f t="shared" si="6"/>
        <v>1.5205811138014529</v>
      </c>
    </row>
    <row r="120" spans="1:14" x14ac:dyDescent="0.2">
      <c r="A120">
        <v>119</v>
      </c>
      <c r="B120">
        <f>LARGE(data!G:G,A120)</f>
        <v>0.63139846379999998</v>
      </c>
      <c r="C120">
        <f>COUNTIFS(data!E:E,data!$I$2,data!G:G,"&gt;="&amp;B120)</f>
        <v>77</v>
      </c>
      <c r="D120">
        <f>COUNTIFS(data!E:E,data!$J$2,data!G:G,"&gt;="&amp;B120)</f>
        <v>42</v>
      </c>
      <c r="E120">
        <f>COUNTIFS(data!E:E,data!$J$2,data!G:G,"&lt;"&amp;B120)</f>
        <v>320</v>
      </c>
      <c r="F120">
        <f>COUNTIFS(data!E:E,data!$I$2,data!G:G,"&lt;"&amp;B120)</f>
        <v>189</v>
      </c>
      <c r="G120">
        <f t="shared" si="7"/>
        <v>0.11602209944751381</v>
      </c>
      <c r="H120">
        <f t="shared" si="8"/>
        <v>0.28947368421052633</v>
      </c>
      <c r="I120">
        <f t="shared" si="9"/>
        <v>0</v>
      </c>
      <c r="J120">
        <f t="shared" si="10"/>
        <v>0.6470588235294118</v>
      </c>
      <c r="K120">
        <f t="shared" si="11"/>
        <v>0.4</v>
      </c>
      <c r="L120">
        <f>A120*COUNTIF(data!E:E,$J$2)/data!$M$2</f>
        <v>50.404458598726116</v>
      </c>
      <c r="M120" s="1">
        <f>A120/data!$M$2</f>
        <v>0.18949044585987262</v>
      </c>
      <c r="N120">
        <f t="shared" si="6"/>
        <v>1.5276426360017692</v>
      </c>
    </row>
    <row r="121" spans="1:14" x14ac:dyDescent="0.2">
      <c r="A121">
        <v>120</v>
      </c>
      <c r="B121">
        <f>LARGE(data!G:G,A121)</f>
        <v>0.63100633100000003</v>
      </c>
      <c r="C121">
        <f>COUNTIFS(data!E:E,data!$I$2,data!G:G,"&gt;="&amp;B121)</f>
        <v>77</v>
      </c>
      <c r="D121">
        <f>COUNTIFS(data!E:E,data!$J$2,data!G:G,"&gt;="&amp;B121)</f>
        <v>43</v>
      </c>
      <c r="E121">
        <f>COUNTIFS(data!E:E,data!$J$2,data!G:G,"&lt;"&amp;B121)</f>
        <v>319</v>
      </c>
      <c r="F121">
        <f>COUNTIFS(data!E:E,data!$I$2,data!G:G,"&lt;"&amp;B121)</f>
        <v>189</v>
      </c>
      <c r="G121">
        <f t="shared" si="7"/>
        <v>0.11878453038674033</v>
      </c>
      <c r="H121">
        <f t="shared" si="8"/>
        <v>0.28947368421052633</v>
      </c>
      <c r="I121">
        <f t="shared" si="9"/>
        <v>7.9965106135504709E-4</v>
      </c>
      <c r="J121">
        <f t="shared" si="10"/>
        <v>0.64166666666666672</v>
      </c>
      <c r="K121">
        <f t="shared" si="11"/>
        <v>0.39896373056994822</v>
      </c>
      <c r="L121">
        <f>A121*COUNTIF(data!E:E,$J$2)/data!$M$2</f>
        <v>50.828025477707008</v>
      </c>
      <c r="M121" s="1">
        <f>A121/data!$M$2</f>
        <v>0.19108280254777071</v>
      </c>
      <c r="N121">
        <f t="shared" si="6"/>
        <v>1.5149122807017543</v>
      </c>
    </row>
    <row r="122" spans="1:14" x14ac:dyDescent="0.2">
      <c r="A122">
        <v>121</v>
      </c>
      <c r="B122">
        <f>LARGE(data!G:G,A122)</f>
        <v>0.62920362839999999</v>
      </c>
      <c r="C122">
        <f>COUNTIFS(data!E:E,data!$I$2,data!G:G,"&gt;="&amp;B122)</f>
        <v>78</v>
      </c>
      <c r="D122">
        <f>COUNTIFS(data!E:E,data!$J$2,data!G:G,"&gt;="&amp;B122)</f>
        <v>43</v>
      </c>
      <c r="E122">
        <f>COUNTIFS(data!E:E,data!$J$2,data!G:G,"&lt;"&amp;B122)</f>
        <v>319</v>
      </c>
      <c r="F122">
        <f>COUNTIFS(data!E:E,data!$I$2,data!G:G,"&lt;"&amp;B122)</f>
        <v>188</v>
      </c>
      <c r="G122">
        <f t="shared" si="7"/>
        <v>0.11878453038674033</v>
      </c>
      <c r="H122">
        <f t="shared" si="8"/>
        <v>0.2932330827067669</v>
      </c>
      <c r="I122">
        <f t="shared" si="9"/>
        <v>0</v>
      </c>
      <c r="J122">
        <f t="shared" si="10"/>
        <v>0.64462809917355368</v>
      </c>
      <c r="K122">
        <f t="shared" si="11"/>
        <v>0.40310077519379839</v>
      </c>
      <c r="L122">
        <f>A122*COUNTIF(data!E:E,$J$2)/data!$M$2</f>
        <v>51.251592356687901</v>
      </c>
      <c r="M122" s="1">
        <f>A122/data!$M$2</f>
        <v>0.1926751592356688</v>
      </c>
      <c r="N122">
        <f t="shared" si="6"/>
        <v>1.5219039333871869</v>
      </c>
    </row>
    <row r="123" spans="1:14" x14ac:dyDescent="0.2">
      <c r="A123">
        <v>122</v>
      </c>
      <c r="B123">
        <f>LARGE(data!G:G,A123)</f>
        <v>0.62443499920000001</v>
      </c>
      <c r="C123">
        <f>COUNTIFS(data!E:E,data!$I$2,data!G:G,"&gt;="&amp;B123)</f>
        <v>78</v>
      </c>
      <c r="D123">
        <f>COUNTIFS(data!E:E,data!$J$2,data!G:G,"&gt;="&amp;B123)</f>
        <v>44</v>
      </c>
      <c r="E123">
        <f>COUNTIFS(data!E:E,data!$J$2,data!G:G,"&lt;"&amp;B123)</f>
        <v>318</v>
      </c>
      <c r="F123">
        <f>COUNTIFS(data!E:E,data!$I$2,data!G:G,"&lt;"&amp;B123)</f>
        <v>188</v>
      </c>
      <c r="G123">
        <f t="shared" si="7"/>
        <v>0.12154696132596685</v>
      </c>
      <c r="H123">
        <f t="shared" si="8"/>
        <v>0.2932330827067669</v>
      </c>
      <c r="I123">
        <f t="shared" si="9"/>
        <v>8.1003614007393962E-4</v>
      </c>
      <c r="J123">
        <f t="shared" si="10"/>
        <v>0.63934426229508201</v>
      </c>
      <c r="K123">
        <f t="shared" si="11"/>
        <v>0.40206185567010311</v>
      </c>
      <c r="L123">
        <f>A123*COUNTIF(data!E:E,$J$2)/data!$M$2</f>
        <v>51.675159235668787</v>
      </c>
      <c r="M123" s="1">
        <f>A123/data!$M$2</f>
        <v>0.19426751592356689</v>
      </c>
      <c r="N123">
        <f t="shared" si="6"/>
        <v>1.509429310982374</v>
      </c>
    </row>
    <row r="124" spans="1:14" x14ac:dyDescent="0.2">
      <c r="A124">
        <v>123</v>
      </c>
      <c r="B124">
        <f>LARGE(data!G:G,A124)</f>
        <v>0.62368562859999999</v>
      </c>
      <c r="C124">
        <f>COUNTIFS(data!E:E,data!$I$2,data!G:G,"&gt;="&amp;B124)</f>
        <v>79</v>
      </c>
      <c r="D124">
        <f>COUNTIFS(data!E:E,data!$J$2,data!G:G,"&gt;="&amp;B124)</f>
        <v>44</v>
      </c>
      <c r="E124">
        <f>COUNTIFS(data!E:E,data!$J$2,data!G:G,"&lt;"&amp;B124)</f>
        <v>318</v>
      </c>
      <c r="F124">
        <f>COUNTIFS(data!E:E,data!$I$2,data!G:G,"&lt;"&amp;B124)</f>
        <v>187</v>
      </c>
      <c r="G124">
        <f t="shared" si="7"/>
        <v>0.12154696132596685</v>
      </c>
      <c r="H124">
        <f t="shared" si="8"/>
        <v>0.29699248120300753</v>
      </c>
      <c r="I124">
        <f t="shared" si="9"/>
        <v>0</v>
      </c>
      <c r="J124">
        <f t="shared" si="10"/>
        <v>0.64227642276422769</v>
      </c>
      <c r="K124">
        <f t="shared" si="11"/>
        <v>0.4061696658097686</v>
      </c>
      <c r="L124">
        <f>A124*COUNTIF(data!E:E,$J$2)/data!$M$2</f>
        <v>52.098726114649679</v>
      </c>
      <c r="M124" s="1">
        <f>A124/data!$M$2</f>
        <v>0.19585987261146498</v>
      </c>
      <c r="N124">
        <f t="shared" si="6"/>
        <v>1.5163518552478759</v>
      </c>
    </row>
    <row r="125" spans="1:14" x14ac:dyDescent="0.2">
      <c r="A125">
        <v>124</v>
      </c>
      <c r="B125">
        <f>LARGE(data!G:G,A125)</f>
        <v>0.61728198609999996</v>
      </c>
      <c r="C125">
        <f>COUNTIFS(data!E:E,data!$I$2,data!G:G,"&gt;="&amp;B125)</f>
        <v>80</v>
      </c>
      <c r="D125">
        <f>COUNTIFS(data!E:E,data!$J$2,data!G:G,"&gt;="&amp;B125)</f>
        <v>44</v>
      </c>
      <c r="E125">
        <f>COUNTIFS(data!E:E,data!$J$2,data!G:G,"&lt;"&amp;B125)</f>
        <v>318</v>
      </c>
      <c r="F125">
        <f>COUNTIFS(data!E:E,data!$I$2,data!G:G,"&lt;"&amp;B125)</f>
        <v>186</v>
      </c>
      <c r="G125">
        <f t="shared" si="7"/>
        <v>0.12154696132596685</v>
      </c>
      <c r="H125">
        <f t="shared" si="8"/>
        <v>0.3007518796992481</v>
      </c>
      <c r="I125">
        <f t="shared" si="9"/>
        <v>0</v>
      </c>
      <c r="J125">
        <f t="shared" si="10"/>
        <v>0.64516129032258063</v>
      </c>
      <c r="K125">
        <f t="shared" si="11"/>
        <v>0.41025641025641024</v>
      </c>
      <c r="L125">
        <f>A125*COUNTIF(data!E:E,$J$2)/data!$M$2</f>
        <v>52.522292993630572</v>
      </c>
      <c r="M125" s="1">
        <f>A125/data!$M$2</f>
        <v>0.19745222929936307</v>
      </c>
      <c r="N125">
        <f t="shared" si="6"/>
        <v>1.5231627455736114</v>
      </c>
    </row>
    <row r="126" spans="1:14" x14ac:dyDescent="0.2">
      <c r="A126">
        <v>125</v>
      </c>
      <c r="B126">
        <f>LARGE(data!G:G,A126)</f>
        <v>0.61521697689999999</v>
      </c>
      <c r="C126">
        <f>COUNTIFS(data!E:E,data!$I$2,data!G:G,"&gt;="&amp;B126)</f>
        <v>80</v>
      </c>
      <c r="D126">
        <f>COUNTIFS(data!E:E,data!$J$2,data!G:G,"&gt;="&amp;B126)</f>
        <v>45</v>
      </c>
      <c r="E126">
        <f>COUNTIFS(data!E:E,data!$J$2,data!G:G,"&lt;"&amp;B126)</f>
        <v>317</v>
      </c>
      <c r="F126">
        <f>COUNTIFS(data!E:E,data!$I$2,data!G:G,"&lt;"&amp;B126)</f>
        <v>186</v>
      </c>
      <c r="G126">
        <f t="shared" si="7"/>
        <v>0.12430939226519337</v>
      </c>
      <c r="H126">
        <f t="shared" si="8"/>
        <v>0.3007518796992481</v>
      </c>
      <c r="I126">
        <f t="shared" si="9"/>
        <v>8.3080629751173716E-4</v>
      </c>
      <c r="J126">
        <f t="shared" si="10"/>
        <v>0.64</v>
      </c>
      <c r="K126">
        <f t="shared" si="11"/>
        <v>0.40920716112531969</v>
      </c>
      <c r="L126">
        <f>A126*COUNTIF(data!E:E,$J$2)/data!$M$2</f>
        <v>52.945859872611464</v>
      </c>
      <c r="M126" s="1">
        <f>A126/data!$M$2</f>
        <v>0.19904458598726116</v>
      </c>
      <c r="N126">
        <f t="shared" si="6"/>
        <v>1.5109774436090226</v>
      </c>
    </row>
    <row r="127" spans="1:14" x14ac:dyDescent="0.2">
      <c r="A127">
        <v>126</v>
      </c>
      <c r="B127">
        <f>LARGE(data!G:G,A127)</f>
        <v>0.61450556690000002</v>
      </c>
      <c r="C127">
        <f>COUNTIFS(data!E:E,data!$I$2,data!G:G,"&gt;="&amp;B127)</f>
        <v>80</v>
      </c>
      <c r="D127">
        <f>COUNTIFS(data!E:E,data!$J$2,data!G:G,"&gt;="&amp;B127)</f>
        <v>46</v>
      </c>
      <c r="E127">
        <f>COUNTIFS(data!E:E,data!$J$2,data!G:G,"&lt;"&amp;B127)</f>
        <v>316</v>
      </c>
      <c r="F127">
        <f>COUNTIFS(data!E:E,data!$I$2,data!G:G,"&lt;"&amp;B127)</f>
        <v>186</v>
      </c>
      <c r="G127">
        <f t="shared" si="7"/>
        <v>0.1270718232044199</v>
      </c>
      <c r="H127">
        <f t="shared" si="8"/>
        <v>0.3007518796992481</v>
      </c>
      <c r="I127">
        <f t="shared" si="9"/>
        <v>8.3080629751173716E-4</v>
      </c>
      <c r="J127">
        <f t="shared" si="10"/>
        <v>0.63492063492063489</v>
      </c>
      <c r="K127">
        <f t="shared" si="11"/>
        <v>0.4081632653061224</v>
      </c>
      <c r="L127">
        <f>A127*COUNTIF(data!E:E,$J$2)/data!$M$2</f>
        <v>53.369426751592357</v>
      </c>
      <c r="M127" s="1">
        <f>A127/data!$M$2</f>
        <v>0.20063694267515925</v>
      </c>
      <c r="N127">
        <f t="shared" si="6"/>
        <v>1.4989855591359351</v>
      </c>
    </row>
    <row r="128" spans="1:14" x14ac:dyDescent="0.2">
      <c r="A128">
        <v>127</v>
      </c>
      <c r="B128">
        <f>LARGE(data!G:G,A128)</f>
        <v>0.61350292679999996</v>
      </c>
      <c r="C128">
        <f>COUNTIFS(data!E:E,data!$I$2,data!G:G,"&gt;="&amp;B128)</f>
        <v>81</v>
      </c>
      <c r="D128">
        <f>COUNTIFS(data!E:E,data!$J$2,data!G:G,"&gt;="&amp;B128)</f>
        <v>46</v>
      </c>
      <c r="E128">
        <f>COUNTIFS(data!E:E,data!$J$2,data!G:G,"&lt;"&amp;B128)</f>
        <v>316</v>
      </c>
      <c r="F128">
        <f>COUNTIFS(data!E:E,data!$I$2,data!G:G,"&lt;"&amp;B128)</f>
        <v>185</v>
      </c>
      <c r="G128">
        <f t="shared" si="7"/>
        <v>0.1270718232044199</v>
      </c>
      <c r="H128">
        <f t="shared" si="8"/>
        <v>0.30451127819548873</v>
      </c>
      <c r="I128">
        <f t="shared" si="9"/>
        <v>0</v>
      </c>
      <c r="J128">
        <f t="shared" si="10"/>
        <v>0.63779527559055116</v>
      </c>
      <c r="K128">
        <f t="shared" si="11"/>
        <v>0.41221374045801529</v>
      </c>
      <c r="L128">
        <f>A128*COUNTIF(data!E:E,$J$2)/data!$M$2</f>
        <v>53.79299363057325</v>
      </c>
      <c r="M128" s="1">
        <f>A128/data!$M$2</f>
        <v>0.20222929936305734</v>
      </c>
      <c r="N128">
        <f t="shared" si="6"/>
        <v>1.5057723047776923</v>
      </c>
    </row>
    <row r="129" spans="1:14" x14ac:dyDescent="0.2">
      <c r="A129">
        <v>128</v>
      </c>
      <c r="B129">
        <f>LARGE(data!G:G,A129)</f>
        <v>0.60956201219999995</v>
      </c>
      <c r="C129">
        <f>COUNTIFS(data!E:E,data!$I$2,data!G:G,"&gt;="&amp;B129)</f>
        <v>81</v>
      </c>
      <c r="D129">
        <f>COUNTIFS(data!E:E,data!$J$2,data!G:G,"&gt;="&amp;B129)</f>
        <v>47</v>
      </c>
      <c r="E129">
        <f>COUNTIFS(data!E:E,data!$J$2,data!G:G,"&lt;"&amp;B129)</f>
        <v>315</v>
      </c>
      <c r="F129">
        <f>COUNTIFS(data!E:E,data!$I$2,data!G:G,"&lt;"&amp;B129)</f>
        <v>185</v>
      </c>
      <c r="G129">
        <f t="shared" si="7"/>
        <v>0.12983425414364641</v>
      </c>
      <c r="H129">
        <f t="shared" si="8"/>
        <v>0.30451127819548873</v>
      </c>
      <c r="I129">
        <f t="shared" si="9"/>
        <v>8.4119137623062969E-4</v>
      </c>
      <c r="J129">
        <f t="shared" si="10"/>
        <v>0.6328125</v>
      </c>
      <c r="K129">
        <f t="shared" si="11"/>
        <v>0.41116751269035534</v>
      </c>
      <c r="L129">
        <f>A129*COUNTIF(data!E:E,$J$2)/data!$M$2</f>
        <v>54.216560509554142</v>
      </c>
      <c r="M129" s="1">
        <f>A129/data!$M$2</f>
        <v>0.20382165605095542</v>
      </c>
      <c r="N129">
        <f t="shared" si="6"/>
        <v>1.4940084586466165</v>
      </c>
    </row>
    <row r="130" spans="1:14" x14ac:dyDescent="0.2">
      <c r="A130">
        <v>129</v>
      </c>
      <c r="B130">
        <f>LARGE(data!G:G,A130)</f>
        <v>0.60720083140000003</v>
      </c>
      <c r="C130">
        <f>COUNTIFS(data!E:E,data!$I$2,data!G:G,"&gt;="&amp;B130)</f>
        <v>81</v>
      </c>
      <c r="D130">
        <f>COUNTIFS(data!E:E,data!$J$2,data!G:G,"&gt;="&amp;B130)</f>
        <v>48</v>
      </c>
      <c r="E130">
        <f>COUNTIFS(data!E:E,data!$J$2,data!G:G,"&lt;"&amp;B130)</f>
        <v>314</v>
      </c>
      <c r="F130">
        <f>COUNTIFS(data!E:E,data!$I$2,data!G:G,"&lt;"&amp;B130)</f>
        <v>185</v>
      </c>
      <c r="G130">
        <f t="shared" si="7"/>
        <v>0.13259668508287292</v>
      </c>
      <c r="H130">
        <f t="shared" si="8"/>
        <v>0.30451127819548873</v>
      </c>
      <c r="I130">
        <f t="shared" si="9"/>
        <v>8.4119137623062969E-4</v>
      </c>
      <c r="J130">
        <f t="shared" si="10"/>
        <v>0.62790697674418605</v>
      </c>
      <c r="K130">
        <f t="shared" si="11"/>
        <v>0.41012658227848098</v>
      </c>
      <c r="L130">
        <f>A130*COUNTIF(data!E:E,$J$2)/data!$M$2</f>
        <v>54.640127388535035</v>
      </c>
      <c r="M130" s="1">
        <f>A130/data!$M$2</f>
        <v>0.20541401273885351</v>
      </c>
      <c r="N130">
        <f t="shared" ref="N130:N193" si="12">C130/L130</f>
        <v>1.4824269977268751</v>
      </c>
    </row>
    <row r="131" spans="1:14" x14ac:dyDescent="0.2">
      <c r="A131">
        <v>130</v>
      </c>
      <c r="B131">
        <f>LARGE(data!G:G,A131)</f>
        <v>0.60580802349999996</v>
      </c>
      <c r="C131">
        <f>COUNTIFS(data!E:E,data!$I$2,data!G:G,"&gt;="&amp;B131)</f>
        <v>81</v>
      </c>
      <c r="D131">
        <f>COUNTIFS(data!E:E,data!$J$2,data!G:G,"&gt;="&amp;B131)</f>
        <v>49</v>
      </c>
      <c r="E131">
        <f>COUNTIFS(data!E:E,data!$J$2,data!G:G,"&lt;"&amp;B131)</f>
        <v>313</v>
      </c>
      <c r="F131">
        <f>COUNTIFS(data!E:E,data!$I$2,data!G:G,"&lt;"&amp;B131)</f>
        <v>185</v>
      </c>
      <c r="G131">
        <f t="shared" ref="G131:G134" si="13">D131/(E131+D131)</f>
        <v>0.13535911602209943</v>
      </c>
      <c r="H131">
        <f t="shared" ref="H131:H134" si="14">C131/(C131+F131)</f>
        <v>0.30451127819548873</v>
      </c>
      <c r="I131">
        <f t="shared" ref="I131:I194" si="15">(G131-G130)*(H131+H130)*0.5</f>
        <v>8.4119137623062969E-4</v>
      </c>
      <c r="J131">
        <f t="shared" ref="J131:J134" si="16">C131/(C131+D131)</f>
        <v>0.62307692307692308</v>
      </c>
      <c r="K131">
        <f t="shared" ref="K131:K134" si="17">2*J131*H131/(J131+H131)</f>
        <v>0.40909090909090912</v>
      </c>
      <c r="L131">
        <f>A131*COUNTIF(data!E:E,$J$2)/data!$M$2</f>
        <v>55.06369426751592</v>
      </c>
      <c r="M131" s="1">
        <f>A131/data!$M$2</f>
        <v>0.2070063694267516</v>
      </c>
      <c r="N131">
        <f t="shared" si="12"/>
        <v>1.4710237131289763</v>
      </c>
    </row>
    <row r="132" spans="1:14" x14ac:dyDescent="0.2">
      <c r="A132">
        <v>131</v>
      </c>
      <c r="B132">
        <f>LARGE(data!G:G,A132)</f>
        <v>0.60329955869999996</v>
      </c>
      <c r="C132">
        <f>COUNTIFS(data!E:E,data!$I$2,data!G:G,"&gt;="&amp;B132)</f>
        <v>81</v>
      </c>
      <c r="D132">
        <f>COUNTIFS(data!E:E,data!$J$2,data!G:G,"&gt;="&amp;B132)</f>
        <v>50</v>
      </c>
      <c r="E132">
        <f>COUNTIFS(data!E:E,data!$J$2,data!G:G,"&lt;"&amp;B132)</f>
        <v>312</v>
      </c>
      <c r="F132">
        <f>COUNTIFS(data!E:E,data!$I$2,data!G:G,"&lt;"&amp;B132)</f>
        <v>185</v>
      </c>
      <c r="G132">
        <f t="shared" si="13"/>
        <v>0.13812154696132597</v>
      </c>
      <c r="H132">
        <f t="shared" si="14"/>
        <v>0.30451127819548873</v>
      </c>
      <c r="I132">
        <f t="shared" si="15"/>
        <v>8.4119137623063815E-4</v>
      </c>
      <c r="J132">
        <f t="shared" si="16"/>
        <v>0.61832061068702293</v>
      </c>
      <c r="K132">
        <f t="shared" si="17"/>
        <v>0.40806045340050379</v>
      </c>
      <c r="L132">
        <f>A132*COUNTIF(data!E:E,$J$2)/data!$M$2</f>
        <v>55.487261146496813</v>
      </c>
      <c r="M132" s="1">
        <f>A132/data!$M$2</f>
        <v>0.20859872611464969</v>
      </c>
      <c r="N132">
        <f t="shared" si="12"/>
        <v>1.4597945244791368</v>
      </c>
    </row>
    <row r="133" spans="1:14" x14ac:dyDescent="0.2">
      <c r="A133">
        <v>132</v>
      </c>
      <c r="B133">
        <f>LARGE(data!G:G,A133)</f>
        <v>0.60201193180000001</v>
      </c>
      <c r="C133">
        <f>COUNTIFS(data!E:E,data!$I$2,data!G:G,"&gt;="&amp;B133)</f>
        <v>81</v>
      </c>
      <c r="D133">
        <f>COUNTIFS(data!E:E,data!$J$2,data!G:G,"&gt;="&amp;B133)</f>
        <v>51</v>
      </c>
      <c r="E133">
        <f>COUNTIFS(data!E:E,data!$J$2,data!G:G,"&lt;"&amp;B133)</f>
        <v>311</v>
      </c>
      <c r="F133">
        <f>COUNTIFS(data!E:E,data!$I$2,data!G:G,"&lt;"&amp;B133)</f>
        <v>185</v>
      </c>
      <c r="G133">
        <f t="shared" si="13"/>
        <v>0.14088397790055249</v>
      </c>
      <c r="H133">
        <f t="shared" si="14"/>
        <v>0.30451127819548873</v>
      </c>
      <c r="I133">
        <f t="shared" si="15"/>
        <v>8.4119137623062969E-4</v>
      </c>
      <c r="J133">
        <f t="shared" si="16"/>
        <v>0.61363636363636365</v>
      </c>
      <c r="K133">
        <f t="shared" si="17"/>
        <v>0.40703517587939697</v>
      </c>
      <c r="L133">
        <f>A133*COUNTIF(data!E:E,$J$2)/data!$M$2</f>
        <v>55.910828025477706</v>
      </c>
      <c r="M133" s="1">
        <f>A133/data!$M$2</f>
        <v>0.21019108280254778</v>
      </c>
      <c r="N133">
        <f t="shared" si="12"/>
        <v>1.4487354750512647</v>
      </c>
    </row>
    <row r="134" spans="1:14" x14ac:dyDescent="0.2">
      <c r="A134">
        <v>133</v>
      </c>
      <c r="B134">
        <f>LARGE(data!G:G,A134)</f>
        <v>0.59908392259999999</v>
      </c>
      <c r="C134">
        <f>COUNTIFS(data!E:E,data!$I$2,data!G:G,"&gt;="&amp;B134)</f>
        <v>81</v>
      </c>
      <c r="D134">
        <f>COUNTIFS(data!E:E,data!$J$2,data!G:G,"&gt;="&amp;B134)</f>
        <v>52</v>
      </c>
      <c r="E134">
        <f>COUNTIFS(data!E:E,data!$J$2,data!G:G,"&lt;"&amp;B134)</f>
        <v>310</v>
      </c>
      <c r="F134">
        <f>COUNTIFS(data!E:E,data!$I$2,data!G:G,"&lt;"&amp;B134)</f>
        <v>185</v>
      </c>
      <c r="G134">
        <f t="shared" si="13"/>
        <v>0.143646408839779</v>
      </c>
      <c r="H134">
        <f t="shared" si="14"/>
        <v>0.30451127819548873</v>
      </c>
      <c r="I134">
        <f t="shared" si="15"/>
        <v>8.4119137623062969E-4</v>
      </c>
      <c r="J134">
        <f t="shared" si="16"/>
        <v>0.60902255639097747</v>
      </c>
      <c r="K134">
        <f t="shared" si="17"/>
        <v>0.406015037593985</v>
      </c>
      <c r="L134">
        <f>A134*COUNTIF(data!E:E,$J$2)/data!$M$2</f>
        <v>56.334394904458598</v>
      </c>
      <c r="M134" s="1">
        <f>A134/data!$M$2</f>
        <v>0.21178343949044587</v>
      </c>
      <c r="N134">
        <f t="shared" si="12"/>
        <v>1.4378427271185483</v>
      </c>
    </row>
    <row r="135" spans="1:14" x14ac:dyDescent="0.2">
      <c r="A135">
        <v>134</v>
      </c>
      <c r="B135">
        <f>LARGE(data!G:G,A135)</f>
        <v>0.59812568570000002</v>
      </c>
      <c r="C135">
        <f>COUNTIFS(data!E:E,data!$I$2,data!G:G,"&gt;="&amp;B135)</f>
        <v>83</v>
      </c>
      <c r="D135">
        <f>COUNTIFS(data!E:E,data!$J$2,data!G:G,"&gt;="&amp;B135)</f>
        <v>52</v>
      </c>
      <c r="E135">
        <f>COUNTIFS(data!E:E,data!$J$2,data!G:G,"&lt;"&amp;B135)</f>
        <v>310</v>
      </c>
      <c r="F135">
        <f>COUNTIFS(data!E:E,data!$I$2,data!G:G,"&lt;"&amp;B135)</f>
        <v>183</v>
      </c>
      <c r="G135">
        <f t="shared" ref="G135:G198" si="18">D135/(E135+D135)</f>
        <v>0.143646408839779</v>
      </c>
      <c r="H135">
        <f t="shared" ref="H135:H198" si="19">C135/(C135+F135)</f>
        <v>0.31203007518796994</v>
      </c>
      <c r="I135">
        <f t="shared" si="15"/>
        <v>0</v>
      </c>
      <c r="J135">
        <f t="shared" ref="J135:J198" si="20">C135/(C135+D135)</f>
        <v>0.61481481481481481</v>
      </c>
      <c r="K135">
        <f t="shared" ref="K135:K198" si="21">2*J135*H135/(J135+H135)</f>
        <v>0.41396508728179549</v>
      </c>
      <c r="L135">
        <f>A135*COUNTIF(data!E:E,$J$2)/data!$M$2</f>
        <v>56.757961783439491</v>
      </c>
      <c r="M135" s="1">
        <f>A135/data!$M$2</f>
        <v>0.21337579617834396</v>
      </c>
      <c r="N135">
        <f t="shared" si="12"/>
        <v>1.462349904612277</v>
      </c>
    </row>
    <row r="136" spans="1:14" x14ac:dyDescent="0.2">
      <c r="A136">
        <v>135</v>
      </c>
      <c r="B136">
        <f>LARGE(data!G:G,A136)</f>
        <v>0.59812568570000002</v>
      </c>
      <c r="C136">
        <f>COUNTIFS(data!E:E,data!$I$2,data!G:G,"&gt;="&amp;B136)</f>
        <v>83</v>
      </c>
      <c r="D136">
        <f>COUNTIFS(data!E:E,data!$J$2,data!G:G,"&gt;="&amp;B136)</f>
        <v>52</v>
      </c>
      <c r="E136">
        <f>COUNTIFS(data!E:E,data!$J$2,data!G:G,"&lt;"&amp;B136)</f>
        <v>310</v>
      </c>
      <c r="F136">
        <f>COUNTIFS(data!E:E,data!$I$2,data!G:G,"&lt;"&amp;B136)</f>
        <v>183</v>
      </c>
      <c r="G136">
        <f t="shared" si="18"/>
        <v>0.143646408839779</v>
      </c>
      <c r="H136">
        <f t="shared" si="19"/>
        <v>0.31203007518796994</v>
      </c>
      <c r="I136">
        <f t="shared" si="15"/>
        <v>0</v>
      </c>
      <c r="J136">
        <f t="shared" si="20"/>
        <v>0.61481481481481481</v>
      </c>
      <c r="K136">
        <f t="shared" si="21"/>
        <v>0.41396508728179549</v>
      </c>
      <c r="L136">
        <f>A136*COUNTIF(data!E:E,$J$2)/data!$M$2</f>
        <v>57.181528662420384</v>
      </c>
      <c r="M136" s="1">
        <f>A136/data!$M$2</f>
        <v>0.21496815286624205</v>
      </c>
      <c r="N136">
        <f t="shared" si="12"/>
        <v>1.4515176830966305</v>
      </c>
    </row>
    <row r="137" spans="1:14" x14ac:dyDescent="0.2">
      <c r="A137">
        <v>136</v>
      </c>
      <c r="B137">
        <f>LARGE(data!G:G,A137)</f>
        <v>0.59764079290000005</v>
      </c>
      <c r="C137">
        <f>COUNTIFS(data!E:E,data!$I$2,data!G:G,"&gt;="&amp;B137)</f>
        <v>84</v>
      </c>
      <c r="D137">
        <f>COUNTIFS(data!E:E,data!$J$2,data!G:G,"&gt;="&amp;B137)</f>
        <v>52</v>
      </c>
      <c r="E137">
        <f>COUNTIFS(data!E:E,data!$J$2,data!G:G,"&lt;"&amp;B137)</f>
        <v>310</v>
      </c>
      <c r="F137">
        <f>COUNTIFS(data!E:E,data!$I$2,data!G:G,"&lt;"&amp;B137)</f>
        <v>182</v>
      </c>
      <c r="G137">
        <f t="shared" si="18"/>
        <v>0.143646408839779</v>
      </c>
      <c r="H137">
        <f t="shared" si="19"/>
        <v>0.31578947368421051</v>
      </c>
      <c r="I137">
        <f t="shared" si="15"/>
        <v>0</v>
      </c>
      <c r="J137">
        <f t="shared" si="20"/>
        <v>0.61764705882352944</v>
      </c>
      <c r="K137">
        <f t="shared" si="21"/>
        <v>0.41791044776119401</v>
      </c>
      <c r="L137">
        <f>A137*COUNTIF(data!E:E,$J$2)/data!$M$2</f>
        <v>57.605095541401276</v>
      </c>
      <c r="M137" s="1">
        <f>A137/data!$M$2</f>
        <v>0.21656050955414013</v>
      </c>
      <c r="N137">
        <f t="shared" si="12"/>
        <v>1.458204334365325</v>
      </c>
    </row>
    <row r="138" spans="1:14" x14ac:dyDescent="0.2">
      <c r="A138">
        <v>137</v>
      </c>
      <c r="B138">
        <f>LARGE(data!G:G,A138)</f>
        <v>0.59757764759999998</v>
      </c>
      <c r="C138">
        <f>COUNTIFS(data!E:E,data!$I$2,data!G:G,"&gt;="&amp;B138)</f>
        <v>85</v>
      </c>
      <c r="D138">
        <f>COUNTIFS(data!E:E,data!$J$2,data!G:G,"&gt;="&amp;B138)</f>
        <v>52</v>
      </c>
      <c r="E138">
        <f>COUNTIFS(data!E:E,data!$J$2,data!G:G,"&lt;"&amp;B138)</f>
        <v>310</v>
      </c>
      <c r="F138">
        <f>COUNTIFS(data!E:E,data!$I$2,data!G:G,"&lt;"&amp;B138)</f>
        <v>181</v>
      </c>
      <c r="G138">
        <f t="shared" si="18"/>
        <v>0.143646408839779</v>
      </c>
      <c r="H138">
        <f t="shared" si="19"/>
        <v>0.31954887218045114</v>
      </c>
      <c r="I138">
        <f t="shared" si="15"/>
        <v>0</v>
      </c>
      <c r="J138">
        <f t="shared" si="20"/>
        <v>0.62043795620437958</v>
      </c>
      <c r="K138">
        <f t="shared" si="21"/>
        <v>0.42183622828784118</v>
      </c>
      <c r="L138">
        <f>A138*COUNTIF(data!E:E,$J$2)/data!$M$2</f>
        <v>58.028662420382169</v>
      </c>
      <c r="M138" s="1">
        <f>A138/data!$M$2</f>
        <v>0.21815286624203822</v>
      </c>
      <c r="N138">
        <f t="shared" si="12"/>
        <v>1.4647933702870313</v>
      </c>
    </row>
    <row r="139" spans="1:14" x14ac:dyDescent="0.2">
      <c r="A139">
        <v>138</v>
      </c>
      <c r="B139">
        <f>LARGE(data!G:G,A139)</f>
        <v>0.5975442769</v>
      </c>
      <c r="C139">
        <f>COUNTIFS(data!E:E,data!$I$2,data!G:G,"&gt;="&amp;B139)</f>
        <v>86</v>
      </c>
      <c r="D139">
        <f>COUNTIFS(data!E:E,data!$J$2,data!G:G,"&gt;="&amp;B139)</f>
        <v>52</v>
      </c>
      <c r="E139">
        <f>COUNTIFS(data!E:E,data!$J$2,data!G:G,"&lt;"&amp;B139)</f>
        <v>310</v>
      </c>
      <c r="F139">
        <f>COUNTIFS(data!E:E,data!$I$2,data!G:G,"&lt;"&amp;B139)</f>
        <v>180</v>
      </c>
      <c r="G139">
        <f t="shared" si="18"/>
        <v>0.143646408839779</v>
      </c>
      <c r="H139">
        <f t="shared" si="19"/>
        <v>0.32330827067669171</v>
      </c>
      <c r="I139">
        <f t="shared" si="15"/>
        <v>0</v>
      </c>
      <c r="J139">
        <f t="shared" si="20"/>
        <v>0.62318840579710144</v>
      </c>
      <c r="K139">
        <f t="shared" si="21"/>
        <v>0.42574257425742573</v>
      </c>
      <c r="L139">
        <f>A139*COUNTIF(data!E:E,$J$2)/data!$M$2</f>
        <v>58.452229299363054</v>
      </c>
      <c r="M139" s="1">
        <f>A139/data!$M$2</f>
        <v>0.21974522292993631</v>
      </c>
      <c r="N139">
        <f t="shared" si="12"/>
        <v>1.4712869129345103</v>
      </c>
    </row>
    <row r="140" spans="1:14" x14ac:dyDescent="0.2">
      <c r="A140">
        <v>139</v>
      </c>
      <c r="B140">
        <f>LARGE(data!G:G,A140)</f>
        <v>0.59661072900000001</v>
      </c>
      <c r="C140">
        <f>COUNTIFS(data!E:E,data!$I$2,data!G:G,"&gt;="&amp;B140)</f>
        <v>87</v>
      </c>
      <c r="D140">
        <f>COUNTIFS(data!E:E,data!$J$2,data!G:G,"&gt;="&amp;B140)</f>
        <v>52</v>
      </c>
      <c r="E140">
        <f>COUNTIFS(data!E:E,data!$J$2,data!G:G,"&lt;"&amp;B140)</f>
        <v>310</v>
      </c>
      <c r="F140">
        <f>COUNTIFS(data!E:E,data!$I$2,data!G:G,"&lt;"&amp;B140)</f>
        <v>179</v>
      </c>
      <c r="G140">
        <f t="shared" si="18"/>
        <v>0.143646408839779</v>
      </c>
      <c r="H140">
        <f t="shared" si="19"/>
        <v>0.32706766917293234</v>
      </c>
      <c r="I140">
        <f t="shared" si="15"/>
        <v>0</v>
      </c>
      <c r="J140">
        <f t="shared" si="20"/>
        <v>0.62589928057553956</v>
      </c>
      <c r="K140">
        <f t="shared" si="21"/>
        <v>0.42962962962962969</v>
      </c>
      <c r="L140">
        <f>A140*COUNTIF(data!E:E,$J$2)/data!$M$2</f>
        <v>58.875796178343947</v>
      </c>
      <c r="M140" s="1">
        <f>A140/data!$M$2</f>
        <v>0.2213375796178344</v>
      </c>
      <c r="N140">
        <f t="shared" si="12"/>
        <v>1.4776870233136798</v>
      </c>
    </row>
    <row r="141" spans="1:14" x14ac:dyDescent="0.2">
      <c r="A141">
        <v>140</v>
      </c>
      <c r="B141">
        <f>LARGE(data!G:G,A141)</f>
        <v>0.59443337590000001</v>
      </c>
      <c r="C141">
        <f>COUNTIFS(data!E:E,data!$I$2,data!G:G,"&gt;="&amp;B141)</f>
        <v>87</v>
      </c>
      <c r="D141">
        <f>COUNTIFS(data!E:E,data!$J$2,data!G:G,"&gt;="&amp;B141)</f>
        <v>53</v>
      </c>
      <c r="E141">
        <f>COUNTIFS(data!E:E,data!$J$2,data!G:G,"&lt;"&amp;B141)</f>
        <v>309</v>
      </c>
      <c r="F141">
        <f>COUNTIFS(data!E:E,data!$I$2,data!G:G,"&lt;"&amp;B141)</f>
        <v>179</v>
      </c>
      <c r="G141">
        <f t="shared" si="18"/>
        <v>0.14640883977900551</v>
      </c>
      <c r="H141">
        <f t="shared" si="19"/>
        <v>0.32706766917293234</v>
      </c>
      <c r="I141">
        <f t="shared" si="15"/>
        <v>9.0350184854400971E-4</v>
      </c>
      <c r="J141">
        <f t="shared" si="20"/>
        <v>0.62142857142857144</v>
      </c>
      <c r="K141">
        <f t="shared" si="21"/>
        <v>0.42857142857142855</v>
      </c>
      <c r="L141">
        <f>A141*COUNTIF(data!E:E,$J$2)/data!$M$2</f>
        <v>59.29936305732484</v>
      </c>
      <c r="M141" s="1">
        <f>A141/data!$M$2</f>
        <v>0.22292993630573249</v>
      </c>
      <c r="N141">
        <f t="shared" si="12"/>
        <v>1.4671321160042965</v>
      </c>
    </row>
    <row r="142" spans="1:14" x14ac:dyDescent="0.2">
      <c r="A142">
        <v>141</v>
      </c>
      <c r="B142">
        <f>LARGE(data!G:G,A142)</f>
        <v>0.59356082300000002</v>
      </c>
      <c r="C142">
        <f>COUNTIFS(data!E:E,data!$I$2,data!G:G,"&gt;="&amp;B142)</f>
        <v>87</v>
      </c>
      <c r="D142">
        <f>COUNTIFS(data!E:E,data!$J$2,data!G:G,"&gt;="&amp;B142)</f>
        <v>54</v>
      </c>
      <c r="E142">
        <f>COUNTIFS(data!E:E,data!$J$2,data!G:G,"&lt;"&amp;B142)</f>
        <v>308</v>
      </c>
      <c r="F142">
        <f>COUNTIFS(data!E:E,data!$I$2,data!G:G,"&lt;"&amp;B142)</f>
        <v>179</v>
      </c>
      <c r="G142">
        <f t="shared" si="18"/>
        <v>0.14917127071823205</v>
      </c>
      <c r="H142">
        <f t="shared" si="19"/>
        <v>0.32706766917293234</v>
      </c>
      <c r="I142">
        <f t="shared" si="15"/>
        <v>9.0350184854401871E-4</v>
      </c>
      <c r="J142">
        <f t="shared" si="20"/>
        <v>0.61702127659574468</v>
      </c>
      <c r="K142">
        <f t="shared" si="21"/>
        <v>0.42751842751842756</v>
      </c>
      <c r="L142">
        <f>A142*COUNTIF(data!E:E,$J$2)/data!$M$2</f>
        <v>59.722929936305732</v>
      </c>
      <c r="M142" s="1">
        <f>A142/data!$M$2</f>
        <v>0.22452229299363058</v>
      </c>
      <c r="N142">
        <f t="shared" si="12"/>
        <v>1.4567269236922094</v>
      </c>
    </row>
    <row r="143" spans="1:14" x14ac:dyDescent="0.2">
      <c r="A143">
        <v>142</v>
      </c>
      <c r="B143">
        <f>LARGE(data!G:G,A143)</f>
        <v>0.59312402480000004</v>
      </c>
      <c r="C143">
        <f>COUNTIFS(data!E:E,data!$I$2,data!G:G,"&gt;="&amp;B143)</f>
        <v>88</v>
      </c>
      <c r="D143">
        <f>COUNTIFS(data!E:E,data!$J$2,data!G:G,"&gt;="&amp;B143)</f>
        <v>54</v>
      </c>
      <c r="E143">
        <f>COUNTIFS(data!E:E,data!$J$2,data!G:G,"&lt;"&amp;B143)</f>
        <v>308</v>
      </c>
      <c r="F143">
        <f>COUNTIFS(data!E:E,data!$I$2,data!G:G,"&lt;"&amp;B143)</f>
        <v>178</v>
      </c>
      <c r="G143">
        <f t="shared" si="18"/>
        <v>0.14917127071823205</v>
      </c>
      <c r="H143">
        <f t="shared" si="19"/>
        <v>0.33082706766917291</v>
      </c>
      <c r="I143">
        <f t="shared" si="15"/>
        <v>0</v>
      </c>
      <c r="J143">
        <f t="shared" si="20"/>
        <v>0.61971830985915488</v>
      </c>
      <c r="K143">
        <f t="shared" si="21"/>
        <v>0.43137254901960781</v>
      </c>
      <c r="L143">
        <f>A143*COUNTIF(data!E:E,$J$2)/data!$M$2</f>
        <v>60.146496815286625</v>
      </c>
      <c r="M143" s="1">
        <f>A143/data!$M$2</f>
        <v>0.22611464968152867</v>
      </c>
      <c r="N143">
        <f t="shared" si="12"/>
        <v>1.4630943556073281</v>
      </c>
    </row>
    <row r="144" spans="1:14" x14ac:dyDescent="0.2">
      <c r="A144">
        <v>143</v>
      </c>
      <c r="B144">
        <f>LARGE(data!G:G,A144)</f>
        <v>0.59259485300000003</v>
      </c>
      <c r="C144">
        <f>COUNTIFS(data!E:E,data!$I$2,data!G:G,"&gt;="&amp;B144)</f>
        <v>89</v>
      </c>
      <c r="D144">
        <f>COUNTIFS(data!E:E,data!$J$2,data!G:G,"&gt;="&amp;B144)</f>
        <v>54</v>
      </c>
      <c r="E144">
        <f>COUNTIFS(data!E:E,data!$J$2,data!G:G,"&lt;"&amp;B144)</f>
        <v>308</v>
      </c>
      <c r="F144">
        <f>COUNTIFS(data!E:E,data!$I$2,data!G:G,"&lt;"&amp;B144)</f>
        <v>177</v>
      </c>
      <c r="G144">
        <f t="shared" si="18"/>
        <v>0.14917127071823205</v>
      </c>
      <c r="H144">
        <f t="shared" si="19"/>
        <v>0.33458646616541354</v>
      </c>
      <c r="I144">
        <f t="shared" si="15"/>
        <v>0</v>
      </c>
      <c r="J144">
        <f t="shared" si="20"/>
        <v>0.6223776223776224</v>
      </c>
      <c r="K144">
        <f t="shared" si="21"/>
        <v>0.4352078239608802</v>
      </c>
      <c r="L144">
        <f>A144*COUNTIF(data!E:E,$J$2)/data!$M$2</f>
        <v>60.570063694267517</v>
      </c>
      <c r="M144" s="1">
        <f>A144/data!$M$2</f>
        <v>0.22770700636942676</v>
      </c>
      <c r="N144">
        <f t="shared" si="12"/>
        <v>1.4693727325306272</v>
      </c>
    </row>
    <row r="145" spans="1:14" x14ac:dyDescent="0.2">
      <c r="A145">
        <v>144</v>
      </c>
      <c r="B145">
        <f>LARGE(data!G:G,A145)</f>
        <v>0.58931927709999998</v>
      </c>
      <c r="C145">
        <f>COUNTIFS(data!E:E,data!$I$2,data!G:G,"&gt;="&amp;B145)</f>
        <v>90</v>
      </c>
      <c r="D145">
        <f>COUNTIFS(data!E:E,data!$J$2,data!G:G,"&gt;="&amp;B145)</f>
        <v>54</v>
      </c>
      <c r="E145">
        <f>COUNTIFS(data!E:E,data!$J$2,data!G:G,"&lt;"&amp;B145)</f>
        <v>308</v>
      </c>
      <c r="F145">
        <f>COUNTIFS(data!E:E,data!$I$2,data!G:G,"&lt;"&amp;B145)</f>
        <v>176</v>
      </c>
      <c r="G145">
        <f t="shared" si="18"/>
        <v>0.14917127071823205</v>
      </c>
      <c r="H145">
        <f t="shared" si="19"/>
        <v>0.33834586466165412</v>
      </c>
      <c r="I145">
        <f t="shared" si="15"/>
        <v>0</v>
      </c>
      <c r="J145">
        <f t="shared" si="20"/>
        <v>0.625</v>
      </c>
      <c r="K145">
        <f t="shared" si="21"/>
        <v>0.43902439024390238</v>
      </c>
      <c r="L145">
        <f>A145*COUNTIF(data!E:E,$J$2)/data!$M$2</f>
        <v>60.99363057324841</v>
      </c>
      <c r="M145" s="1">
        <f>A145/data!$M$2</f>
        <v>0.22929936305732485</v>
      </c>
      <c r="N145">
        <f t="shared" si="12"/>
        <v>1.475563909774436</v>
      </c>
    </row>
    <row r="146" spans="1:14" x14ac:dyDescent="0.2">
      <c r="A146">
        <v>145</v>
      </c>
      <c r="B146">
        <f>LARGE(data!G:G,A146)</f>
        <v>0.58802315770000002</v>
      </c>
      <c r="C146">
        <f>COUNTIFS(data!E:E,data!$I$2,data!G:G,"&gt;="&amp;B146)</f>
        <v>90</v>
      </c>
      <c r="D146">
        <f>COUNTIFS(data!E:E,data!$J$2,data!G:G,"&gt;="&amp;B146)</f>
        <v>55</v>
      </c>
      <c r="E146">
        <f>COUNTIFS(data!E:E,data!$J$2,data!G:G,"&lt;"&amp;B146)</f>
        <v>307</v>
      </c>
      <c r="F146">
        <f>COUNTIFS(data!E:E,data!$I$2,data!G:G,"&lt;"&amp;B146)</f>
        <v>176</v>
      </c>
      <c r="G146">
        <f t="shared" si="18"/>
        <v>0.15193370165745856</v>
      </c>
      <c r="H146">
        <f t="shared" si="19"/>
        <v>0.33834586466165412</v>
      </c>
      <c r="I146">
        <f t="shared" si="15"/>
        <v>9.3465708470069956E-4</v>
      </c>
      <c r="J146">
        <f t="shared" si="20"/>
        <v>0.62068965517241381</v>
      </c>
      <c r="K146">
        <f t="shared" si="21"/>
        <v>0.43795620437956201</v>
      </c>
      <c r="L146">
        <f>A146*COUNTIF(data!E:E,$J$2)/data!$M$2</f>
        <v>61.417197452229303</v>
      </c>
      <c r="M146" s="1">
        <f>A146/data!$M$2</f>
        <v>0.23089171974522293</v>
      </c>
      <c r="N146">
        <f t="shared" si="12"/>
        <v>1.4653876069484053</v>
      </c>
    </row>
    <row r="147" spans="1:14" x14ac:dyDescent="0.2">
      <c r="A147">
        <v>146</v>
      </c>
      <c r="B147">
        <f>LARGE(data!G:G,A147)</f>
        <v>0.58718691739999995</v>
      </c>
      <c r="C147">
        <f>COUNTIFS(data!E:E,data!$I$2,data!G:G,"&gt;="&amp;B147)</f>
        <v>91</v>
      </c>
      <c r="D147">
        <f>COUNTIFS(data!E:E,data!$J$2,data!G:G,"&gt;="&amp;B147)</f>
        <v>55</v>
      </c>
      <c r="E147">
        <f>COUNTIFS(data!E:E,data!$J$2,data!G:G,"&lt;"&amp;B147)</f>
        <v>307</v>
      </c>
      <c r="F147">
        <f>COUNTIFS(data!E:E,data!$I$2,data!G:G,"&lt;"&amp;B147)</f>
        <v>175</v>
      </c>
      <c r="G147">
        <f t="shared" si="18"/>
        <v>0.15193370165745856</v>
      </c>
      <c r="H147">
        <f t="shared" si="19"/>
        <v>0.34210526315789475</v>
      </c>
      <c r="I147">
        <f t="shared" si="15"/>
        <v>0</v>
      </c>
      <c r="J147">
        <f t="shared" si="20"/>
        <v>0.62328767123287676</v>
      </c>
      <c r="K147">
        <f t="shared" si="21"/>
        <v>0.44174757281553406</v>
      </c>
      <c r="L147">
        <f>A147*COUNTIF(data!E:E,$J$2)/data!$M$2</f>
        <v>61.840764331210188</v>
      </c>
      <c r="M147" s="1">
        <f>A147/data!$M$2</f>
        <v>0.23248407643312102</v>
      </c>
      <c r="N147">
        <f t="shared" si="12"/>
        <v>1.4715212689257391</v>
      </c>
    </row>
    <row r="148" spans="1:14" x14ac:dyDescent="0.2">
      <c r="A148">
        <v>147</v>
      </c>
      <c r="B148">
        <f>LARGE(data!G:G,A148)</f>
        <v>0.58649227559999995</v>
      </c>
      <c r="C148">
        <f>COUNTIFS(data!E:E,data!$I$2,data!G:G,"&gt;="&amp;B148)</f>
        <v>92</v>
      </c>
      <c r="D148">
        <f>COUNTIFS(data!E:E,data!$J$2,data!G:G,"&gt;="&amp;B148)</f>
        <v>55</v>
      </c>
      <c r="E148">
        <f>COUNTIFS(data!E:E,data!$J$2,data!G:G,"&lt;"&amp;B148)</f>
        <v>307</v>
      </c>
      <c r="F148">
        <f>COUNTIFS(data!E:E,data!$I$2,data!G:G,"&lt;"&amp;B148)</f>
        <v>174</v>
      </c>
      <c r="G148">
        <f t="shared" si="18"/>
        <v>0.15193370165745856</v>
      </c>
      <c r="H148">
        <f t="shared" si="19"/>
        <v>0.34586466165413532</v>
      </c>
      <c r="I148">
        <f t="shared" si="15"/>
        <v>0</v>
      </c>
      <c r="J148">
        <f t="shared" si="20"/>
        <v>0.62585034013605445</v>
      </c>
      <c r="K148">
        <f t="shared" si="21"/>
        <v>0.44552058111380144</v>
      </c>
      <c r="L148">
        <f>A148*COUNTIF(data!E:E,$J$2)/data!$M$2</f>
        <v>62.264331210191081</v>
      </c>
      <c r="M148" s="1">
        <f>A148/data!$M$2</f>
        <v>0.23407643312101911</v>
      </c>
      <c r="N148">
        <f t="shared" si="12"/>
        <v>1.4775714797197075</v>
      </c>
    </row>
    <row r="149" spans="1:14" x14ac:dyDescent="0.2">
      <c r="A149">
        <v>148</v>
      </c>
      <c r="B149">
        <f>LARGE(data!G:G,A149)</f>
        <v>0.58606222620000004</v>
      </c>
      <c r="C149">
        <f>COUNTIFS(data!E:E,data!$I$2,data!G:G,"&gt;="&amp;B149)</f>
        <v>92</v>
      </c>
      <c r="D149">
        <f>COUNTIFS(data!E:E,data!$J$2,data!G:G,"&gt;="&amp;B149)</f>
        <v>56</v>
      </c>
      <c r="E149">
        <f>COUNTIFS(data!E:E,data!$J$2,data!G:G,"&lt;"&amp;B149)</f>
        <v>306</v>
      </c>
      <c r="F149">
        <f>COUNTIFS(data!E:E,data!$I$2,data!G:G,"&lt;"&amp;B149)</f>
        <v>174</v>
      </c>
      <c r="G149">
        <f t="shared" si="18"/>
        <v>0.15469613259668508</v>
      </c>
      <c r="H149">
        <f t="shared" si="19"/>
        <v>0.34586466165413532</v>
      </c>
      <c r="I149">
        <f t="shared" si="15"/>
        <v>9.5542724213849297E-4</v>
      </c>
      <c r="J149">
        <f t="shared" si="20"/>
        <v>0.6216216216216216</v>
      </c>
      <c r="K149">
        <f t="shared" si="21"/>
        <v>0.44444444444444442</v>
      </c>
      <c r="L149">
        <f>A149*COUNTIF(data!E:E,$J$2)/data!$M$2</f>
        <v>62.687898089171973</v>
      </c>
      <c r="M149" s="1">
        <f>A149/data!$M$2</f>
        <v>0.2356687898089172</v>
      </c>
      <c r="N149">
        <f t="shared" si="12"/>
        <v>1.4675878886405203</v>
      </c>
    </row>
    <row r="150" spans="1:14" x14ac:dyDescent="0.2">
      <c r="A150">
        <v>149</v>
      </c>
      <c r="B150">
        <f>LARGE(data!G:G,A150)</f>
        <v>0.58508318650000002</v>
      </c>
      <c r="C150">
        <f>COUNTIFS(data!E:E,data!$I$2,data!G:G,"&gt;="&amp;B150)</f>
        <v>93</v>
      </c>
      <c r="D150">
        <f>COUNTIFS(data!E:E,data!$J$2,data!G:G,"&gt;="&amp;B150)</f>
        <v>56</v>
      </c>
      <c r="E150">
        <f>COUNTIFS(data!E:E,data!$J$2,data!G:G,"&lt;"&amp;B150)</f>
        <v>306</v>
      </c>
      <c r="F150">
        <f>COUNTIFS(data!E:E,data!$I$2,data!G:G,"&lt;"&amp;B150)</f>
        <v>173</v>
      </c>
      <c r="G150">
        <f t="shared" si="18"/>
        <v>0.15469613259668508</v>
      </c>
      <c r="H150">
        <f t="shared" si="19"/>
        <v>0.34962406015037595</v>
      </c>
      <c r="I150">
        <f t="shared" si="15"/>
        <v>0</v>
      </c>
      <c r="J150">
        <f t="shared" si="20"/>
        <v>0.62416107382550334</v>
      </c>
      <c r="K150">
        <f t="shared" si="21"/>
        <v>0.44819277108433736</v>
      </c>
      <c r="L150">
        <f>A150*COUNTIF(data!E:E,$J$2)/data!$M$2</f>
        <v>63.111464968152866</v>
      </c>
      <c r="M150" s="1">
        <f>A150/data!$M$2</f>
        <v>0.23726114649681529</v>
      </c>
      <c r="N150">
        <f t="shared" si="12"/>
        <v>1.4735832870767522</v>
      </c>
    </row>
    <row r="151" spans="1:14" x14ac:dyDescent="0.2">
      <c r="A151">
        <v>150</v>
      </c>
      <c r="B151">
        <f>LARGE(data!G:G,A151)</f>
        <v>0.58356146870000003</v>
      </c>
      <c r="C151">
        <f>COUNTIFS(data!E:E,data!$I$2,data!G:G,"&gt;="&amp;B151)</f>
        <v>94</v>
      </c>
      <c r="D151">
        <f>COUNTIFS(data!E:E,data!$J$2,data!G:G,"&gt;="&amp;B151)</f>
        <v>56</v>
      </c>
      <c r="E151">
        <f>COUNTIFS(data!E:E,data!$J$2,data!G:G,"&lt;"&amp;B151)</f>
        <v>306</v>
      </c>
      <c r="F151">
        <f>COUNTIFS(data!E:E,data!$I$2,data!G:G,"&lt;"&amp;B151)</f>
        <v>172</v>
      </c>
      <c r="G151">
        <f t="shared" si="18"/>
        <v>0.15469613259668508</v>
      </c>
      <c r="H151">
        <f t="shared" si="19"/>
        <v>0.35338345864661652</v>
      </c>
      <c r="I151">
        <f t="shared" si="15"/>
        <v>0</v>
      </c>
      <c r="J151">
        <f t="shared" si="20"/>
        <v>0.62666666666666671</v>
      </c>
      <c r="K151">
        <f t="shared" si="21"/>
        <v>0.45192307692307698</v>
      </c>
      <c r="L151">
        <f>A151*COUNTIF(data!E:E,$J$2)/data!$M$2</f>
        <v>63.535031847133759</v>
      </c>
      <c r="M151" s="1">
        <f>A151/data!$M$2</f>
        <v>0.23885350318471338</v>
      </c>
      <c r="N151">
        <f t="shared" si="12"/>
        <v>1.4794987468671679</v>
      </c>
    </row>
    <row r="152" spans="1:14" x14ac:dyDescent="0.2">
      <c r="A152">
        <v>151</v>
      </c>
      <c r="B152">
        <f>LARGE(data!G:G,A152)</f>
        <v>0.58328577479999999</v>
      </c>
      <c r="C152">
        <f>COUNTIFS(data!E:E,data!$I$2,data!G:G,"&gt;="&amp;B152)</f>
        <v>94</v>
      </c>
      <c r="D152">
        <f>COUNTIFS(data!E:E,data!$J$2,data!G:G,"&gt;="&amp;B152)</f>
        <v>57</v>
      </c>
      <c r="E152">
        <f>COUNTIFS(data!E:E,data!$J$2,data!G:G,"&lt;"&amp;B152)</f>
        <v>305</v>
      </c>
      <c r="F152">
        <f>COUNTIFS(data!E:E,data!$I$2,data!G:G,"&lt;"&amp;B152)</f>
        <v>172</v>
      </c>
      <c r="G152">
        <f t="shared" si="18"/>
        <v>0.15745856353591159</v>
      </c>
      <c r="H152">
        <f t="shared" si="19"/>
        <v>0.35338345864661652</v>
      </c>
      <c r="I152">
        <f t="shared" si="15"/>
        <v>9.7619739957628628E-4</v>
      </c>
      <c r="J152">
        <f t="shared" si="20"/>
        <v>0.62251655629139069</v>
      </c>
      <c r="K152">
        <f t="shared" si="21"/>
        <v>0.45083932853717018</v>
      </c>
      <c r="L152">
        <f>A152*COUNTIF(data!E:E,$J$2)/data!$M$2</f>
        <v>63.958598726114651</v>
      </c>
      <c r="M152" s="1">
        <f>A152/data!$M$2</f>
        <v>0.24044585987261147</v>
      </c>
      <c r="N152">
        <f t="shared" si="12"/>
        <v>1.4697007419210277</v>
      </c>
    </row>
    <row r="153" spans="1:14" x14ac:dyDescent="0.2">
      <c r="A153">
        <v>152</v>
      </c>
      <c r="B153">
        <f>LARGE(data!G:G,A153)</f>
        <v>0.57958360590000002</v>
      </c>
      <c r="C153">
        <f>COUNTIFS(data!E:E,data!$I$2,data!G:G,"&gt;="&amp;B153)</f>
        <v>95</v>
      </c>
      <c r="D153">
        <f>COUNTIFS(data!E:E,data!$J$2,data!G:G,"&gt;="&amp;B153)</f>
        <v>57</v>
      </c>
      <c r="E153">
        <f>COUNTIFS(data!E:E,data!$J$2,data!G:G,"&lt;"&amp;B153)</f>
        <v>305</v>
      </c>
      <c r="F153">
        <f>COUNTIFS(data!E:E,data!$I$2,data!G:G,"&lt;"&amp;B153)</f>
        <v>171</v>
      </c>
      <c r="G153">
        <f t="shared" si="18"/>
        <v>0.15745856353591159</v>
      </c>
      <c r="H153">
        <f t="shared" si="19"/>
        <v>0.35714285714285715</v>
      </c>
      <c r="I153">
        <f t="shared" si="15"/>
        <v>0</v>
      </c>
      <c r="J153">
        <f t="shared" si="20"/>
        <v>0.625</v>
      </c>
      <c r="K153">
        <f t="shared" si="21"/>
        <v>0.45454545454545453</v>
      </c>
      <c r="L153">
        <f>A153*COUNTIF(data!E:E,$J$2)/data!$M$2</f>
        <v>64.382165605095537</v>
      </c>
      <c r="M153" s="1">
        <f>A153/data!$M$2</f>
        <v>0.24203821656050956</v>
      </c>
      <c r="N153">
        <f t="shared" si="12"/>
        <v>1.4755639097744362</v>
      </c>
    </row>
    <row r="154" spans="1:14" x14ac:dyDescent="0.2">
      <c r="A154">
        <v>153</v>
      </c>
      <c r="B154">
        <f>LARGE(data!G:G,A154)</f>
        <v>0.57945307729999995</v>
      </c>
      <c r="C154">
        <f>COUNTIFS(data!E:E,data!$I$2,data!G:G,"&gt;="&amp;B154)</f>
        <v>96</v>
      </c>
      <c r="D154">
        <f>COUNTIFS(data!E:E,data!$J$2,data!G:G,"&gt;="&amp;B154)</f>
        <v>57</v>
      </c>
      <c r="E154">
        <f>COUNTIFS(data!E:E,data!$J$2,data!G:G,"&lt;"&amp;B154)</f>
        <v>305</v>
      </c>
      <c r="F154">
        <f>COUNTIFS(data!E:E,data!$I$2,data!G:G,"&lt;"&amp;B154)</f>
        <v>170</v>
      </c>
      <c r="G154">
        <f t="shared" si="18"/>
        <v>0.15745856353591159</v>
      </c>
      <c r="H154">
        <f t="shared" si="19"/>
        <v>0.36090225563909772</v>
      </c>
      <c r="I154">
        <f t="shared" si="15"/>
        <v>0</v>
      </c>
      <c r="J154">
        <f t="shared" si="20"/>
        <v>0.62745098039215685</v>
      </c>
      <c r="K154">
        <f t="shared" si="21"/>
        <v>0.4582338902147971</v>
      </c>
      <c r="L154">
        <f>A154*COUNTIF(data!E:E,$J$2)/data!$M$2</f>
        <v>64.80573248407643</v>
      </c>
      <c r="M154" s="1">
        <f>A154/data!$M$2</f>
        <v>0.24363057324840764</v>
      </c>
      <c r="N154">
        <f t="shared" si="12"/>
        <v>1.4813504349108064</v>
      </c>
    </row>
    <row r="155" spans="1:14" x14ac:dyDescent="0.2">
      <c r="A155">
        <v>154</v>
      </c>
      <c r="B155">
        <f>LARGE(data!G:G,A155)</f>
        <v>0.57638643639999998</v>
      </c>
      <c r="C155">
        <f>COUNTIFS(data!E:E,data!$I$2,data!G:G,"&gt;="&amp;B155)</f>
        <v>96</v>
      </c>
      <c r="D155">
        <f>COUNTIFS(data!E:E,data!$J$2,data!G:G,"&gt;="&amp;B155)</f>
        <v>58</v>
      </c>
      <c r="E155">
        <f>COUNTIFS(data!E:E,data!$J$2,data!G:G,"&lt;"&amp;B155)</f>
        <v>304</v>
      </c>
      <c r="F155">
        <f>COUNTIFS(data!E:E,data!$I$2,data!G:G,"&lt;"&amp;B155)</f>
        <v>170</v>
      </c>
      <c r="G155">
        <f t="shared" si="18"/>
        <v>0.16022099447513813</v>
      </c>
      <c r="H155">
        <f t="shared" si="19"/>
        <v>0.36090225563909772</v>
      </c>
      <c r="I155">
        <f t="shared" si="15"/>
        <v>9.9696755701408966E-4</v>
      </c>
      <c r="J155">
        <f t="shared" si="20"/>
        <v>0.62337662337662336</v>
      </c>
      <c r="K155">
        <f t="shared" si="21"/>
        <v>0.45714285714285713</v>
      </c>
      <c r="L155">
        <f>A155*COUNTIF(data!E:E,$J$2)/data!$M$2</f>
        <v>65.229299363057322</v>
      </c>
      <c r="M155" s="1">
        <f>A155/data!$M$2</f>
        <v>0.24522292993630573</v>
      </c>
      <c r="N155">
        <f t="shared" si="12"/>
        <v>1.4717312762425545</v>
      </c>
    </row>
    <row r="156" spans="1:14" x14ac:dyDescent="0.2">
      <c r="A156">
        <v>155</v>
      </c>
      <c r="B156">
        <f>LARGE(data!G:G,A156)</f>
        <v>0.57491004430000003</v>
      </c>
      <c r="C156">
        <f>COUNTIFS(data!E:E,data!$I$2,data!G:G,"&gt;="&amp;B156)</f>
        <v>96</v>
      </c>
      <c r="D156">
        <f>COUNTIFS(data!E:E,data!$J$2,data!G:G,"&gt;="&amp;B156)</f>
        <v>59</v>
      </c>
      <c r="E156">
        <f>COUNTIFS(data!E:E,data!$J$2,data!G:G,"&lt;"&amp;B156)</f>
        <v>303</v>
      </c>
      <c r="F156">
        <f>COUNTIFS(data!E:E,data!$I$2,data!G:G,"&lt;"&amp;B156)</f>
        <v>170</v>
      </c>
      <c r="G156">
        <f t="shared" si="18"/>
        <v>0.16298342541436464</v>
      </c>
      <c r="H156">
        <f t="shared" si="19"/>
        <v>0.36090225563909772</v>
      </c>
      <c r="I156">
        <f t="shared" si="15"/>
        <v>9.9696755701407947E-4</v>
      </c>
      <c r="J156">
        <f t="shared" si="20"/>
        <v>0.61935483870967745</v>
      </c>
      <c r="K156">
        <f t="shared" si="21"/>
        <v>0.45605700712589076</v>
      </c>
      <c r="L156">
        <f>A156*COUNTIF(data!E:E,$J$2)/data!$M$2</f>
        <v>65.652866242038215</v>
      </c>
      <c r="M156" s="1">
        <f>A156/data!$M$2</f>
        <v>0.24681528662420382</v>
      </c>
      <c r="N156">
        <f t="shared" si="12"/>
        <v>1.4622362357506671</v>
      </c>
    </row>
    <row r="157" spans="1:14" x14ac:dyDescent="0.2">
      <c r="A157">
        <v>156</v>
      </c>
      <c r="B157">
        <f>LARGE(data!G:G,A157)</f>
        <v>0.57464384400000001</v>
      </c>
      <c r="C157">
        <f>COUNTIFS(data!E:E,data!$I$2,data!G:G,"&gt;="&amp;B157)</f>
        <v>97</v>
      </c>
      <c r="D157">
        <f>COUNTIFS(data!E:E,data!$J$2,data!G:G,"&gt;="&amp;B157)</f>
        <v>59</v>
      </c>
      <c r="E157">
        <f>COUNTIFS(data!E:E,data!$J$2,data!G:G,"&lt;"&amp;B157)</f>
        <v>303</v>
      </c>
      <c r="F157">
        <f>COUNTIFS(data!E:E,data!$I$2,data!G:G,"&lt;"&amp;B157)</f>
        <v>169</v>
      </c>
      <c r="G157">
        <f t="shared" si="18"/>
        <v>0.16298342541436464</v>
      </c>
      <c r="H157">
        <f t="shared" si="19"/>
        <v>0.36466165413533835</v>
      </c>
      <c r="I157">
        <f t="shared" si="15"/>
        <v>0</v>
      </c>
      <c r="J157">
        <f t="shared" si="20"/>
        <v>0.62179487179487181</v>
      </c>
      <c r="K157">
        <f t="shared" si="21"/>
        <v>0.45971563981042657</v>
      </c>
      <c r="L157">
        <f>A157*COUNTIF(data!E:E,$J$2)/data!$M$2</f>
        <v>66.076433121019107</v>
      </c>
      <c r="M157" s="1">
        <f>A157/data!$M$2</f>
        <v>0.24840764331210191</v>
      </c>
      <c r="N157">
        <f t="shared" si="12"/>
        <v>1.4679969153653365</v>
      </c>
    </row>
    <row r="158" spans="1:14" x14ac:dyDescent="0.2">
      <c r="A158">
        <v>157</v>
      </c>
      <c r="B158">
        <f>LARGE(data!G:G,A158)</f>
        <v>0.57276107890000005</v>
      </c>
      <c r="C158">
        <f>COUNTIFS(data!E:E,data!$I$2,data!G:G,"&gt;="&amp;B158)</f>
        <v>98</v>
      </c>
      <c r="D158">
        <f>COUNTIFS(data!E:E,data!$J$2,data!G:G,"&gt;="&amp;B158)</f>
        <v>59</v>
      </c>
      <c r="E158">
        <f>COUNTIFS(data!E:E,data!$J$2,data!G:G,"&lt;"&amp;B158)</f>
        <v>303</v>
      </c>
      <c r="F158">
        <f>COUNTIFS(data!E:E,data!$I$2,data!G:G,"&lt;"&amp;B158)</f>
        <v>168</v>
      </c>
      <c r="G158">
        <f t="shared" si="18"/>
        <v>0.16298342541436464</v>
      </c>
      <c r="H158">
        <f t="shared" si="19"/>
        <v>0.36842105263157893</v>
      </c>
      <c r="I158">
        <f t="shared" si="15"/>
        <v>0</v>
      </c>
      <c r="J158">
        <f t="shared" si="20"/>
        <v>0.62420382165605093</v>
      </c>
      <c r="K158">
        <f t="shared" si="21"/>
        <v>0.46335697399527187</v>
      </c>
      <c r="L158">
        <f>A158*COUNTIF(data!E:E,$J$2)/data!$M$2</f>
        <v>66.5</v>
      </c>
      <c r="M158" s="1">
        <f>A158/data!$M$2</f>
        <v>0.25</v>
      </c>
      <c r="N158">
        <f t="shared" si="12"/>
        <v>1.4736842105263157</v>
      </c>
    </row>
    <row r="159" spans="1:14" x14ac:dyDescent="0.2">
      <c r="A159">
        <v>158</v>
      </c>
      <c r="B159">
        <f>LARGE(data!G:G,A159)</f>
        <v>0.57150084430000003</v>
      </c>
      <c r="C159">
        <f>COUNTIFS(data!E:E,data!$I$2,data!G:G,"&gt;="&amp;B159)</f>
        <v>98</v>
      </c>
      <c r="D159">
        <f>COUNTIFS(data!E:E,data!$J$2,data!G:G,"&gt;="&amp;B159)</f>
        <v>60</v>
      </c>
      <c r="E159">
        <f>COUNTIFS(data!E:E,data!$J$2,data!G:G,"&lt;"&amp;B159)</f>
        <v>302</v>
      </c>
      <c r="F159">
        <f>COUNTIFS(data!E:E,data!$I$2,data!G:G,"&lt;"&amp;B159)</f>
        <v>168</v>
      </c>
      <c r="G159">
        <f t="shared" si="18"/>
        <v>0.16574585635359115</v>
      </c>
      <c r="H159">
        <f t="shared" si="19"/>
        <v>0.36842105263157893</v>
      </c>
      <c r="I159">
        <f t="shared" si="15"/>
        <v>1.017737714451873E-3</v>
      </c>
      <c r="J159">
        <f t="shared" si="20"/>
        <v>0.620253164556962</v>
      </c>
      <c r="K159">
        <f t="shared" si="21"/>
        <v>0.46226415094339618</v>
      </c>
      <c r="L159">
        <f>A159*COUNTIF(data!E:E,$J$2)/data!$M$2</f>
        <v>66.923566878980893</v>
      </c>
      <c r="M159" s="1">
        <f>A159/data!$M$2</f>
        <v>0.25159235668789809</v>
      </c>
      <c r="N159">
        <f t="shared" si="12"/>
        <v>1.4643570952698202</v>
      </c>
    </row>
    <row r="160" spans="1:14" x14ac:dyDescent="0.2">
      <c r="A160">
        <v>159</v>
      </c>
      <c r="B160">
        <f>LARGE(data!G:G,A160)</f>
        <v>0.56941930419999998</v>
      </c>
      <c r="C160">
        <f>COUNTIFS(data!E:E,data!$I$2,data!G:G,"&gt;="&amp;B160)</f>
        <v>99</v>
      </c>
      <c r="D160">
        <f>COUNTIFS(data!E:E,data!$J$2,data!G:G,"&gt;="&amp;B160)</f>
        <v>61</v>
      </c>
      <c r="E160">
        <f>COUNTIFS(data!E:E,data!$J$2,data!G:G,"&lt;"&amp;B160)</f>
        <v>301</v>
      </c>
      <c r="F160">
        <f>COUNTIFS(data!E:E,data!$I$2,data!G:G,"&lt;"&amp;B160)</f>
        <v>167</v>
      </c>
      <c r="G160">
        <f t="shared" si="18"/>
        <v>0.16850828729281769</v>
      </c>
      <c r="H160">
        <f t="shared" si="19"/>
        <v>0.37218045112781956</v>
      </c>
      <c r="I160">
        <f t="shared" si="15"/>
        <v>1.0229302538113316E-3</v>
      </c>
      <c r="J160">
        <f t="shared" si="20"/>
        <v>0.61875000000000002</v>
      </c>
      <c r="K160">
        <f t="shared" si="21"/>
        <v>0.46478873239436619</v>
      </c>
      <c r="L160">
        <f>A160*COUNTIF(data!E:E,$J$2)/data!$M$2</f>
        <v>67.347133757961785</v>
      </c>
      <c r="M160" s="1">
        <f>A160/data!$M$2</f>
        <v>0.25318471337579618</v>
      </c>
      <c r="N160">
        <f t="shared" si="12"/>
        <v>1.469995744077174</v>
      </c>
    </row>
    <row r="161" spans="1:14" x14ac:dyDescent="0.2">
      <c r="A161">
        <v>160</v>
      </c>
      <c r="B161">
        <f>LARGE(data!G:G,A161)</f>
        <v>0.56941930419999998</v>
      </c>
      <c r="C161">
        <f>COUNTIFS(data!E:E,data!$I$2,data!G:G,"&gt;="&amp;B161)</f>
        <v>99</v>
      </c>
      <c r="D161">
        <f>COUNTIFS(data!E:E,data!$J$2,data!G:G,"&gt;="&amp;B161)</f>
        <v>61</v>
      </c>
      <c r="E161">
        <f>COUNTIFS(data!E:E,data!$J$2,data!G:G,"&lt;"&amp;B161)</f>
        <v>301</v>
      </c>
      <c r="F161">
        <f>COUNTIFS(data!E:E,data!$I$2,data!G:G,"&lt;"&amp;B161)</f>
        <v>167</v>
      </c>
      <c r="G161">
        <f t="shared" si="18"/>
        <v>0.16850828729281769</v>
      </c>
      <c r="H161">
        <f t="shared" si="19"/>
        <v>0.37218045112781956</v>
      </c>
      <c r="I161">
        <f t="shared" si="15"/>
        <v>0</v>
      </c>
      <c r="J161">
        <f t="shared" si="20"/>
        <v>0.61875000000000002</v>
      </c>
      <c r="K161">
        <f t="shared" si="21"/>
        <v>0.46478873239436619</v>
      </c>
      <c r="L161">
        <f>A161*COUNTIF(data!E:E,$J$2)/data!$M$2</f>
        <v>67.770700636942678</v>
      </c>
      <c r="M161" s="1">
        <f>A161/data!$M$2</f>
        <v>0.25477707006369427</v>
      </c>
      <c r="N161">
        <f t="shared" si="12"/>
        <v>1.4608082706766916</v>
      </c>
    </row>
    <row r="162" spans="1:14" x14ac:dyDescent="0.2">
      <c r="A162">
        <v>161</v>
      </c>
      <c r="B162">
        <f>LARGE(data!G:G,A162)</f>
        <v>0.56938732820000004</v>
      </c>
      <c r="C162">
        <f>COUNTIFS(data!E:E,data!$I$2,data!G:G,"&gt;="&amp;B162)</f>
        <v>99</v>
      </c>
      <c r="D162">
        <f>COUNTIFS(data!E:E,data!$J$2,data!G:G,"&gt;="&amp;B162)</f>
        <v>62</v>
      </c>
      <c r="E162">
        <f>COUNTIFS(data!E:E,data!$J$2,data!G:G,"&lt;"&amp;B162)</f>
        <v>300</v>
      </c>
      <c r="F162">
        <f>COUNTIFS(data!E:E,data!$I$2,data!G:G,"&lt;"&amp;B162)</f>
        <v>167</v>
      </c>
      <c r="G162">
        <f t="shared" si="18"/>
        <v>0.17127071823204421</v>
      </c>
      <c r="H162">
        <f t="shared" si="19"/>
        <v>0.37218045112781956</v>
      </c>
      <c r="I162">
        <f t="shared" si="15"/>
        <v>1.0281227931707695E-3</v>
      </c>
      <c r="J162">
        <f t="shared" si="20"/>
        <v>0.6149068322981367</v>
      </c>
      <c r="K162">
        <f t="shared" si="21"/>
        <v>0.46370023419203743</v>
      </c>
      <c r="L162">
        <f>A162*COUNTIF(data!E:E,$J$2)/data!$M$2</f>
        <v>68.19426751592357</v>
      </c>
      <c r="M162" s="1">
        <f>A162/data!$M$2</f>
        <v>0.25636942675159236</v>
      </c>
      <c r="N162">
        <f t="shared" si="12"/>
        <v>1.4517349273805631</v>
      </c>
    </row>
    <row r="163" spans="1:14" x14ac:dyDescent="0.2">
      <c r="A163">
        <v>162</v>
      </c>
      <c r="B163">
        <f>LARGE(data!G:G,A163)</f>
        <v>0.56892595199999996</v>
      </c>
      <c r="C163">
        <f>COUNTIFS(data!E:E,data!$I$2,data!G:G,"&gt;="&amp;B163)</f>
        <v>100</v>
      </c>
      <c r="D163">
        <f>COUNTIFS(data!E:E,data!$J$2,data!G:G,"&gt;="&amp;B163)</f>
        <v>62</v>
      </c>
      <c r="E163">
        <f>COUNTIFS(data!E:E,data!$J$2,data!G:G,"&lt;"&amp;B163)</f>
        <v>300</v>
      </c>
      <c r="F163">
        <f>COUNTIFS(data!E:E,data!$I$2,data!G:G,"&lt;"&amp;B163)</f>
        <v>166</v>
      </c>
      <c r="G163">
        <f t="shared" si="18"/>
        <v>0.17127071823204421</v>
      </c>
      <c r="H163">
        <f t="shared" si="19"/>
        <v>0.37593984962406013</v>
      </c>
      <c r="I163">
        <f t="shared" si="15"/>
        <v>0</v>
      </c>
      <c r="J163">
        <f t="shared" si="20"/>
        <v>0.61728395061728392</v>
      </c>
      <c r="K163">
        <f t="shared" si="21"/>
        <v>0.46728971962616822</v>
      </c>
      <c r="L163">
        <f>A163*COUNTIF(data!E:E,$J$2)/data!$M$2</f>
        <v>68.617834394904463</v>
      </c>
      <c r="M163" s="1">
        <f>A163/data!$M$2</f>
        <v>0.25796178343949044</v>
      </c>
      <c r="N163">
        <f t="shared" si="12"/>
        <v>1.457347071382159</v>
      </c>
    </row>
    <row r="164" spans="1:14" x14ac:dyDescent="0.2">
      <c r="A164">
        <v>163</v>
      </c>
      <c r="B164">
        <f>LARGE(data!G:G,A164)</f>
        <v>0.5647686502</v>
      </c>
      <c r="C164">
        <f>COUNTIFS(data!E:E,data!$I$2,data!G:G,"&gt;="&amp;B164)</f>
        <v>102</v>
      </c>
      <c r="D164">
        <f>COUNTIFS(data!E:E,data!$J$2,data!G:G,"&gt;="&amp;B164)</f>
        <v>62</v>
      </c>
      <c r="E164">
        <f>COUNTIFS(data!E:E,data!$J$2,data!G:G,"&lt;"&amp;B164)</f>
        <v>300</v>
      </c>
      <c r="F164">
        <f>COUNTIFS(data!E:E,data!$I$2,data!G:G,"&lt;"&amp;B164)</f>
        <v>164</v>
      </c>
      <c r="G164">
        <f t="shared" si="18"/>
        <v>0.17127071823204421</v>
      </c>
      <c r="H164">
        <f t="shared" si="19"/>
        <v>0.38345864661654133</v>
      </c>
      <c r="I164">
        <f t="shared" si="15"/>
        <v>0</v>
      </c>
      <c r="J164">
        <f t="shared" si="20"/>
        <v>0.62195121951219512</v>
      </c>
      <c r="K164">
        <f t="shared" si="21"/>
        <v>0.47441860465116276</v>
      </c>
      <c r="L164">
        <f>A164*COUNTIF(data!E:E,$J$2)/data!$M$2</f>
        <v>69.041401273885356</v>
      </c>
      <c r="M164" s="1">
        <f>A164/data!$M$2</f>
        <v>0.25955414012738853</v>
      </c>
      <c r="N164">
        <f t="shared" si="12"/>
        <v>1.4773744176391899</v>
      </c>
    </row>
    <row r="165" spans="1:14" x14ac:dyDescent="0.2">
      <c r="A165">
        <v>164</v>
      </c>
      <c r="B165">
        <f>LARGE(data!G:G,A165)</f>
        <v>0.5647686502</v>
      </c>
      <c r="C165">
        <f>COUNTIFS(data!E:E,data!$I$2,data!G:G,"&gt;="&amp;B165)</f>
        <v>102</v>
      </c>
      <c r="D165">
        <f>COUNTIFS(data!E:E,data!$J$2,data!G:G,"&gt;="&amp;B165)</f>
        <v>62</v>
      </c>
      <c r="E165">
        <f>COUNTIFS(data!E:E,data!$J$2,data!G:G,"&lt;"&amp;B165)</f>
        <v>300</v>
      </c>
      <c r="F165">
        <f>COUNTIFS(data!E:E,data!$I$2,data!G:G,"&lt;"&amp;B165)</f>
        <v>164</v>
      </c>
      <c r="G165">
        <f t="shared" si="18"/>
        <v>0.17127071823204421</v>
      </c>
      <c r="H165">
        <f t="shared" si="19"/>
        <v>0.38345864661654133</v>
      </c>
      <c r="I165">
        <f t="shared" si="15"/>
        <v>0</v>
      </c>
      <c r="J165">
        <f t="shared" si="20"/>
        <v>0.62195121951219512</v>
      </c>
      <c r="K165">
        <f t="shared" si="21"/>
        <v>0.47441860465116276</v>
      </c>
      <c r="L165">
        <f>A165*COUNTIF(data!E:E,$J$2)/data!$M$2</f>
        <v>69.464968152866248</v>
      </c>
      <c r="M165" s="1">
        <f>A165/data!$M$2</f>
        <v>0.26114649681528662</v>
      </c>
      <c r="N165">
        <f t="shared" si="12"/>
        <v>1.468366037043829</v>
      </c>
    </row>
    <row r="166" spans="1:14" x14ac:dyDescent="0.2">
      <c r="A166">
        <v>165</v>
      </c>
      <c r="B166">
        <f>LARGE(data!G:G,A166)</f>
        <v>0.56421616419999998</v>
      </c>
      <c r="C166">
        <f>COUNTIFS(data!E:E,data!$I$2,data!G:G,"&gt;="&amp;B166)</f>
        <v>102</v>
      </c>
      <c r="D166">
        <f>COUNTIFS(data!E:E,data!$J$2,data!G:G,"&gt;="&amp;B166)</f>
        <v>63</v>
      </c>
      <c r="E166">
        <f>COUNTIFS(data!E:E,data!$J$2,data!G:G,"&lt;"&amp;B166)</f>
        <v>299</v>
      </c>
      <c r="F166">
        <f>COUNTIFS(data!E:E,data!$I$2,data!G:G,"&lt;"&amp;B166)</f>
        <v>164</v>
      </c>
      <c r="G166">
        <f t="shared" si="18"/>
        <v>0.17403314917127072</v>
      </c>
      <c r="H166">
        <f t="shared" si="19"/>
        <v>0.38345864661654133</v>
      </c>
      <c r="I166">
        <f t="shared" si="15"/>
        <v>1.0592780293274596E-3</v>
      </c>
      <c r="J166">
        <f t="shared" si="20"/>
        <v>0.61818181818181817</v>
      </c>
      <c r="K166">
        <f t="shared" si="21"/>
        <v>0.47331786542923432</v>
      </c>
      <c r="L166">
        <f>A166*COUNTIF(data!E:E,$J$2)/data!$M$2</f>
        <v>69.888535031847127</v>
      </c>
      <c r="M166" s="1">
        <f>A166/data!$M$2</f>
        <v>0.26273885350318471</v>
      </c>
      <c r="N166">
        <f t="shared" si="12"/>
        <v>1.4594668489405334</v>
      </c>
    </row>
    <row r="167" spans="1:14" x14ac:dyDescent="0.2">
      <c r="A167">
        <v>166</v>
      </c>
      <c r="B167">
        <f>LARGE(data!G:G,A167)</f>
        <v>0.56420669899999998</v>
      </c>
      <c r="C167">
        <f>COUNTIFS(data!E:E,data!$I$2,data!G:G,"&gt;="&amp;B167)</f>
        <v>102</v>
      </c>
      <c r="D167">
        <f>COUNTIFS(data!E:E,data!$J$2,data!G:G,"&gt;="&amp;B167)</f>
        <v>64</v>
      </c>
      <c r="E167">
        <f>COUNTIFS(data!E:E,data!$J$2,data!G:G,"&lt;"&amp;B167)</f>
        <v>298</v>
      </c>
      <c r="F167">
        <f>COUNTIFS(data!E:E,data!$I$2,data!G:G,"&lt;"&amp;B167)</f>
        <v>164</v>
      </c>
      <c r="G167">
        <f t="shared" si="18"/>
        <v>0.17679558011049723</v>
      </c>
      <c r="H167">
        <f t="shared" si="19"/>
        <v>0.38345864661654133</v>
      </c>
      <c r="I167">
        <f t="shared" si="15"/>
        <v>1.0592780293274596E-3</v>
      </c>
      <c r="J167">
        <f t="shared" si="20"/>
        <v>0.61445783132530118</v>
      </c>
      <c r="K167">
        <f t="shared" si="21"/>
        <v>0.47222222222222221</v>
      </c>
      <c r="L167">
        <f>A167*COUNTIF(data!E:E,$J$2)/data!$M$2</f>
        <v>70.312101910828019</v>
      </c>
      <c r="M167" s="1">
        <f>A167/data!$M$2</f>
        <v>0.2643312101910828</v>
      </c>
      <c r="N167">
        <f t="shared" si="12"/>
        <v>1.4506748799710121</v>
      </c>
    </row>
    <row r="168" spans="1:14" x14ac:dyDescent="0.2">
      <c r="A168">
        <v>167</v>
      </c>
      <c r="B168">
        <f>LARGE(data!G:G,A168)</f>
        <v>0.5618241866</v>
      </c>
      <c r="C168">
        <f>COUNTIFS(data!E:E,data!$I$2,data!G:G,"&gt;="&amp;B168)</f>
        <v>102</v>
      </c>
      <c r="D168">
        <f>COUNTIFS(data!E:E,data!$J$2,data!G:G,"&gt;="&amp;B168)</f>
        <v>65</v>
      </c>
      <c r="E168">
        <f>COUNTIFS(data!E:E,data!$J$2,data!G:G,"&lt;"&amp;B168)</f>
        <v>297</v>
      </c>
      <c r="F168">
        <f>COUNTIFS(data!E:E,data!$I$2,data!G:G,"&lt;"&amp;B168)</f>
        <v>164</v>
      </c>
      <c r="G168">
        <f t="shared" si="18"/>
        <v>0.17955801104972377</v>
      </c>
      <c r="H168">
        <f t="shared" si="19"/>
        <v>0.38345864661654133</v>
      </c>
      <c r="I168">
        <f t="shared" si="15"/>
        <v>1.0592780293274702E-3</v>
      </c>
      <c r="J168">
        <f t="shared" si="20"/>
        <v>0.6107784431137725</v>
      </c>
      <c r="K168">
        <f t="shared" si="21"/>
        <v>0.47113163972286376</v>
      </c>
      <c r="L168">
        <f>A168*COUNTIF(data!E:E,$J$2)/data!$M$2</f>
        <v>70.735668789808912</v>
      </c>
      <c r="M168" s="1">
        <f>A168/data!$M$2</f>
        <v>0.26592356687898089</v>
      </c>
      <c r="N168">
        <f t="shared" si="12"/>
        <v>1.4419882040430418</v>
      </c>
    </row>
    <row r="169" spans="1:14" x14ac:dyDescent="0.2">
      <c r="A169">
        <v>168</v>
      </c>
      <c r="B169">
        <f>LARGE(data!G:G,A169)</f>
        <v>0.56168335049999996</v>
      </c>
      <c r="C169">
        <f>COUNTIFS(data!E:E,data!$I$2,data!G:G,"&gt;="&amp;B169)</f>
        <v>103</v>
      </c>
      <c r="D169">
        <f>COUNTIFS(data!E:E,data!$J$2,data!G:G,"&gt;="&amp;B169)</f>
        <v>65</v>
      </c>
      <c r="E169">
        <f>COUNTIFS(data!E:E,data!$J$2,data!G:G,"&lt;"&amp;B169)</f>
        <v>297</v>
      </c>
      <c r="F169">
        <f>COUNTIFS(data!E:E,data!$I$2,data!G:G,"&lt;"&amp;B169)</f>
        <v>163</v>
      </c>
      <c r="G169">
        <f t="shared" si="18"/>
        <v>0.17955801104972377</v>
      </c>
      <c r="H169">
        <f t="shared" si="19"/>
        <v>0.38721804511278196</v>
      </c>
      <c r="I169">
        <f t="shared" si="15"/>
        <v>0</v>
      </c>
      <c r="J169">
        <f t="shared" si="20"/>
        <v>0.61309523809523814</v>
      </c>
      <c r="K169">
        <f t="shared" si="21"/>
        <v>0.47465437788018428</v>
      </c>
      <c r="L169">
        <f>A169*COUNTIF(data!E:E,$J$2)/data!$M$2</f>
        <v>71.159235668789805</v>
      </c>
      <c r="M169" s="1">
        <f>A169/data!$M$2</f>
        <v>0.26751592356687898</v>
      </c>
      <c r="N169">
        <f t="shared" si="12"/>
        <v>1.4474579305406374</v>
      </c>
    </row>
    <row r="170" spans="1:14" x14ac:dyDescent="0.2">
      <c r="A170">
        <v>169</v>
      </c>
      <c r="B170">
        <f>LARGE(data!G:G,A170)</f>
        <v>0.56121294939999999</v>
      </c>
      <c r="C170">
        <f>COUNTIFS(data!E:E,data!$I$2,data!G:G,"&gt;="&amp;B170)</f>
        <v>104</v>
      </c>
      <c r="D170">
        <f>COUNTIFS(data!E:E,data!$J$2,data!G:G,"&gt;="&amp;B170)</f>
        <v>65</v>
      </c>
      <c r="E170">
        <f>COUNTIFS(data!E:E,data!$J$2,data!G:G,"&lt;"&amp;B170)</f>
        <v>297</v>
      </c>
      <c r="F170">
        <f>COUNTIFS(data!E:E,data!$I$2,data!G:G,"&lt;"&amp;B170)</f>
        <v>162</v>
      </c>
      <c r="G170">
        <f t="shared" si="18"/>
        <v>0.17955801104972377</v>
      </c>
      <c r="H170">
        <f t="shared" si="19"/>
        <v>0.39097744360902253</v>
      </c>
      <c r="I170">
        <f t="shared" si="15"/>
        <v>0</v>
      </c>
      <c r="J170">
        <f t="shared" si="20"/>
        <v>0.61538461538461542</v>
      </c>
      <c r="K170">
        <f t="shared" si="21"/>
        <v>0.47816091954022988</v>
      </c>
      <c r="L170">
        <f>A170*COUNTIF(data!E:E,$J$2)/data!$M$2</f>
        <v>71.582802547770697</v>
      </c>
      <c r="M170" s="1">
        <f>A170/data!$M$2</f>
        <v>0.26910828025477707</v>
      </c>
      <c r="N170">
        <f t="shared" si="12"/>
        <v>1.4528629265471371</v>
      </c>
    </row>
    <row r="171" spans="1:14" x14ac:dyDescent="0.2">
      <c r="A171">
        <v>170</v>
      </c>
      <c r="B171">
        <f>LARGE(data!G:G,A171)</f>
        <v>0.55905747729999999</v>
      </c>
      <c r="C171">
        <f>COUNTIFS(data!E:E,data!$I$2,data!G:G,"&gt;="&amp;B171)</f>
        <v>104</v>
      </c>
      <c r="D171">
        <f>COUNTIFS(data!E:E,data!$J$2,data!G:G,"&gt;="&amp;B171)</f>
        <v>66</v>
      </c>
      <c r="E171">
        <f>COUNTIFS(data!E:E,data!$J$2,data!G:G,"&lt;"&amp;B171)</f>
        <v>296</v>
      </c>
      <c r="F171">
        <f>COUNTIFS(data!E:E,data!$I$2,data!G:G,"&lt;"&amp;B171)</f>
        <v>162</v>
      </c>
      <c r="G171">
        <f t="shared" si="18"/>
        <v>0.18232044198895028</v>
      </c>
      <c r="H171">
        <f t="shared" si="19"/>
        <v>0.39097744360902253</v>
      </c>
      <c r="I171">
        <f t="shared" si="15"/>
        <v>1.0800481867652529E-3</v>
      </c>
      <c r="J171">
        <f t="shared" si="20"/>
        <v>0.61176470588235299</v>
      </c>
      <c r="K171">
        <f t="shared" si="21"/>
        <v>0.47706422018348621</v>
      </c>
      <c r="L171">
        <f>A171*COUNTIF(data!E:E,$J$2)/data!$M$2</f>
        <v>72.00636942675159</v>
      </c>
      <c r="M171" s="1">
        <f>A171/data!$M$2</f>
        <v>0.27070063694267515</v>
      </c>
      <c r="N171">
        <f t="shared" si="12"/>
        <v>1.4443166740380362</v>
      </c>
    </row>
    <row r="172" spans="1:14" x14ac:dyDescent="0.2">
      <c r="A172">
        <v>171</v>
      </c>
      <c r="B172">
        <f>LARGE(data!G:G,A172)</f>
        <v>0.55772604370000001</v>
      </c>
      <c r="C172">
        <f>COUNTIFS(data!E:E,data!$I$2,data!G:G,"&gt;="&amp;B172)</f>
        <v>104</v>
      </c>
      <c r="D172">
        <f>COUNTIFS(data!E:E,data!$J$2,data!G:G,"&gt;="&amp;B172)</f>
        <v>67</v>
      </c>
      <c r="E172">
        <f>COUNTIFS(data!E:E,data!$J$2,data!G:G,"&lt;"&amp;B172)</f>
        <v>295</v>
      </c>
      <c r="F172">
        <f>COUNTIFS(data!E:E,data!$I$2,data!G:G,"&lt;"&amp;B172)</f>
        <v>162</v>
      </c>
      <c r="G172">
        <f t="shared" si="18"/>
        <v>0.18508287292817679</v>
      </c>
      <c r="H172">
        <f t="shared" si="19"/>
        <v>0.39097744360902253</v>
      </c>
      <c r="I172">
        <f t="shared" si="15"/>
        <v>1.0800481867652529E-3</v>
      </c>
      <c r="J172">
        <f t="shared" si="20"/>
        <v>0.60818713450292394</v>
      </c>
      <c r="K172">
        <f t="shared" si="21"/>
        <v>0.47597254004576656</v>
      </c>
      <c r="L172">
        <f>A172*COUNTIF(data!E:E,$J$2)/data!$M$2</f>
        <v>72.429936305732483</v>
      </c>
      <c r="M172" s="1">
        <f>A172/data!$M$2</f>
        <v>0.27229299363057324</v>
      </c>
      <c r="N172">
        <f t="shared" si="12"/>
        <v>1.4358703776986326</v>
      </c>
    </row>
    <row r="173" spans="1:14" x14ac:dyDescent="0.2">
      <c r="A173">
        <v>172</v>
      </c>
      <c r="B173">
        <f>LARGE(data!G:G,A173)</f>
        <v>0.55760050900000002</v>
      </c>
      <c r="C173">
        <f>COUNTIFS(data!E:E,data!$I$2,data!G:G,"&gt;="&amp;B173)</f>
        <v>104</v>
      </c>
      <c r="D173">
        <f>COUNTIFS(data!E:E,data!$J$2,data!G:G,"&gt;="&amp;B173)</f>
        <v>68</v>
      </c>
      <c r="E173">
        <f>COUNTIFS(data!E:E,data!$J$2,data!G:G,"&lt;"&amp;B173)</f>
        <v>294</v>
      </c>
      <c r="F173">
        <f>COUNTIFS(data!E:E,data!$I$2,data!G:G,"&lt;"&amp;B173)</f>
        <v>162</v>
      </c>
      <c r="G173">
        <f t="shared" si="18"/>
        <v>0.18784530386740331</v>
      </c>
      <c r="H173">
        <f t="shared" si="19"/>
        <v>0.39097744360902253</v>
      </c>
      <c r="I173">
        <f t="shared" si="15"/>
        <v>1.0800481867652529E-3</v>
      </c>
      <c r="J173">
        <f t="shared" si="20"/>
        <v>0.60465116279069764</v>
      </c>
      <c r="K173">
        <f t="shared" si="21"/>
        <v>0.47488584474885842</v>
      </c>
      <c r="L173">
        <f>A173*COUNTIF(data!E:E,$J$2)/data!$M$2</f>
        <v>72.853503184713375</v>
      </c>
      <c r="M173" s="1">
        <f>A173/data!$M$2</f>
        <v>0.27388535031847133</v>
      </c>
      <c r="N173">
        <f t="shared" si="12"/>
        <v>1.4275222941073615</v>
      </c>
    </row>
    <row r="174" spans="1:14" x14ac:dyDescent="0.2">
      <c r="A174">
        <v>173</v>
      </c>
      <c r="B174">
        <f>LARGE(data!G:G,A174)</f>
        <v>0.55718726679999997</v>
      </c>
      <c r="C174">
        <f>COUNTIFS(data!E:E,data!$I$2,data!G:G,"&gt;="&amp;B174)</f>
        <v>104</v>
      </c>
      <c r="D174">
        <f>COUNTIFS(data!E:E,data!$J$2,data!G:G,"&gt;="&amp;B174)</f>
        <v>69</v>
      </c>
      <c r="E174">
        <f>COUNTIFS(data!E:E,data!$J$2,data!G:G,"&lt;"&amp;B174)</f>
        <v>293</v>
      </c>
      <c r="F174">
        <f>COUNTIFS(data!E:E,data!$I$2,data!G:G,"&lt;"&amp;B174)</f>
        <v>162</v>
      </c>
      <c r="G174">
        <f t="shared" si="18"/>
        <v>0.19060773480662985</v>
      </c>
      <c r="H174">
        <f t="shared" si="19"/>
        <v>0.39097744360902253</v>
      </c>
      <c r="I174">
        <f t="shared" si="15"/>
        <v>1.0800481867652637E-3</v>
      </c>
      <c r="J174">
        <f t="shared" si="20"/>
        <v>0.60115606936416188</v>
      </c>
      <c r="K174">
        <f t="shared" si="21"/>
        <v>0.4738041002277904</v>
      </c>
      <c r="L174">
        <f>A174*COUNTIF(data!E:E,$J$2)/data!$M$2</f>
        <v>73.277070063694268</v>
      </c>
      <c r="M174" s="1">
        <f>A174/data!$M$2</f>
        <v>0.27547770700636942</v>
      </c>
      <c r="N174">
        <f t="shared" si="12"/>
        <v>1.4192707201529835</v>
      </c>
    </row>
    <row r="175" spans="1:14" x14ac:dyDescent="0.2">
      <c r="A175">
        <v>174</v>
      </c>
      <c r="B175">
        <f>LARGE(data!G:G,A175)</f>
        <v>0.55403900760000002</v>
      </c>
      <c r="C175">
        <f>COUNTIFS(data!E:E,data!$I$2,data!G:G,"&gt;="&amp;B175)</f>
        <v>104</v>
      </c>
      <c r="D175">
        <f>COUNTIFS(data!E:E,data!$J$2,data!G:G,"&gt;="&amp;B175)</f>
        <v>70</v>
      </c>
      <c r="E175">
        <f>COUNTIFS(data!E:E,data!$J$2,data!G:G,"&lt;"&amp;B175)</f>
        <v>292</v>
      </c>
      <c r="F175">
        <f>COUNTIFS(data!E:E,data!$I$2,data!G:G,"&lt;"&amp;B175)</f>
        <v>162</v>
      </c>
      <c r="G175">
        <f t="shared" si="18"/>
        <v>0.19337016574585636</v>
      </c>
      <c r="H175">
        <f t="shared" si="19"/>
        <v>0.39097744360902253</v>
      </c>
      <c r="I175">
        <f t="shared" si="15"/>
        <v>1.0800481867652529E-3</v>
      </c>
      <c r="J175">
        <f t="shared" si="20"/>
        <v>0.5977011494252874</v>
      </c>
      <c r="K175">
        <f t="shared" si="21"/>
        <v>0.47272727272727272</v>
      </c>
      <c r="L175">
        <f>A175*COUNTIF(data!E:E,$J$2)/data!$M$2</f>
        <v>73.70063694267516</v>
      </c>
      <c r="M175" s="1">
        <f>A175/data!$M$2</f>
        <v>0.27707006369426751</v>
      </c>
      <c r="N175">
        <f t="shared" si="12"/>
        <v>1.4111139918762423</v>
      </c>
    </row>
    <row r="176" spans="1:14" x14ac:dyDescent="0.2">
      <c r="A176">
        <v>175</v>
      </c>
      <c r="B176">
        <f>LARGE(data!G:G,A176)</f>
        <v>0.55347613529999995</v>
      </c>
      <c r="C176">
        <f>COUNTIFS(data!E:E,data!$I$2,data!G:G,"&gt;="&amp;B176)</f>
        <v>105</v>
      </c>
      <c r="D176">
        <f>COUNTIFS(data!E:E,data!$J$2,data!G:G,"&gt;="&amp;B176)</f>
        <v>70</v>
      </c>
      <c r="E176">
        <f>COUNTIFS(data!E:E,data!$J$2,data!G:G,"&lt;"&amp;B176)</f>
        <v>292</v>
      </c>
      <c r="F176">
        <f>COUNTIFS(data!E:E,data!$I$2,data!G:G,"&lt;"&amp;B176)</f>
        <v>161</v>
      </c>
      <c r="G176">
        <f t="shared" si="18"/>
        <v>0.19337016574585636</v>
      </c>
      <c r="H176">
        <f t="shared" si="19"/>
        <v>0.39473684210526316</v>
      </c>
      <c r="I176">
        <f t="shared" si="15"/>
        <v>0</v>
      </c>
      <c r="J176">
        <f t="shared" si="20"/>
        <v>0.6</v>
      </c>
      <c r="K176">
        <f t="shared" si="21"/>
        <v>0.47619047619047616</v>
      </c>
      <c r="L176">
        <f>A176*COUNTIF(data!E:E,$J$2)/data!$M$2</f>
        <v>74.124203821656053</v>
      </c>
      <c r="M176" s="1">
        <f>A176/data!$M$2</f>
        <v>0.2786624203821656</v>
      </c>
      <c r="N176">
        <f t="shared" si="12"/>
        <v>1.4165413533834585</v>
      </c>
    </row>
    <row r="177" spans="1:14" x14ac:dyDescent="0.2">
      <c r="A177">
        <v>176</v>
      </c>
      <c r="B177">
        <f>LARGE(data!G:G,A177)</f>
        <v>0.55273285459999999</v>
      </c>
      <c r="C177">
        <f>COUNTIFS(data!E:E,data!$I$2,data!G:G,"&gt;="&amp;B177)</f>
        <v>105</v>
      </c>
      <c r="D177">
        <f>COUNTIFS(data!E:E,data!$J$2,data!G:G,"&gt;="&amp;B177)</f>
        <v>71</v>
      </c>
      <c r="E177">
        <f>COUNTIFS(data!E:E,data!$J$2,data!G:G,"&lt;"&amp;B177)</f>
        <v>291</v>
      </c>
      <c r="F177">
        <f>COUNTIFS(data!E:E,data!$I$2,data!G:G,"&lt;"&amp;B177)</f>
        <v>161</v>
      </c>
      <c r="G177">
        <f t="shared" si="18"/>
        <v>0.19613259668508287</v>
      </c>
      <c r="H177">
        <f t="shared" si="19"/>
        <v>0.39473684210526316</v>
      </c>
      <c r="I177">
        <f t="shared" si="15"/>
        <v>1.0904332654841497E-3</v>
      </c>
      <c r="J177">
        <f t="shared" si="20"/>
        <v>0.59659090909090906</v>
      </c>
      <c r="K177">
        <f t="shared" si="21"/>
        <v>0.47511312217194573</v>
      </c>
      <c r="L177">
        <f>A177*COUNTIF(data!E:E,$J$2)/data!$M$2</f>
        <v>74.547770700636946</v>
      </c>
      <c r="M177" s="1">
        <f>A177/data!$M$2</f>
        <v>0.28025477707006369</v>
      </c>
      <c r="N177">
        <f t="shared" si="12"/>
        <v>1.408492822966507</v>
      </c>
    </row>
    <row r="178" spans="1:14" x14ac:dyDescent="0.2">
      <c r="A178">
        <v>177</v>
      </c>
      <c r="B178">
        <f>LARGE(data!G:G,A178)</f>
        <v>0.55100400679999995</v>
      </c>
      <c r="C178">
        <f>COUNTIFS(data!E:E,data!$I$2,data!G:G,"&gt;="&amp;B178)</f>
        <v>105</v>
      </c>
      <c r="D178">
        <f>COUNTIFS(data!E:E,data!$J$2,data!G:G,"&gt;="&amp;B178)</f>
        <v>72</v>
      </c>
      <c r="E178">
        <f>COUNTIFS(data!E:E,data!$J$2,data!G:G,"&lt;"&amp;B178)</f>
        <v>290</v>
      </c>
      <c r="F178">
        <f>COUNTIFS(data!E:E,data!$I$2,data!G:G,"&lt;"&amp;B178)</f>
        <v>161</v>
      </c>
      <c r="G178">
        <f t="shared" si="18"/>
        <v>0.19889502762430938</v>
      </c>
      <c r="H178">
        <f t="shared" si="19"/>
        <v>0.39473684210526316</v>
      </c>
      <c r="I178">
        <f t="shared" si="15"/>
        <v>1.0904332654841497E-3</v>
      </c>
      <c r="J178">
        <f t="shared" si="20"/>
        <v>0.59322033898305082</v>
      </c>
      <c r="K178">
        <f t="shared" si="21"/>
        <v>0.47404063205417607</v>
      </c>
      <c r="L178">
        <f>A178*COUNTIF(data!E:E,$J$2)/data!$M$2</f>
        <v>74.971337579617838</v>
      </c>
      <c r="M178" s="1">
        <f>A178/data!$M$2</f>
        <v>0.28184713375796178</v>
      </c>
      <c r="N178">
        <f t="shared" si="12"/>
        <v>1.4005352363960748</v>
      </c>
    </row>
    <row r="179" spans="1:14" x14ac:dyDescent="0.2">
      <c r="A179">
        <v>178</v>
      </c>
      <c r="B179">
        <f>LARGE(data!G:G,A179)</f>
        <v>0.54920049339999999</v>
      </c>
      <c r="C179">
        <f>COUNTIFS(data!E:E,data!$I$2,data!G:G,"&gt;="&amp;B179)</f>
        <v>105</v>
      </c>
      <c r="D179">
        <f>COUNTIFS(data!E:E,data!$J$2,data!G:G,"&gt;="&amp;B179)</f>
        <v>73</v>
      </c>
      <c r="E179">
        <f>COUNTIFS(data!E:E,data!$J$2,data!G:G,"&lt;"&amp;B179)</f>
        <v>289</v>
      </c>
      <c r="F179">
        <f>COUNTIFS(data!E:E,data!$I$2,data!G:G,"&lt;"&amp;B179)</f>
        <v>161</v>
      </c>
      <c r="G179">
        <f t="shared" si="18"/>
        <v>0.20165745856353592</v>
      </c>
      <c r="H179">
        <f t="shared" si="19"/>
        <v>0.39473684210526316</v>
      </c>
      <c r="I179">
        <f t="shared" si="15"/>
        <v>1.0904332654841605E-3</v>
      </c>
      <c r="J179">
        <f t="shared" si="20"/>
        <v>0.5898876404494382</v>
      </c>
      <c r="K179">
        <f t="shared" si="21"/>
        <v>0.47297297297297297</v>
      </c>
      <c r="L179">
        <f>A179*COUNTIF(data!E:E,$J$2)/data!$M$2</f>
        <v>75.394904458598731</v>
      </c>
      <c r="M179" s="1">
        <f>A179/data!$M$2</f>
        <v>0.28343949044585987</v>
      </c>
      <c r="N179">
        <f t="shared" si="12"/>
        <v>1.3926670609107037</v>
      </c>
    </row>
    <row r="180" spans="1:14" x14ac:dyDescent="0.2">
      <c r="A180">
        <v>179</v>
      </c>
      <c r="B180">
        <f>LARGE(data!G:G,A180)</f>
        <v>0.5491624624</v>
      </c>
      <c r="C180">
        <f>COUNTIFS(data!E:E,data!$I$2,data!G:G,"&gt;="&amp;B180)</f>
        <v>106</v>
      </c>
      <c r="D180">
        <f>COUNTIFS(data!E:E,data!$J$2,data!G:G,"&gt;="&amp;B180)</f>
        <v>73</v>
      </c>
      <c r="E180">
        <f>COUNTIFS(data!E:E,data!$J$2,data!G:G,"&lt;"&amp;B180)</f>
        <v>289</v>
      </c>
      <c r="F180">
        <f>COUNTIFS(data!E:E,data!$I$2,data!G:G,"&lt;"&amp;B180)</f>
        <v>160</v>
      </c>
      <c r="G180">
        <f t="shared" si="18"/>
        <v>0.20165745856353592</v>
      </c>
      <c r="H180">
        <f t="shared" si="19"/>
        <v>0.39849624060150374</v>
      </c>
      <c r="I180">
        <f t="shared" si="15"/>
        <v>0</v>
      </c>
      <c r="J180">
        <f t="shared" si="20"/>
        <v>0.59217877094972071</v>
      </c>
      <c r="K180">
        <f t="shared" si="21"/>
        <v>0.47640449438202248</v>
      </c>
      <c r="L180">
        <f>A180*COUNTIF(data!E:E,$J$2)/data!$M$2</f>
        <v>75.818471337579624</v>
      </c>
      <c r="M180" s="1">
        <f>A180/data!$M$2</f>
        <v>0.28503184713375795</v>
      </c>
      <c r="N180">
        <f t="shared" si="12"/>
        <v>1.398076196076784</v>
      </c>
    </row>
    <row r="181" spans="1:14" x14ac:dyDescent="0.2">
      <c r="A181">
        <v>180</v>
      </c>
      <c r="B181">
        <f>LARGE(data!G:G,A181)</f>
        <v>0.54850627679999997</v>
      </c>
      <c r="C181">
        <f>COUNTIFS(data!E:E,data!$I$2,data!G:G,"&gt;="&amp;B181)</f>
        <v>106</v>
      </c>
      <c r="D181">
        <f>COUNTIFS(data!E:E,data!$J$2,data!G:G,"&gt;="&amp;B181)</f>
        <v>74</v>
      </c>
      <c r="E181">
        <f>COUNTIFS(data!E:E,data!$J$2,data!G:G,"&lt;"&amp;B181)</f>
        <v>288</v>
      </c>
      <c r="F181">
        <f>COUNTIFS(data!E:E,data!$I$2,data!G:G,"&lt;"&amp;B181)</f>
        <v>160</v>
      </c>
      <c r="G181">
        <f t="shared" si="18"/>
        <v>0.20441988950276244</v>
      </c>
      <c r="H181">
        <f t="shared" si="19"/>
        <v>0.39849624060150374</v>
      </c>
      <c r="I181">
        <f t="shared" si="15"/>
        <v>1.1008183442030462E-3</v>
      </c>
      <c r="J181">
        <f t="shared" si="20"/>
        <v>0.58888888888888891</v>
      </c>
      <c r="K181">
        <f t="shared" si="21"/>
        <v>0.47533632286995514</v>
      </c>
      <c r="L181">
        <f>A181*COUNTIF(data!E:E,$J$2)/data!$M$2</f>
        <v>76.242038216560516</v>
      </c>
      <c r="M181" s="1">
        <f>A181/data!$M$2</f>
        <v>0.28662420382165604</v>
      </c>
      <c r="N181">
        <f t="shared" si="12"/>
        <v>1.3903091060985797</v>
      </c>
    </row>
    <row r="182" spans="1:14" x14ac:dyDescent="0.2">
      <c r="A182">
        <v>181</v>
      </c>
      <c r="B182">
        <f>LARGE(data!G:G,A182)</f>
        <v>0.54790195060000002</v>
      </c>
      <c r="C182">
        <f>COUNTIFS(data!E:E,data!$I$2,data!G:G,"&gt;="&amp;B182)</f>
        <v>106</v>
      </c>
      <c r="D182">
        <f>COUNTIFS(data!E:E,data!$J$2,data!G:G,"&gt;="&amp;B182)</f>
        <v>75</v>
      </c>
      <c r="E182">
        <f>COUNTIFS(data!E:E,data!$J$2,data!G:G,"&lt;"&amp;B182)</f>
        <v>287</v>
      </c>
      <c r="F182">
        <f>COUNTIFS(data!E:E,data!$I$2,data!G:G,"&lt;"&amp;B182)</f>
        <v>160</v>
      </c>
      <c r="G182">
        <f t="shared" si="18"/>
        <v>0.20718232044198895</v>
      </c>
      <c r="H182">
        <f t="shared" si="19"/>
        <v>0.39849624060150374</v>
      </c>
      <c r="I182">
        <f t="shared" si="15"/>
        <v>1.1008183442030462E-3</v>
      </c>
      <c r="J182">
        <f t="shared" si="20"/>
        <v>0.58563535911602205</v>
      </c>
      <c r="K182">
        <f t="shared" si="21"/>
        <v>0.47427293064876958</v>
      </c>
      <c r="L182">
        <f>A182*COUNTIF(data!E:E,$J$2)/data!$M$2</f>
        <v>76.665605095541395</v>
      </c>
      <c r="M182" s="1">
        <f>A182/data!$M$2</f>
        <v>0.28821656050955413</v>
      </c>
      <c r="N182">
        <f t="shared" si="12"/>
        <v>1.3826278403190297</v>
      </c>
    </row>
    <row r="183" spans="1:14" x14ac:dyDescent="0.2">
      <c r="A183">
        <v>182</v>
      </c>
      <c r="B183">
        <f>LARGE(data!G:G,A183)</f>
        <v>0.54774458100000001</v>
      </c>
      <c r="C183">
        <f>COUNTIFS(data!E:E,data!$I$2,data!G:G,"&gt;="&amp;B183)</f>
        <v>107</v>
      </c>
      <c r="D183">
        <f>COUNTIFS(data!E:E,data!$J$2,data!G:G,"&gt;="&amp;B183)</f>
        <v>75</v>
      </c>
      <c r="E183">
        <f>COUNTIFS(data!E:E,data!$J$2,data!G:G,"&lt;"&amp;B183)</f>
        <v>287</v>
      </c>
      <c r="F183">
        <f>COUNTIFS(data!E:E,data!$I$2,data!G:G,"&lt;"&amp;B183)</f>
        <v>159</v>
      </c>
      <c r="G183">
        <f t="shared" si="18"/>
        <v>0.20718232044198895</v>
      </c>
      <c r="H183">
        <f t="shared" si="19"/>
        <v>0.40225563909774437</v>
      </c>
      <c r="I183">
        <f t="shared" si="15"/>
        <v>0</v>
      </c>
      <c r="J183">
        <f t="shared" si="20"/>
        <v>0.58791208791208793</v>
      </c>
      <c r="K183">
        <f t="shared" si="21"/>
        <v>0.4776785714285714</v>
      </c>
      <c r="L183">
        <f>A183*COUNTIF(data!E:E,$J$2)/data!$M$2</f>
        <v>77.089171974522287</v>
      </c>
      <c r="M183" s="1">
        <f>A183/data!$M$2</f>
        <v>0.28980891719745222</v>
      </c>
      <c r="N183">
        <f t="shared" si="12"/>
        <v>1.38800297446914</v>
      </c>
    </row>
    <row r="184" spans="1:14" x14ac:dyDescent="0.2">
      <c r="A184">
        <v>183</v>
      </c>
      <c r="B184">
        <f>LARGE(data!G:G,A184)</f>
        <v>0.54433914110000003</v>
      </c>
      <c r="C184">
        <f>COUNTIFS(data!E:E,data!$I$2,data!G:G,"&gt;="&amp;B184)</f>
        <v>108</v>
      </c>
      <c r="D184">
        <f>COUNTIFS(data!E:E,data!$J$2,data!G:G,"&gt;="&amp;B184)</f>
        <v>75</v>
      </c>
      <c r="E184">
        <f>COUNTIFS(data!E:E,data!$J$2,data!G:G,"&lt;"&amp;B184)</f>
        <v>287</v>
      </c>
      <c r="F184">
        <f>COUNTIFS(data!E:E,data!$I$2,data!G:G,"&lt;"&amp;B184)</f>
        <v>158</v>
      </c>
      <c r="G184">
        <f t="shared" si="18"/>
        <v>0.20718232044198895</v>
      </c>
      <c r="H184">
        <f t="shared" si="19"/>
        <v>0.40601503759398494</v>
      </c>
      <c r="I184">
        <f t="shared" si="15"/>
        <v>0</v>
      </c>
      <c r="J184">
        <f t="shared" si="20"/>
        <v>0.5901639344262295</v>
      </c>
      <c r="K184">
        <f t="shared" si="21"/>
        <v>0.4810690423162583</v>
      </c>
      <c r="L184">
        <f>A184*COUNTIF(data!E:E,$J$2)/data!$M$2</f>
        <v>77.51273885350318</v>
      </c>
      <c r="M184" s="1">
        <f>A184/data!$M$2</f>
        <v>0.29140127388535031</v>
      </c>
      <c r="N184">
        <f t="shared" si="12"/>
        <v>1.3933193639837298</v>
      </c>
    </row>
    <row r="185" spans="1:14" x14ac:dyDescent="0.2">
      <c r="A185">
        <v>184</v>
      </c>
      <c r="B185">
        <f>LARGE(data!G:G,A185)</f>
        <v>0.54405083320000003</v>
      </c>
      <c r="C185">
        <f>COUNTIFS(data!E:E,data!$I$2,data!G:G,"&gt;="&amp;B185)</f>
        <v>109</v>
      </c>
      <c r="D185">
        <f>COUNTIFS(data!E:E,data!$J$2,data!G:G,"&gt;="&amp;B185)</f>
        <v>75</v>
      </c>
      <c r="E185">
        <f>COUNTIFS(data!E:E,data!$J$2,data!G:G,"&lt;"&amp;B185)</f>
        <v>287</v>
      </c>
      <c r="F185">
        <f>COUNTIFS(data!E:E,data!$I$2,data!G:G,"&lt;"&amp;B185)</f>
        <v>157</v>
      </c>
      <c r="G185">
        <f t="shared" si="18"/>
        <v>0.20718232044198895</v>
      </c>
      <c r="H185">
        <f t="shared" si="19"/>
        <v>0.40977443609022557</v>
      </c>
      <c r="I185">
        <f t="shared" si="15"/>
        <v>0</v>
      </c>
      <c r="J185">
        <f t="shared" si="20"/>
        <v>0.59239130434782605</v>
      </c>
      <c r="K185">
        <f t="shared" si="21"/>
        <v>0.48444444444444451</v>
      </c>
      <c r="L185">
        <f>A185*COUNTIF(data!E:E,$J$2)/data!$M$2</f>
        <v>77.936305732484072</v>
      </c>
      <c r="M185" s="1">
        <f>A185/data!$M$2</f>
        <v>0.2929936305732484</v>
      </c>
      <c r="N185">
        <f t="shared" si="12"/>
        <v>1.3985779666557698</v>
      </c>
    </row>
    <row r="186" spans="1:14" x14ac:dyDescent="0.2">
      <c r="A186">
        <v>185</v>
      </c>
      <c r="B186">
        <f>LARGE(data!G:G,A186)</f>
        <v>0.54381980819999998</v>
      </c>
      <c r="C186">
        <f>COUNTIFS(data!E:E,data!$I$2,data!G:G,"&gt;="&amp;B186)</f>
        <v>112</v>
      </c>
      <c r="D186">
        <f>COUNTIFS(data!E:E,data!$J$2,data!G:G,"&gt;="&amp;B186)</f>
        <v>75</v>
      </c>
      <c r="E186">
        <f>COUNTIFS(data!E:E,data!$J$2,data!G:G,"&lt;"&amp;B186)</f>
        <v>287</v>
      </c>
      <c r="F186">
        <f>COUNTIFS(data!E:E,data!$I$2,data!G:G,"&lt;"&amp;B186)</f>
        <v>154</v>
      </c>
      <c r="G186">
        <f t="shared" si="18"/>
        <v>0.20718232044198895</v>
      </c>
      <c r="H186">
        <f t="shared" si="19"/>
        <v>0.42105263157894735</v>
      </c>
      <c r="I186">
        <f t="shared" si="15"/>
        <v>0</v>
      </c>
      <c r="J186">
        <f t="shared" si="20"/>
        <v>0.59893048128342241</v>
      </c>
      <c r="K186">
        <f t="shared" si="21"/>
        <v>0.49448123620309042</v>
      </c>
      <c r="L186">
        <f>A186*COUNTIF(data!E:E,$J$2)/data!$M$2</f>
        <v>78.359872611464965</v>
      </c>
      <c r="M186" s="1">
        <f>A186/data!$M$2</f>
        <v>0.29458598726114649</v>
      </c>
      <c r="N186">
        <f t="shared" si="12"/>
        <v>1.4293029871977241</v>
      </c>
    </row>
    <row r="187" spans="1:14" x14ac:dyDescent="0.2">
      <c r="A187">
        <v>186</v>
      </c>
      <c r="B187">
        <f>LARGE(data!G:G,A187)</f>
        <v>0.54381980819999998</v>
      </c>
      <c r="C187">
        <f>COUNTIFS(data!E:E,data!$I$2,data!G:G,"&gt;="&amp;B187)</f>
        <v>112</v>
      </c>
      <c r="D187">
        <f>COUNTIFS(data!E:E,data!$J$2,data!G:G,"&gt;="&amp;B187)</f>
        <v>75</v>
      </c>
      <c r="E187">
        <f>COUNTIFS(data!E:E,data!$J$2,data!G:G,"&lt;"&amp;B187)</f>
        <v>287</v>
      </c>
      <c r="F187">
        <f>COUNTIFS(data!E:E,data!$I$2,data!G:G,"&lt;"&amp;B187)</f>
        <v>154</v>
      </c>
      <c r="G187">
        <f t="shared" si="18"/>
        <v>0.20718232044198895</v>
      </c>
      <c r="H187">
        <f t="shared" si="19"/>
        <v>0.42105263157894735</v>
      </c>
      <c r="I187">
        <f t="shared" si="15"/>
        <v>0</v>
      </c>
      <c r="J187">
        <f t="shared" si="20"/>
        <v>0.59893048128342241</v>
      </c>
      <c r="K187">
        <f t="shared" si="21"/>
        <v>0.49448123620309042</v>
      </c>
      <c r="L187">
        <f>A187*COUNTIF(data!E:E,$J$2)/data!$M$2</f>
        <v>78.783439490445858</v>
      </c>
      <c r="M187" s="1">
        <f>A187/data!$M$2</f>
        <v>0.29617834394904458</v>
      </c>
      <c r="N187">
        <f t="shared" si="12"/>
        <v>1.4216185625353708</v>
      </c>
    </row>
    <row r="188" spans="1:14" x14ac:dyDescent="0.2">
      <c r="A188">
        <v>187</v>
      </c>
      <c r="B188">
        <f>LARGE(data!G:G,A188)</f>
        <v>0.54381980819999998</v>
      </c>
      <c r="C188">
        <f>COUNTIFS(data!E:E,data!$I$2,data!G:G,"&gt;="&amp;B188)</f>
        <v>112</v>
      </c>
      <c r="D188">
        <f>COUNTIFS(data!E:E,data!$J$2,data!G:G,"&gt;="&amp;B188)</f>
        <v>75</v>
      </c>
      <c r="E188">
        <f>COUNTIFS(data!E:E,data!$J$2,data!G:G,"&lt;"&amp;B188)</f>
        <v>287</v>
      </c>
      <c r="F188">
        <f>COUNTIFS(data!E:E,data!$I$2,data!G:G,"&lt;"&amp;B188)</f>
        <v>154</v>
      </c>
      <c r="G188">
        <f t="shared" si="18"/>
        <v>0.20718232044198895</v>
      </c>
      <c r="H188">
        <f t="shared" si="19"/>
        <v>0.42105263157894735</v>
      </c>
      <c r="I188">
        <f t="shared" si="15"/>
        <v>0</v>
      </c>
      <c r="J188">
        <f t="shared" si="20"/>
        <v>0.59893048128342241</v>
      </c>
      <c r="K188">
        <f t="shared" si="21"/>
        <v>0.49448123620309042</v>
      </c>
      <c r="L188">
        <f>A188*COUNTIF(data!E:E,$J$2)/data!$M$2</f>
        <v>79.20700636942675</v>
      </c>
      <c r="M188" s="1">
        <f>A188/data!$M$2</f>
        <v>0.29777070063694266</v>
      </c>
      <c r="N188">
        <f t="shared" si="12"/>
        <v>1.4140163242330426</v>
      </c>
    </row>
    <row r="189" spans="1:14" x14ac:dyDescent="0.2">
      <c r="A189">
        <v>188</v>
      </c>
      <c r="B189">
        <f>LARGE(data!G:G,A189)</f>
        <v>0.5423501731</v>
      </c>
      <c r="C189">
        <f>COUNTIFS(data!E:E,data!$I$2,data!G:G,"&gt;="&amp;B189)</f>
        <v>113</v>
      </c>
      <c r="D189">
        <f>COUNTIFS(data!E:E,data!$J$2,data!G:G,"&gt;="&amp;B189)</f>
        <v>76</v>
      </c>
      <c r="E189">
        <f>COUNTIFS(data!E:E,data!$J$2,data!G:G,"&lt;"&amp;B189)</f>
        <v>286</v>
      </c>
      <c r="F189">
        <f>COUNTIFS(data!E:E,data!$I$2,data!G:G,"&lt;"&amp;B189)</f>
        <v>153</v>
      </c>
      <c r="G189">
        <f t="shared" si="18"/>
        <v>0.20994475138121546</v>
      </c>
      <c r="H189">
        <f t="shared" si="19"/>
        <v>0.42481203007518797</v>
      </c>
      <c r="I189">
        <f t="shared" si="15"/>
        <v>1.1683213558758745E-3</v>
      </c>
      <c r="J189">
        <f t="shared" si="20"/>
        <v>0.59788359788359791</v>
      </c>
      <c r="K189">
        <f t="shared" si="21"/>
        <v>0.49670329670329666</v>
      </c>
      <c r="L189">
        <f>A189*COUNTIF(data!E:E,$J$2)/data!$M$2</f>
        <v>79.630573248407643</v>
      </c>
      <c r="M189" s="1">
        <f>A189/data!$M$2</f>
        <v>0.29936305732484075</v>
      </c>
      <c r="N189">
        <f t="shared" si="12"/>
        <v>1.4190529515277555</v>
      </c>
    </row>
    <row r="190" spans="1:14" x14ac:dyDescent="0.2">
      <c r="A190">
        <v>189</v>
      </c>
      <c r="B190">
        <f>LARGE(data!G:G,A190)</f>
        <v>0.5423501731</v>
      </c>
      <c r="C190">
        <f>COUNTIFS(data!E:E,data!$I$2,data!G:G,"&gt;="&amp;B190)</f>
        <v>113</v>
      </c>
      <c r="D190">
        <f>COUNTIFS(data!E:E,data!$J$2,data!G:G,"&gt;="&amp;B190)</f>
        <v>76</v>
      </c>
      <c r="E190">
        <f>COUNTIFS(data!E:E,data!$J$2,data!G:G,"&lt;"&amp;B190)</f>
        <v>286</v>
      </c>
      <c r="F190">
        <f>COUNTIFS(data!E:E,data!$I$2,data!G:G,"&lt;"&amp;B190)</f>
        <v>153</v>
      </c>
      <c r="G190">
        <f t="shared" si="18"/>
        <v>0.20994475138121546</v>
      </c>
      <c r="H190">
        <f t="shared" si="19"/>
        <v>0.42481203007518797</v>
      </c>
      <c r="I190">
        <f t="shared" si="15"/>
        <v>0</v>
      </c>
      <c r="J190">
        <f t="shared" si="20"/>
        <v>0.59788359788359791</v>
      </c>
      <c r="K190">
        <f t="shared" si="21"/>
        <v>0.49670329670329666</v>
      </c>
      <c r="L190">
        <f>A190*COUNTIF(data!E:E,$J$2)/data!$M$2</f>
        <v>80.054140127388536</v>
      </c>
      <c r="M190" s="1">
        <f>A190/data!$M$2</f>
        <v>0.30095541401273884</v>
      </c>
      <c r="N190">
        <f t="shared" si="12"/>
        <v>1.4115447348530055</v>
      </c>
    </row>
    <row r="191" spans="1:14" x14ac:dyDescent="0.2">
      <c r="A191">
        <v>190</v>
      </c>
      <c r="B191">
        <f>LARGE(data!G:G,A191)</f>
        <v>0.54046122259999996</v>
      </c>
      <c r="C191">
        <f>COUNTIFS(data!E:E,data!$I$2,data!G:G,"&gt;="&amp;B191)</f>
        <v>113</v>
      </c>
      <c r="D191">
        <f>COUNTIFS(data!E:E,data!$J$2,data!G:G,"&gt;="&amp;B191)</f>
        <v>77</v>
      </c>
      <c r="E191">
        <f>COUNTIFS(data!E:E,data!$J$2,data!G:G,"&lt;"&amp;B191)</f>
        <v>285</v>
      </c>
      <c r="F191">
        <f>COUNTIFS(data!E:E,data!$I$2,data!G:G,"&lt;"&amp;B191)</f>
        <v>153</v>
      </c>
      <c r="G191">
        <f t="shared" si="18"/>
        <v>0.212707182320442</v>
      </c>
      <c r="H191">
        <f t="shared" si="19"/>
        <v>0.42481203007518797</v>
      </c>
      <c r="I191">
        <f t="shared" si="15"/>
        <v>1.1735138952353346E-3</v>
      </c>
      <c r="J191">
        <f t="shared" si="20"/>
        <v>0.59473684210526312</v>
      </c>
      <c r="K191">
        <f t="shared" si="21"/>
        <v>0.49561403508771928</v>
      </c>
      <c r="L191">
        <f>A191*COUNTIF(data!E:E,$J$2)/data!$M$2</f>
        <v>80.477707006369428</v>
      </c>
      <c r="M191" s="1">
        <f>A191/data!$M$2</f>
        <v>0.30254777070063693</v>
      </c>
      <c r="N191">
        <f t="shared" si="12"/>
        <v>1.4041155520379898</v>
      </c>
    </row>
    <row r="192" spans="1:14" x14ac:dyDescent="0.2">
      <c r="A192">
        <v>191</v>
      </c>
      <c r="B192">
        <f>LARGE(data!G:G,A192)</f>
        <v>0.53888207519999998</v>
      </c>
      <c r="C192">
        <f>COUNTIFS(data!E:E,data!$I$2,data!G:G,"&gt;="&amp;B192)</f>
        <v>113</v>
      </c>
      <c r="D192">
        <f>COUNTIFS(data!E:E,data!$J$2,data!G:G,"&gt;="&amp;B192)</f>
        <v>78</v>
      </c>
      <c r="E192">
        <f>COUNTIFS(data!E:E,data!$J$2,data!G:G,"&lt;"&amp;B192)</f>
        <v>284</v>
      </c>
      <c r="F192">
        <f>COUNTIFS(data!E:E,data!$I$2,data!G:G,"&lt;"&amp;B192)</f>
        <v>153</v>
      </c>
      <c r="G192">
        <f t="shared" si="18"/>
        <v>0.21546961325966851</v>
      </c>
      <c r="H192">
        <f t="shared" si="19"/>
        <v>0.42481203007518797</v>
      </c>
      <c r="I192">
        <f t="shared" si="15"/>
        <v>1.1735138952353229E-3</v>
      </c>
      <c r="J192">
        <f t="shared" si="20"/>
        <v>0.59162303664921467</v>
      </c>
      <c r="K192">
        <f t="shared" si="21"/>
        <v>0.49452954048140046</v>
      </c>
      <c r="L192">
        <f>A192*COUNTIF(data!E:E,$J$2)/data!$M$2</f>
        <v>80.901273885350321</v>
      </c>
      <c r="M192" s="1">
        <f>A192/data!$M$2</f>
        <v>0.30414012738853502</v>
      </c>
      <c r="N192">
        <f t="shared" si="12"/>
        <v>1.3967641617131834</v>
      </c>
    </row>
    <row r="193" spans="1:14" x14ac:dyDescent="0.2">
      <c r="A193">
        <v>192</v>
      </c>
      <c r="B193">
        <f>LARGE(data!G:G,A193)</f>
        <v>0.5385838328</v>
      </c>
      <c r="C193">
        <f>COUNTIFS(data!E:E,data!$I$2,data!G:G,"&gt;="&amp;B193)</f>
        <v>114</v>
      </c>
      <c r="D193">
        <f>COUNTIFS(data!E:E,data!$J$2,data!G:G,"&gt;="&amp;B193)</f>
        <v>78</v>
      </c>
      <c r="E193">
        <f>COUNTIFS(data!E:E,data!$J$2,data!G:G,"&lt;"&amp;B193)</f>
        <v>284</v>
      </c>
      <c r="F193">
        <f>COUNTIFS(data!E:E,data!$I$2,data!G:G,"&lt;"&amp;B193)</f>
        <v>152</v>
      </c>
      <c r="G193">
        <f t="shared" si="18"/>
        <v>0.21546961325966851</v>
      </c>
      <c r="H193">
        <f t="shared" si="19"/>
        <v>0.42857142857142855</v>
      </c>
      <c r="I193">
        <f t="shared" si="15"/>
        <v>0</v>
      </c>
      <c r="J193">
        <f t="shared" si="20"/>
        <v>0.59375</v>
      </c>
      <c r="K193">
        <f t="shared" si="21"/>
        <v>0.49781659388646282</v>
      </c>
      <c r="L193">
        <f>A193*COUNTIF(data!E:E,$J$2)/data!$M$2</f>
        <v>81.324840764331213</v>
      </c>
      <c r="M193" s="1">
        <f>A193/data!$M$2</f>
        <v>0.30573248407643311</v>
      </c>
      <c r="N193">
        <f t="shared" si="12"/>
        <v>1.4017857142857142</v>
      </c>
    </row>
    <row r="194" spans="1:14" x14ac:dyDescent="0.2">
      <c r="A194">
        <v>193</v>
      </c>
      <c r="B194">
        <f>LARGE(data!G:G,A194)</f>
        <v>0.53750158510000001</v>
      </c>
      <c r="C194">
        <f>COUNTIFS(data!E:E,data!$I$2,data!G:G,"&gt;="&amp;B194)</f>
        <v>115</v>
      </c>
      <c r="D194">
        <f>COUNTIFS(data!E:E,data!$J$2,data!G:G,"&gt;="&amp;B194)</f>
        <v>78</v>
      </c>
      <c r="E194">
        <f>COUNTIFS(data!E:E,data!$J$2,data!G:G,"&lt;"&amp;B194)</f>
        <v>284</v>
      </c>
      <c r="F194">
        <f>COUNTIFS(data!E:E,data!$I$2,data!G:G,"&lt;"&amp;B194)</f>
        <v>151</v>
      </c>
      <c r="G194">
        <f t="shared" si="18"/>
        <v>0.21546961325966851</v>
      </c>
      <c r="H194">
        <f t="shared" si="19"/>
        <v>0.43233082706766918</v>
      </c>
      <c r="I194">
        <f t="shared" si="15"/>
        <v>0</v>
      </c>
      <c r="J194">
        <f t="shared" si="20"/>
        <v>0.59585492227979275</v>
      </c>
      <c r="K194">
        <f t="shared" si="21"/>
        <v>0.50108932461873634</v>
      </c>
      <c r="L194">
        <f>A194*COUNTIF(data!E:E,$J$2)/data!$M$2</f>
        <v>81.748407643312106</v>
      </c>
      <c r="M194" s="1">
        <f>A194/data!$M$2</f>
        <v>0.3073248407643312</v>
      </c>
      <c r="N194">
        <f t="shared" ref="N194:N251" si="22">C194/L194</f>
        <v>1.4067552300440218</v>
      </c>
    </row>
    <row r="195" spans="1:14" x14ac:dyDescent="0.2">
      <c r="A195">
        <v>194</v>
      </c>
      <c r="B195">
        <f>LARGE(data!G:G,A195)</f>
        <v>0.53685515220000002</v>
      </c>
      <c r="C195">
        <f>COUNTIFS(data!E:E,data!$I$2,data!G:G,"&gt;="&amp;B195)</f>
        <v>115</v>
      </c>
      <c r="D195">
        <f>COUNTIFS(data!E:E,data!$J$2,data!G:G,"&gt;="&amp;B195)</f>
        <v>79</v>
      </c>
      <c r="E195">
        <f>COUNTIFS(data!E:E,data!$J$2,data!G:G,"&lt;"&amp;B195)</f>
        <v>283</v>
      </c>
      <c r="F195">
        <f>COUNTIFS(data!E:E,data!$I$2,data!G:G,"&lt;"&amp;B195)</f>
        <v>151</v>
      </c>
      <c r="G195">
        <f t="shared" si="18"/>
        <v>0.21823204419889503</v>
      </c>
      <c r="H195">
        <f t="shared" si="19"/>
        <v>0.43233082706766918</v>
      </c>
      <c r="I195">
        <f t="shared" ref="I195:I251" si="23">(G195-G194)*(H195+H194)*0.5</f>
        <v>1.1942840526731162E-3</v>
      </c>
      <c r="J195">
        <f t="shared" si="20"/>
        <v>0.59278350515463918</v>
      </c>
      <c r="K195">
        <f t="shared" si="21"/>
        <v>0.5</v>
      </c>
      <c r="L195">
        <f>A195*COUNTIF(data!E:E,$J$2)/data!$M$2</f>
        <v>82.171974522292999</v>
      </c>
      <c r="M195" s="1">
        <f>A195/data!$M$2</f>
        <v>0.30891719745222929</v>
      </c>
      <c r="N195">
        <f t="shared" si="22"/>
        <v>1.3995039144252384</v>
      </c>
    </row>
    <row r="196" spans="1:14" x14ac:dyDescent="0.2">
      <c r="A196">
        <v>195</v>
      </c>
      <c r="B196">
        <f>LARGE(data!G:G,A196)</f>
        <v>0.53567681970000003</v>
      </c>
      <c r="C196">
        <f>COUNTIFS(data!E:E,data!$I$2,data!G:G,"&gt;="&amp;B196)</f>
        <v>116</v>
      </c>
      <c r="D196">
        <f>COUNTIFS(data!E:E,data!$J$2,data!G:G,"&gt;="&amp;B196)</f>
        <v>79</v>
      </c>
      <c r="E196">
        <f>COUNTIFS(data!E:E,data!$J$2,data!G:G,"&lt;"&amp;B196)</f>
        <v>283</v>
      </c>
      <c r="F196">
        <f>COUNTIFS(data!E:E,data!$I$2,data!G:G,"&lt;"&amp;B196)</f>
        <v>150</v>
      </c>
      <c r="G196">
        <f t="shared" si="18"/>
        <v>0.21823204419889503</v>
      </c>
      <c r="H196">
        <f t="shared" si="19"/>
        <v>0.43609022556390975</v>
      </c>
      <c r="I196">
        <f t="shared" si="23"/>
        <v>0</v>
      </c>
      <c r="J196">
        <f t="shared" si="20"/>
        <v>0.59487179487179487</v>
      </c>
      <c r="K196">
        <f t="shared" si="21"/>
        <v>0.50325379609544474</v>
      </c>
      <c r="L196">
        <f>A196*COUNTIF(data!E:E,$J$2)/data!$M$2</f>
        <v>82.595541401273891</v>
      </c>
      <c r="M196" s="1">
        <f>A196/data!$M$2</f>
        <v>0.31050955414012738</v>
      </c>
      <c r="N196">
        <f t="shared" si="22"/>
        <v>1.4044341623288992</v>
      </c>
    </row>
    <row r="197" spans="1:14" x14ac:dyDescent="0.2">
      <c r="A197">
        <v>196</v>
      </c>
      <c r="B197">
        <f>LARGE(data!G:G,A197)</f>
        <v>0.53497689920000002</v>
      </c>
      <c r="C197">
        <f>COUNTIFS(data!E:E,data!$I$2,data!G:G,"&gt;="&amp;B197)</f>
        <v>117</v>
      </c>
      <c r="D197">
        <f>COUNTIFS(data!E:E,data!$J$2,data!G:G,"&gt;="&amp;B197)</f>
        <v>79</v>
      </c>
      <c r="E197">
        <f>COUNTIFS(data!E:E,data!$J$2,data!G:G,"&lt;"&amp;B197)</f>
        <v>283</v>
      </c>
      <c r="F197">
        <f>COUNTIFS(data!E:E,data!$I$2,data!G:G,"&lt;"&amp;B197)</f>
        <v>149</v>
      </c>
      <c r="G197">
        <f t="shared" si="18"/>
        <v>0.21823204419889503</v>
      </c>
      <c r="H197">
        <f t="shared" si="19"/>
        <v>0.43984962406015038</v>
      </c>
      <c r="I197">
        <f t="shared" si="23"/>
        <v>0</v>
      </c>
      <c r="J197">
        <f t="shared" si="20"/>
        <v>0.59693877551020413</v>
      </c>
      <c r="K197">
        <f t="shared" si="21"/>
        <v>0.50649350649350644</v>
      </c>
      <c r="L197">
        <f>A197*COUNTIF(data!E:E,$J$2)/data!$M$2</f>
        <v>83.019108280254784</v>
      </c>
      <c r="M197" s="1">
        <f>A197/data!$M$2</f>
        <v>0.31210191082802546</v>
      </c>
      <c r="N197">
        <f t="shared" si="22"/>
        <v>1.4093141015804818</v>
      </c>
    </row>
    <row r="198" spans="1:14" x14ac:dyDescent="0.2">
      <c r="A198">
        <v>197</v>
      </c>
      <c r="B198">
        <f>LARGE(data!G:G,A198)</f>
        <v>0.52939417970000002</v>
      </c>
      <c r="C198">
        <f>COUNTIFS(data!E:E,data!$I$2,data!G:G,"&gt;="&amp;B198)</f>
        <v>117</v>
      </c>
      <c r="D198">
        <f>COUNTIFS(data!E:E,data!$J$2,data!G:G,"&gt;="&amp;B198)</f>
        <v>80</v>
      </c>
      <c r="E198">
        <f>COUNTIFS(data!E:E,data!$J$2,data!G:G,"&lt;"&amp;B198)</f>
        <v>282</v>
      </c>
      <c r="F198">
        <f>COUNTIFS(data!E:E,data!$I$2,data!G:G,"&lt;"&amp;B198)</f>
        <v>149</v>
      </c>
      <c r="G198">
        <f t="shared" si="18"/>
        <v>0.22099447513812154</v>
      </c>
      <c r="H198">
        <f t="shared" si="19"/>
        <v>0.43984962406015038</v>
      </c>
      <c r="I198">
        <f t="shared" si="23"/>
        <v>1.2150542101109095E-3</v>
      </c>
      <c r="J198">
        <f t="shared" si="20"/>
        <v>0.59390862944162437</v>
      </c>
      <c r="K198">
        <f t="shared" si="21"/>
        <v>0.50539956803455721</v>
      </c>
      <c r="L198">
        <f>A198*COUNTIF(data!E:E,$J$2)/data!$M$2</f>
        <v>83.442675159235662</v>
      </c>
      <c r="M198" s="1">
        <f>A198/data!$M$2</f>
        <v>0.31369426751592355</v>
      </c>
      <c r="N198">
        <f t="shared" si="22"/>
        <v>1.4021602228922561</v>
      </c>
    </row>
    <row r="199" spans="1:14" x14ac:dyDescent="0.2">
      <c r="A199">
        <v>198</v>
      </c>
      <c r="B199">
        <f>LARGE(data!G:G,A199)</f>
        <v>0.52727757249999996</v>
      </c>
      <c r="C199">
        <f>COUNTIFS(data!E:E,data!$I$2,data!G:G,"&gt;="&amp;B199)</f>
        <v>118</v>
      </c>
      <c r="D199">
        <f>COUNTIFS(data!E:E,data!$J$2,data!G:G,"&gt;="&amp;B199)</f>
        <v>80</v>
      </c>
      <c r="E199">
        <f>COUNTIFS(data!E:E,data!$J$2,data!G:G,"&lt;"&amp;B199)</f>
        <v>282</v>
      </c>
      <c r="F199">
        <f>COUNTIFS(data!E:E,data!$I$2,data!G:G,"&lt;"&amp;B199)</f>
        <v>148</v>
      </c>
      <c r="G199">
        <f t="shared" ref="G199:G251" si="24">D199/(E199+D199)</f>
        <v>0.22099447513812154</v>
      </c>
      <c r="H199">
        <f t="shared" ref="H199:H251" si="25">C199/(C199+F199)</f>
        <v>0.44360902255639095</v>
      </c>
      <c r="I199">
        <f t="shared" si="23"/>
        <v>0</v>
      </c>
      <c r="J199">
        <f t="shared" ref="J199:J251" si="26">C199/(C199+D199)</f>
        <v>0.59595959595959591</v>
      </c>
      <c r="K199">
        <f t="shared" ref="K199:K251" si="27">2*J199*H199/(J199+H199)</f>
        <v>0.50862068965517238</v>
      </c>
      <c r="L199">
        <f>A199*COUNTIF(data!E:E,$J$2)/data!$M$2</f>
        <v>83.866242038216555</v>
      </c>
      <c r="M199" s="1">
        <f>A199/data!$M$2</f>
        <v>0.31528662420382164</v>
      </c>
      <c r="N199">
        <f t="shared" si="22"/>
        <v>1.4070023543707755</v>
      </c>
    </row>
    <row r="200" spans="1:14" x14ac:dyDescent="0.2">
      <c r="A200">
        <v>199</v>
      </c>
      <c r="B200">
        <f>LARGE(data!G:G,A200)</f>
        <v>0.52579707239999995</v>
      </c>
      <c r="C200">
        <f>COUNTIFS(data!E:E,data!$I$2,data!G:G,"&gt;="&amp;B200)</f>
        <v>119</v>
      </c>
      <c r="D200">
        <f>COUNTIFS(data!E:E,data!$J$2,data!G:G,"&gt;="&amp;B200)</f>
        <v>80</v>
      </c>
      <c r="E200">
        <f>COUNTIFS(data!E:E,data!$J$2,data!G:G,"&lt;"&amp;B200)</f>
        <v>282</v>
      </c>
      <c r="F200">
        <f>COUNTIFS(data!E:E,data!$I$2,data!G:G,"&lt;"&amp;B200)</f>
        <v>147</v>
      </c>
      <c r="G200">
        <f t="shared" si="24"/>
        <v>0.22099447513812154</v>
      </c>
      <c r="H200">
        <f t="shared" si="25"/>
        <v>0.44736842105263158</v>
      </c>
      <c r="I200">
        <f t="shared" si="23"/>
        <v>0</v>
      </c>
      <c r="J200">
        <f t="shared" si="26"/>
        <v>0.59798994974874375</v>
      </c>
      <c r="K200">
        <f t="shared" si="27"/>
        <v>0.51182795698924732</v>
      </c>
      <c r="L200">
        <f>A200*COUNTIF(data!E:E,$J$2)/data!$M$2</f>
        <v>84.289808917197448</v>
      </c>
      <c r="M200" s="1">
        <f>A200/data!$M$2</f>
        <v>0.31687898089171973</v>
      </c>
      <c r="N200">
        <f t="shared" si="22"/>
        <v>1.4117958212113197</v>
      </c>
    </row>
    <row r="201" spans="1:14" x14ac:dyDescent="0.2">
      <c r="A201">
        <v>200</v>
      </c>
      <c r="B201">
        <f>LARGE(data!G:G,A201)</f>
        <v>0.52459161710000002</v>
      </c>
      <c r="C201">
        <f>COUNTIFS(data!E:E,data!$I$2,data!G:G,"&gt;="&amp;B201)</f>
        <v>119</v>
      </c>
      <c r="D201">
        <f>COUNTIFS(data!E:E,data!$J$2,data!G:G,"&gt;="&amp;B201)</f>
        <v>81</v>
      </c>
      <c r="E201">
        <f>COUNTIFS(data!E:E,data!$J$2,data!G:G,"&lt;"&amp;B201)</f>
        <v>281</v>
      </c>
      <c r="F201">
        <f>COUNTIFS(data!E:E,data!$I$2,data!G:G,"&lt;"&amp;B201)</f>
        <v>147</v>
      </c>
      <c r="G201">
        <f t="shared" si="24"/>
        <v>0.22375690607734808</v>
      </c>
      <c r="H201">
        <f t="shared" si="25"/>
        <v>0.44736842105263158</v>
      </c>
      <c r="I201">
        <f t="shared" si="23"/>
        <v>1.2358243675487154E-3</v>
      </c>
      <c r="J201">
        <f t="shared" si="26"/>
        <v>0.59499999999999997</v>
      </c>
      <c r="K201">
        <f t="shared" si="27"/>
        <v>0.51072961373390557</v>
      </c>
      <c r="L201">
        <f>A201*COUNTIF(data!E:E,$J$2)/data!$M$2</f>
        <v>84.71337579617834</v>
      </c>
      <c r="M201" s="1">
        <f>A201/data!$M$2</f>
        <v>0.31847133757961782</v>
      </c>
      <c r="N201">
        <f t="shared" si="22"/>
        <v>1.4047368421052633</v>
      </c>
    </row>
    <row r="202" spans="1:14" x14ac:dyDescent="0.2">
      <c r="A202">
        <v>201</v>
      </c>
      <c r="B202">
        <f>LARGE(data!G:G,A202)</f>
        <v>0.52390810659999998</v>
      </c>
      <c r="C202">
        <f>COUNTIFS(data!E:E,data!$I$2,data!G:G,"&gt;="&amp;B202)</f>
        <v>119</v>
      </c>
      <c r="D202">
        <f>COUNTIFS(data!E:E,data!$J$2,data!G:G,"&gt;="&amp;B202)</f>
        <v>82</v>
      </c>
      <c r="E202">
        <f>COUNTIFS(data!E:E,data!$J$2,data!G:G,"&lt;"&amp;B202)</f>
        <v>280</v>
      </c>
      <c r="F202">
        <f>COUNTIFS(data!E:E,data!$I$2,data!G:G,"&lt;"&amp;B202)</f>
        <v>147</v>
      </c>
      <c r="G202">
        <f t="shared" si="24"/>
        <v>0.22651933701657459</v>
      </c>
      <c r="H202">
        <f t="shared" si="25"/>
        <v>0.44736842105263158</v>
      </c>
      <c r="I202">
        <f t="shared" si="23"/>
        <v>1.2358243675487028E-3</v>
      </c>
      <c r="J202">
        <f t="shared" si="26"/>
        <v>0.59203980099502485</v>
      </c>
      <c r="K202">
        <f t="shared" si="27"/>
        <v>0.5096359743040686</v>
      </c>
      <c r="L202">
        <f>A202*COUNTIF(data!E:E,$J$2)/data!$M$2</f>
        <v>85.136942675159233</v>
      </c>
      <c r="M202" s="1">
        <f>A202/data!$M$2</f>
        <v>0.32006369426751591</v>
      </c>
      <c r="N202">
        <f t="shared" si="22"/>
        <v>1.3977481015972768</v>
      </c>
    </row>
    <row r="203" spans="1:14" x14ac:dyDescent="0.2">
      <c r="A203">
        <v>202</v>
      </c>
      <c r="B203">
        <f>LARGE(data!G:G,A203)</f>
        <v>0.52337746119999995</v>
      </c>
      <c r="C203">
        <f>COUNTIFS(data!E:E,data!$I$2,data!G:G,"&gt;="&amp;B203)</f>
        <v>119</v>
      </c>
      <c r="D203">
        <f>COUNTIFS(data!E:E,data!$J$2,data!G:G,"&gt;="&amp;B203)</f>
        <v>83</v>
      </c>
      <c r="E203">
        <f>COUNTIFS(data!E:E,data!$J$2,data!G:G,"&lt;"&amp;B203)</f>
        <v>279</v>
      </c>
      <c r="F203">
        <f>COUNTIFS(data!E:E,data!$I$2,data!G:G,"&lt;"&amp;B203)</f>
        <v>147</v>
      </c>
      <c r="G203">
        <f t="shared" si="24"/>
        <v>0.2292817679558011</v>
      </c>
      <c r="H203">
        <f t="shared" si="25"/>
        <v>0.44736842105263158</v>
      </c>
      <c r="I203">
        <f t="shared" si="23"/>
        <v>1.2358243675487028E-3</v>
      </c>
      <c r="J203">
        <f t="shared" si="26"/>
        <v>0.58910891089108908</v>
      </c>
      <c r="K203">
        <f t="shared" si="27"/>
        <v>0.50854700854700863</v>
      </c>
      <c r="L203">
        <f>A203*COUNTIF(data!E:E,$J$2)/data!$M$2</f>
        <v>85.560509554140125</v>
      </c>
      <c r="M203" s="1">
        <f>A203/data!$M$2</f>
        <v>0.321656050955414</v>
      </c>
      <c r="N203">
        <f t="shared" si="22"/>
        <v>1.3908285565398646</v>
      </c>
    </row>
    <row r="204" spans="1:14" x14ac:dyDescent="0.2">
      <c r="A204">
        <v>203</v>
      </c>
      <c r="B204">
        <f>LARGE(data!G:G,A204)</f>
        <v>0.51963079980000004</v>
      </c>
      <c r="C204">
        <f>COUNTIFS(data!E:E,data!$I$2,data!G:G,"&gt;="&amp;B204)</f>
        <v>120</v>
      </c>
      <c r="D204">
        <f>COUNTIFS(data!E:E,data!$J$2,data!G:G,"&gt;="&amp;B204)</f>
        <v>83</v>
      </c>
      <c r="E204">
        <f>COUNTIFS(data!E:E,data!$J$2,data!G:G,"&lt;"&amp;B204)</f>
        <v>279</v>
      </c>
      <c r="F204">
        <f>COUNTIFS(data!E:E,data!$I$2,data!G:G,"&lt;"&amp;B204)</f>
        <v>146</v>
      </c>
      <c r="G204">
        <f t="shared" si="24"/>
        <v>0.2292817679558011</v>
      </c>
      <c r="H204">
        <f t="shared" si="25"/>
        <v>0.45112781954887216</v>
      </c>
      <c r="I204">
        <f t="shared" si="23"/>
        <v>0</v>
      </c>
      <c r="J204">
        <f t="shared" si="26"/>
        <v>0.59113300492610843</v>
      </c>
      <c r="K204">
        <f t="shared" si="27"/>
        <v>0.51172707889125801</v>
      </c>
      <c r="L204">
        <f>A204*COUNTIF(data!E:E,$J$2)/data!$M$2</f>
        <v>85.984076433121018</v>
      </c>
      <c r="M204" s="1">
        <f>A204/data!$M$2</f>
        <v>0.32324840764331209</v>
      </c>
      <c r="N204">
        <f t="shared" si="22"/>
        <v>1.3956072447127672</v>
      </c>
    </row>
    <row r="205" spans="1:14" x14ac:dyDescent="0.2">
      <c r="A205">
        <v>204</v>
      </c>
      <c r="B205">
        <f>LARGE(data!G:G,A205)</f>
        <v>0.51748465850000003</v>
      </c>
      <c r="C205">
        <f>COUNTIFS(data!E:E,data!$I$2,data!G:G,"&gt;="&amp;B205)</f>
        <v>120</v>
      </c>
      <c r="D205">
        <f>COUNTIFS(data!E:E,data!$J$2,data!G:G,"&gt;="&amp;B205)</f>
        <v>84</v>
      </c>
      <c r="E205">
        <f>COUNTIFS(data!E:E,data!$J$2,data!G:G,"&lt;"&amp;B205)</f>
        <v>278</v>
      </c>
      <c r="F205">
        <f>COUNTIFS(data!E:E,data!$I$2,data!G:G,"&lt;"&amp;B205)</f>
        <v>146</v>
      </c>
      <c r="G205">
        <f t="shared" si="24"/>
        <v>0.23204419889502761</v>
      </c>
      <c r="H205">
        <f t="shared" si="25"/>
        <v>0.45112781954887216</v>
      </c>
      <c r="I205">
        <f t="shared" si="23"/>
        <v>1.2462094462675996E-3</v>
      </c>
      <c r="J205">
        <f t="shared" si="26"/>
        <v>0.58823529411764708</v>
      </c>
      <c r="K205">
        <f t="shared" si="27"/>
        <v>0.5106382978723405</v>
      </c>
      <c r="L205">
        <f>A205*COUNTIF(data!E:E,$J$2)/data!$M$2</f>
        <v>86.407643312101911</v>
      </c>
      <c r="M205" s="1">
        <f>A205/data!$M$2</f>
        <v>0.32484076433121017</v>
      </c>
      <c r="N205">
        <f t="shared" si="22"/>
        <v>1.3887660327288811</v>
      </c>
    </row>
    <row r="206" spans="1:14" x14ac:dyDescent="0.2">
      <c r="A206">
        <v>205</v>
      </c>
      <c r="B206">
        <f>LARGE(data!G:G,A206)</f>
        <v>0.51744111469999998</v>
      </c>
      <c r="C206">
        <f>COUNTIFS(data!E:E,data!$I$2,data!G:G,"&gt;="&amp;B206)</f>
        <v>121</v>
      </c>
      <c r="D206">
        <f>COUNTIFS(data!E:E,data!$J$2,data!G:G,"&gt;="&amp;B206)</f>
        <v>84</v>
      </c>
      <c r="E206">
        <f>COUNTIFS(data!E:E,data!$J$2,data!G:G,"&lt;"&amp;B206)</f>
        <v>278</v>
      </c>
      <c r="F206">
        <f>COUNTIFS(data!E:E,data!$I$2,data!G:G,"&lt;"&amp;B206)</f>
        <v>145</v>
      </c>
      <c r="G206">
        <f t="shared" si="24"/>
        <v>0.23204419889502761</v>
      </c>
      <c r="H206">
        <f t="shared" si="25"/>
        <v>0.45488721804511278</v>
      </c>
      <c r="I206">
        <f t="shared" si="23"/>
        <v>0</v>
      </c>
      <c r="J206">
        <f t="shared" si="26"/>
        <v>0.59024390243902436</v>
      </c>
      <c r="K206">
        <f t="shared" si="27"/>
        <v>0.5138004246284501</v>
      </c>
      <c r="L206">
        <f>A206*COUNTIF(data!E:E,$J$2)/data!$M$2</f>
        <v>86.831210191082803</v>
      </c>
      <c r="M206" s="1">
        <f>A206/data!$M$2</f>
        <v>0.32643312101910826</v>
      </c>
      <c r="N206">
        <f t="shared" si="22"/>
        <v>1.3935081606455162</v>
      </c>
    </row>
    <row r="207" spans="1:14" x14ac:dyDescent="0.2">
      <c r="A207">
        <v>206</v>
      </c>
      <c r="B207">
        <f>LARGE(data!G:G,A207)</f>
        <v>0.51719379850000002</v>
      </c>
      <c r="C207">
        <f>COUNTIFS(data!E:E,data!$I$2,data!G:G,"&gt;="&amp;B207)</f>
        <v>123</v>
      </c>
      <c r="D207">
        <f>COUNTIFS(data!E:E,data!$J$2,data!G:G,"&gt;="&amp;B207)</f>
        <v>84</v>
      </c>
      <c r="E207">
        <f>COUNTIFS(data!E:E,data!$J$2,data!G:G,"&lt;"&amp;B207)</f>
        <v>278</v>
      </c>
      <c r="F207">
        <f>COUNTIFS(data!E:E,data!$I$2,data!G:G,"&lt;"&amp;B207)</f>
        <v>143</v>
      </c>
      <c r="G207">
        <f t="shared" si="24"/>
        <v>0.23204419889502761</v>
      </c>
      <c r="H207">
        <f t="shared" si="25"/>
        <v>0.46240601503759399</v>
      </c>
      <c r="I207">
        <f t="shared" si="23"/>
        <v>0</v>
      </c>
      <c r="J207">
        <f t="shared" si="26"/>
        <v>0.59420289855072461</v>
      </c>
      <c r="K207">
        <f t="shared" si="27"/>
        <v>0.52008456659619451</v>
      </c>
      <c r="L207">
        <f>A207*COUNTIF(data!E:E,$J$2)/data!$M$2</f>
        <v>87.254777070063696</v>
      </c>
      <c r="M207" s="1">
        <f>A207/data!$M$2</f>
        <v>0.32802547770700635</v>
      </c>
      <c r="N207">
        <f t="shared" si="22"/>
        <v>1.4096649390466458</v>
      </c>
    </row>
    <row r="208" spans="1:14" x14ac:dyDescent="0.2">
      <c r="A208">
        <v>207</v>
      </c>
      <c r="B208">
        <f>LARGE(data!G:G,A208)</f>
        <v>0.51719379850000002</v>
      </c>
      <c r="C208">
        <f>COUNTIFS(data!E:E,data!$I$2,data!G:G,"&gt;="&amp;B208)</f>
        <v>123</v>
      </c>
      <c r="D208">
        <f>COUNTIFS(data!E:E,data!$J$2,data!G:G,"&gt;="&amp;B208)</f>
        <v>84</v>
      </c>
      <c r="E208">
        <f>COUNTIFS(data!E:E,data!$J$2,data!G:G,"&lt;"&amp;B208)</f>
        <v>278</v>
      </c>
      <c r="F208">
        <f>COUNTIFS(data!E:E,data!$I$2,data!G:G,"&lt;"&amp;B208)</f>
        <v>143</v>
      </c>
      <c r="G208">
        <f t="shared" si="24"/>
        <v>0.23204419889502761</v>
      </c>
      <c r="H208">
        <f t="shared" si="25"/>
        <v>0.46240601503759399</v>
      </c>
      <c r="I208">
        <f t="shared" si="23"/>
        <v>0</v>
      </c>
      <c r="J208">
        <f t="shared" si="26"/>
        <v>0.59420289855072461</v>
      </c>
      <c r="K208">
        <f t="shared" si="27"/>
        <v>0.52008456659619451</v>
      </c>
      <c r="L208">
        <f>A208*COUNTIF(data!E:E,$J$2)/data!$M$2</f>
        <v>87.678343949044589</v>
      </c>
      <c r="M208" s="1">
        <f>A208/data!$M$2</f>
        <v>0.32961783439490444</v>
      </c>
      <c r="N208">
        <f t="shared" si="22"/>
        <v>1.4028549634956957</v>
      </c>
    </row>
    <row r="209" spans="1:14" x14ac:dyDescent="0.2">
      <c r="A209">
        <v>208</v>
      </c>
      <c r="B209">
        <f>LARGE(data!G:G,A209)</f>
        <v>0.51636329319999996</v>
      </c>
      <c r="C209">
        <f>COUNTIFS(data!E:E,data!$I$2,data!G:G,"&gt;="&amp;B209)</f>
        <v>124</v>
      </c>
      <c r="D209">
        <f>COUNTIFS(data!E:E,data!$J$2,data!G:G,"&gt;="&amp;B209)</f>
        <v>84</v>
      </c>
      <c r="E209">
        <f>COUNTIFS(data!E:E,data!$J$2,data!G:G,"&lt;"&amp;B209)</f>
        <v>278</v>
      </c>
      <c r="F209">
        <f>COUNTIFS(data!E:E,data!$I$2,data!G:G,"&lt;"&amp;B209)</f>
        <v>142</v>
      </c>
      <c r="G209">
        <f t="shared" si="24"/>
        <v>0.23204419889502761</v>
      </c>
      <c r="H209">
        <f t="shared" si="25"/>
        <v>0.46616541353383456</v>
      </c>
      <c r="I209">
        <f t="shared" si="23"/>
        <v>0</v>
      </c>
      <c r="J209">
        <f t="shared" si="26"/>
        <v>0.59615384615384615</v>
      </c>
      <c r="K209">
        <f t="shared" si="27"/>
        <v>0.52320675105485226</v>
      </c>
      <c r="L209">
        <f>A209*COUNTIF(data!E:E,$J$2)/data!$M$2</f>
        <v>88.101910828025481</v>
      </c>
      <c r="M209" s="1">
        <f>A209/data!$M$2</f>
        <v>0.33121019108280253</v>
      </c>
      <c r="N209">
        <f t="shared" si="22"/>
        <v>1.407460960092539</v>
      </c>
    </row>
    <row r="210" spans="1:14" x14ac:dyDescent="0.2">
      <c r="A210">
        <v>209</v>
      </c>
      <c r="B210">
        <f>LARGE(data!G:G,A210)</f>
        <v>0.51624510140000002</v>
      </c>
      <c r="C210">
        <f>COUNTIFS(data!E:E,data!$I$2,data!G:G,"&gt;="&amp;B210)</f>
        <v>124</v>
      </c>
      <c r="D210">
        <f>COUNTIFS(data!E:E,data!$J$2,data!G:G,"&gt;="&amp;B210)</f>
        <v>85</v>
      </c>
      <c r="E210">
        <f>COUNTIFS(data!E:E,data!$J$2,data!G:G,"&lt;"&amp;B210)</f>
        <v>277</v>
      </c>
      <c r="F210">
        <f>COUNTIFS(data!E:E,data!$I$2,data!G:G,"&lt;"&amp;B210)</f>
        <v>142</v>
      </c>
      <c r="G210">
        <f t="shared" si="24"/>
        <v>0.23480662983425415</v>
      </c>
      <c r="H210">
        <f t="shared" si="25"/>
        <v>0.46616541353383456</v>
      </c>
      <c r="I210">
        <f t="shared" si="23"/>
        <v>1.287749761143199E-3</v>
      </c>
      <c r="J210">
        <f t="shared" si="26"/>
        <v>0.59330143540669855</v>
      </c>
      <c r="K210">
        <f t="shared" si="27"/>
        <v>0.52210526315789474</v>
      </c>
      <c r="L210">
        <f>A210*COUNTIF(data!E:E,$J$2)/data!$M$2</f>
        <v>88.525477707006374</v>
      </c>
      <c r="M210" s="1">
        <f>A210/data!$M$2</f>
        <v>0.33280254777070062</v>
      </c>
      <c r="N210">
        <f t="shared" si="22"/>
        <v>1.4007266971255889</v>
      </c>
    </row>
    <row r="211" spans="1:14" x14ac:dyDescent="0.2">
      <c r="A211">
        <v>210</v>
      </c>
      <c r="B211">
        <f>LARGE(data!G:G,A211)</f>
        <v>0.51477042090000003</v>
      </c>
      <c r="C211">
        <f>COUNTIFS(data!E:E,data!$I$2,data!G:G,"&gt;="&amp;B211)</f>
        <v>125</v>
      </c>
      <c r="D211">
        <f>COUNTIFS(data!E:E,data!$J$2,data!G:G,"&gt;="&amp;B211)</f>
        <v>85</v>
      </c>
      <c r="E211">
        <f>COUNTIFS(data!E:E,data!$J$2,data!G:G,"&lt;"&amp;B211)</f>
        <v>277</v>
      </c>
      <c r="F211">
        <f>COUNTIFS(data!E:E,data!$I$2,data!G:G,"&lt;"&amp;B211)</f>
        <v>141</v>
      </c>
      <c r="G211">
        <f t="shared" si="24"/>
        <v>0.23480662983425415</v>
      </c>
      <c r="H211">
        <f t="shared" si="25"/>
        <v>0.46992481203007519</v>
      </c>
      <c r="I211">
        <f t="shared" si="23"/>
        <v>0</v>
      </c>
      <c r="J211">
        <f t="shared" si="26"/>
        <v>0.59523809523809523</v>
      </c>
      <c r="K211">
        <f t="shared" si="27"/>
        <v>0.52521008403361347</v>
      </c>
      <c r="L211">
        <f>A211*COUNTIF(data!E:E,$J$2)/data!$M$2</f>
        <v>88.949044585987266</v>
      </c>
      <c r="M211" s="1">
        <f>A211/data!$M$2</f>
        <v>0.33439490445859871</v>
      </c>
      <c r="N211">
        <f t="shared" si="22"/>
        <v>1.405298961689939</v>
      </c>
    </row>
    <row r="212" spans="1:14" x14ac:dyDescent="0.2">
      <c r="A212">
        <v>211</v>
      </c>
      <c r="B212">
        <f>LARGE(data!G:G,A212)</f>
        <v>0.51403229269999995</v>
      </c>
      <c r="C212">
        <f>COUNTIFS(data!E:E,data!$I$2,data!G:G,"&gt;="&amp;B212)</f>
        <v>126</v>
      </c>
      <c r="D212">
        <f>COUNTIFS(data!E:E,data!$J$2,data!G:G,"&gt;="&amp;B212)</f>
        <v>85</v>
      </c>
      <c r="E212">
        <f>COUNTIFS(data!E:E,data!$J$2,data!G:G,"&lt;"&amp;B212)</f>
        <v>277</v>
      </c>
      <c r="F212">
        <f>COUNTIFS(data!E:E,data!$I$2,data!G:G,"&lt;"&amp;B212)</f>
        <v>140</v>
      </c>
      <c r="G212">
        <f t="shared" si="24"/>
        <v>0.23480662983425415</v>
      </c>
      <c r="H212">
        <f t="shared" si="25"/>
        <v>0.47368421052631576</v>
      </c>
      <c r="I212">
        <f t="shared" si="23"/>
        <v>0</v>
      </c>
      <c r="J212">
        <f t="shared" si="26"/>
        <v>0.59715639810426535</v>
      </c>
      <c r="K212">
        <f t="shared" si="27"/>
        <v>0.52830188679245282</v>
      </c>
      <c r="L212">
        <f>A212*COUNTIF(data!E:E,$J$2)/data!$M$2</f>
        <v>89.372611464968159</v>
      </c>
      <c r="M212" s="1">
        <f>A212/data!$M$2</f>
        <v>0.3359872611464968</v>
      </c>
      <c r="N212">
        <f t="shared" si="22"/>
        <v>1.4098278872536791</v>
      </c>
    </row>
    <row r="213" spans="1:14" x14ac:dyDescent="0.2">
      <c r="A213">
        <v>212</v>
      </c>
      <c r="B213">
        <f>LARGE(data!G:G,A213)</f>
        <v>0.51217510629999996</v>
      </c>
      <c r="C213">
        <f>COUNTIFS(data!E:E,data!$I$2,data!G:G,"&gt;="&amp;B213)</f>
        <v>127</v>
      </c>
      <c r="D213">
        <f>COUNTIFS(data!E:E,data!$J$2,data!G:G,"&gt;="&amp;B213)</f>
        <v>86</v>
      </c>
      <c r="E213">
        <f>COUNTIFS(data!E:E,data!$J$2,data!G:G,"&lt;"&amp;B213)</f>
        <v>276</v>
      </c>
      <c r="F213">
        <f>COUNTIFS(data!E:E,data!$I$2,data!G:G,"&lt;"&amp;B213)</f>
        <v>139</v>
      </c>
      <c r="G213">
        <f t="shared" si="24"/>
        <v>0.23756906077348067</v>
      </c>
      <c r="H213">
        <f t="shared" si="25"/>
        <v>0.47744360902255639</v>
      </c>
      <c r="I213">
        <f t="shared" si="23"/>
        <v>1.3137124579404278E-3</v>
      </c>
      <c r="J213">
        <f t="shared" si="26"/>
        <v>0.59624413145539901</v>
      </c>
      <c r="K213">
        <f t="shared" si="27"/>
        <v>0.53027139874739038</v>
      </c>
      <c r="L213">
        <f>A213*COUNTIF(data!E:E,$J$2)/data!$M$2</f>
        <v>89.796178343949038</v>
      </c>
      <c r="M213" s="1">
        <f>A213/data!$M$2</f>
        <v>0.33757961783439489</v>
      </c>
      <c r="N213">
        <f t="shared" si="22"/>
        <v>1.4143140871045539</v>
      </c>
    </row>
    <row r="214" spans="1:14" x14ac:dyDescent="0.2">
      <c r="A214">
        <v>213</v>
      </c>
      <c r="B214">
        <f>LARGE(data!G:G,A214)</f>
        <v>0.51217510629999996</v>
      </c>
      <c r="C214">
        <f>COUNTIFS(data!E:E,data!$I$2,data!G:G,"&gt;="&amp;B214)</f>
        <v>127</v>
      </c>
      <c r="D214">
        <f>COUNTIFS(data!E:E,data!$J$2,data!G:G,"&gt;="&amp;B214)</f>
        <v>86</v>
      </c>
      <c r="E214">
        <f>COUNTIFS(data!E:E,data!$J$2,data!G:G,"&lt;"&amp;B214)</f>
        <v>276</v>
      </c>
      <c r="F214">
        <f>COUNTIFS(data!E:E,data!$I$2,data!G:G,"&lt;"&amp;B214)</f>
        <v>139</v>
      </c>
      <c r="G214">
        <f t="shared" si="24"/>
        <v>0.23756906077348067</v>
      </c>
      <c r="H214">
        <f t="shared" si="25"/>
        <v>0.47744360902255639</v>
      </c>
      <c r="I214">
        <f t="shared" si="23"/>
        <v>0</v>
      </c>
      <c r="J214">
        <f t="shared" si="26"/>
        <v>0.59624413145539901</v>
      </c>
      <c r="K214">
        <f t="shared" si="27"/>
        <v>0.53027139874739038</v>
      </c>
      <c r="L214">
        <f>A214*COUNTIF(data!E:E,$J$2)/data!$M$2</f>
        <v>90.21974522292993</v>
      </c>
      <c r="M214" s="1">
        <f>A214/data!$M$2</f>
        <v>0.33917197452229297</v>
      </c>
      <c r="N214">
        <f t="shared" si="22"/>
        <v>1.4076741148646263</v>
      </c>
    </row>
    <row r="215" spans="1:14" x14ac:dyDescent="0.2">
      <c r="A215">
        <v>214</v>
      </c>
      <c r="B215">
        <f>LARGE(data!G:G,A215)</f>
        <v>0.51198279670000002</v>
      </c>
      <c r="C215">
        <f>COUNTIFS(data!E:E,data!$I$2,data!G:G,"&gt;="&amp;B215)</f>
        <v>127</v>
      </c>
      <c r="D215">
        <f>COUNTIFS(data!E:E,data!$J$2,data!G:G,"&gt;="&amp;B215)</f>
        <v>87</v>
      </c>
      <c r="E215">
        <f>COUNTIFS(data!E:E,data!$J$2,data!G:G,"&lt;"&amp;B215)</f>
        <v>275</v>
      </c>
      <c r="F215">
        <f>COUNTIFS(data!E:E,data!$I$2,data!G:G,"&lt;"&amp;B215)</f>
        <v>139</v>
      </c>
      <c r="G215">
        <f t="shared" si="24"/>
        <v>0.24033149171270718</v>
      </c>
      <c r="H215">
        <f t="shared" si="25"/>
        <v>0.47744360902255639</v>
      </c>
      <c r="I215">
        <f t="shared" si="23"/>
        <v>1.3189049972998762E-3</v>
      </c>
      <c r="J215">
        <f t="shared" si="26"/>
        <v>0.59345794392523366</v>
      </c>
      <c r="K215">
        <f t="shared" si="27"/>
        <v>0.52916666666666656</v>
      </c>
      <c r="L215">
        <f>A215*COUNTIF(data!E:E,$J$2)/data!$M$2</f>
        <v>90.643312101910823</v>
      </c>
      <c r="M215" s="1">
        <f>A215/data!$M$2</f>
        <v>0.34076433121019106</v>
      </c>
      <c r="N215">
        <f t="shared" si="22"/>
        <v>1.4010961984400254</v>
      </c>
    </row>
    <row r="216" spans="1:14" x14ac:dyDescent="0.2">
      <c r="A216">
        <v>215</v>
      </c>
      <c r="B216">
        <f>LARGE(data!G:G,A216)</f>
        <v>0.51128306810000002</v>
      </c>
      <c r="C216">
        <f>COUNTIFS(data!E:E,data!$I$2,data!G:G,"&gt;="&amp;B216)</f>
        <v>127</v>
      </c>
      <c r="D216">
        <f>COUNTIFS(data!E:E,data!$J$2,data!G:G,"&gt;="&amp;B216)</f>
        <v>88</v>
      </c>
      <c r="E216">
        <f>COUNTIFS(data!E:E,data!$J$2,data!G:G,"&lt;"&amp;B216)</f>
        <v>274</v>
      </c>
      <c r="F216">
        <f>COUNTIFS(data!E:E,data!$I$2,data!G:G,"&lt;"&amp;B216)</f>
        <v>139</v>
      </c>
      <c r="G216">
        <f t="shared" si="24"/>
        <v>0.24309392265193369</v>
      </c>
      <c r="H216">
        <f t="shared" si="25"/>
        <v>0.47744360902255639</v>
      </c>
      <c r="I216">
        <f t="shared" si="23"/>
        <v>1.3189049972998762E-3</v>
      </c>
      <c r="J216">
        <f t="shared" si="26"/>
        <v>0.59069767441860466</v>
      </c>
      <c r="K216">
        <f t="shared" si="27"/>
        <v>0.5280665280665281</v>
      </c>
      <c r="L216">
        <f>A216*COUNTIF(data!E:E,$J$2)/data!$M$2</f>
        <v>91.066878980891715</v>
      </c>
      <c r="M216" s="1">
        <f>A216/data!$M$2</f>
        <v>0.34235668789808915</v>
      </c>
      <c r="N216">
        <f t="shared" si="22"/>
        <v>1.3945794719356532</v>
      </c>
    </row>
    <row r="217" spans="1:14" x14ac:dyDescent="0.2">
      <c r="A217">
        <v>216</v>
      </c>
      <c r="B217">
        <f>LARGE(data!G:G,A217)</f>
        <v>0.51104990979999998</v>
      </c>
      <c r="C217">
        <f>COUNTIFS(data!E:E,data!$I$2,data!G:G,"&gt;="&amp;B217)</f>
        <v>128</v>
      </c>
      <c r="D217">
        <f>COUNTIFS(data!E:E,data!$J$2,data!G:G,"&gt;="&amp;B217)</f>
        <v>88</v>
      </c>
      <c r="E217">
        <f>COUNTIFS(data!E:E,data!$J$2,data!G:G,"&lt;"&amp;B217)</f>
        <v>274</v>
      </c>
      <c r="F217">
        <f>COUNTIFS(data!E:E,data!$I$2,data!G:G,"&lt;"&amp;B217)</f>
        <v>138</v>
      </c>
      <c r="G217">
        <f t="shared" si="24"/>
        <v>0.24309392265193369</v>
      </c>
      <c r="H217">
        <f t="shared" si="25"/>
        <v>0.48120300751879697</v>
      </c>
      <c r="I217">
        <f t="shared" si="23"/>
        <v>0</v>
      </c>
      <c r="J217">
        <f t="shared" si="26"/>
        <v>0.59259259259259256</v>
      </c>
      <c r="K217">
        <f t="shared" si="27"/>
        <v>0.53112033195020747</v>
      </c>
      <c r="L217">
        <f>A217*COUNTIF(data!E:E,$J$2)/data!$M$2</f>
        <v>91.490445859872608</v>
      </c>
      <c r="M217" s="1">
        <f>A217/data!$M$2</f>
        <v>0.34394904458598724</v>
      </c>
      <c r="N217">
        <f t="shared" si="22"/>
        <v>1.3990531885268729</v>
      </c>
    </row>
    <row r="218" spans="1:14" x14ac:dyDescent="0.2">
      <c r="A218">
        <v>217</v>
      </c>
      <c r="B218">
        <f>LARGE(data!G:G,A218)</f>
        <v>0.51054430029999998</v>
      </c>
      <c r="C218">
        <f>COUNTIFS(data!E:E,data!$I$2,data!G:G,"&gt;="&amp;B218)</f>
        <v>129</v>
      </c>
      <c r="D218">
        <f>COUNTIFS(data!E:E,data!$J$2,data!G:G,"&gt;="&amp;B218)</f>
        <v>88</v>
      </c>
      <c r="E218">
        <f>COUNTIFS(data!E:E,data!$J$2,data!G:G,"&lt;"&amp;B218)</f>
        <v>274</v>
      </c>
      <c r="F218">
        <f>COUNTIFS(data!E:E,data!$I$2,data!G:G,"&lt;"&amp;B218)</f>
        <v>137</v>
      </c>
      <c r="G218">
        <f t="shared" si="24"/>
        <v>0.24309392265193369</v>
      </c>
      <c r="H218">
        <f t="shared" si="25"/>
        <v>0.48496240601503759</v>
      </c>
      <c r="I218">
        <f t="shared" si="23"/>
        <v>0</v>
      </c>
      <c r="J218">
        <f t="shared" si="26"/>
        <v>0.59447004608294929</v>
      </c>
      <c r="K218">
        <f t="shared" si="27"/>
        <v>0.53416149068322993</v>
      </c>
      <c r="L218">
        <f>A218*COUNTIF(data!E:E,$J$2)/data!$M$2</f>
        <v>91.914012738853501</v>
      </c>
      <c r="M218" s="1">
        <f>A218/data!$M$2</f>
        <v>0.34554140127388533</v>
      </c>
      <c r="N218">
        <f t="shared" si="22"/>
        <v>1.4034856727071134</v>
      </c>
    </row>
    <row r="219" spans="1:14" x14ac:dyDescent="0.2">
      <c r="A219">
        <v>218</v>
      </c>
      <c r="B219">
        <f>LARGE(data!G:G,A219)</f>
        <v>0.51031693339999995</v>
      </c>
      <c r="C219">
        <f>COUNTIFS(data!E:E,data!$I$2,data!G:G,"&gt;="&amp;B219)</f>
        <v>129</v>
      </c>
      <c r="D219">
        <f>COUNTIFS(data!E:E,data!$J$2,data!G:G,"&gt;="&amp;B219)</f>
        <v>89</v>
      </c>
      <c r="E219">
        <f>COUNTIFS(data!E:E,data!$J$2,data!G:G,"&lt;"&amp;B219)</f>
        <v>273</v>
      </c>
      <c r="F219">
        <f>COUNTIFS(data!E:E,data!$I$2,data!G:G,"&lt;"&amp;B219)</f>
        <v>137</v>
      </c>
      <c r="G219">
        <f t="shared" si="24"/>
        <v>0.24585635359116023</v>
      </c>
      <c r="H219">
        <f t="shared" si="25"/>
        <v>0.48496240601503759</v>
      </c>
      <c r="I219">
        <f t="shared" si="23"/>
        <v>1.339675154737683E-3</v>
      </c>
      <c r="J219">
        <f t="shared" si="26"/>
        <v>0.59174311926605505</v>
      </c>
      <c r="K219">
        <f t="shared" si="27"/>
        <v>0.53305785123966942</v>
      </c>
      <c r="L219">
        <f>A219*COUNTIF(data!E:E,$J$2)/data!$M$2</f>
        <v>92.337579617834393</v>
      </c>
      <c r="M219" s="1">
        <f>A219/data!$M$2</f>
        <v>0.34713375796178342</v>
      </c>
      <c r="N219">
        <f t="shared" si="22"/>
        <v>1.397047665034145</v>
      </c>
    </row>
    <row r="220" spans="1:14" x14ac:dyDescent="0.2">
      <c r="A220">
        <v>219</v>
      </c>
      <c r="B220">
        <f>LARGE(data!G:G,A220)</f>
        <v>0.51004827149999998</v>
      </c>
      <c r="C220">
        <f>COUNTIFS(data!E:E,data!$I$2,data!G:G,"&gt;="&amp;B220)</f>
        <v>130</v>
      </c>
      <c r="D220">
        <f>COUNTIFS(data!E:E,data!$J$2,data!G:G,"&gt;="&amp;B220)</f>
        <v>89</v>
      </c>
      <c r="E220">
        <f>COUNTIFS(data!E:E,data!$J$2,data!G:G,"&lt;"&amp;B220)</f>
        <v>273</v>
      </c>
      <c r="F220">
        <f>COUNTIFS(data!E:E,data!$I$2,data!G:G,"&lt;"&amp;B220)</f>
        <v>136</v>
      </c>
      <c r="G220">
        <f t="shared" si="24"/>
        <v>0.24585635359116023</v>
      </c>
      <c r="H220">
        <f t="shared" si="25"/>
        <v>0.48872180451127817</v>
      </c>
      <c r="I220">
        <f t="shared" si="23"/>
        <v>0</v>
      </c>
      <c r="J220">
        <f t="shared" si="26"/>
        <v>0.59360730593607303</v>
      </c>
      <c r="K220">
        <f t="shared" si="27"/>
        <v>0.53608247422680411</v>
      </c>
      <c r="L220">
        <f>A220*COUNTIF(data!E:E,$J$2)/data!$M$2</f>
        <v>92.761146496815286</v>
      </c>
      <c r="M220" s="1">
        <f>A220/data!$M$2</f>
        <v>0.34872611464968151</v>
      </c>
      <c r="N220">
        <f t="shared" si="22"/>
        <v>1.4014488275483228</v>
      </c>
    </row>
    <row r="221" spans="1:14" x14ac:dyDescent="0.2">
      <c r="A221">
        <v>220</v>
      </c>
      <c r="B221">
        <f>LARGE(data!G:G,A221)</f>
        <v>0.50794752519999997</v>
      </c>
      <c r="C221">
        <f>COUNTIFS(data!E:E,data!$I$2,data!G:G,"&gt;="&amp;B221)</f>
        <v>130</v>
      </c>
      <c r="D221">
        <f>COUNTIFS(data!E:E,data!$J$2,data!G:G,"&gt;="&amp;B221)</f>
        <v>90</v>
      </c>
      <c r="E221">
        <f>COUNTIFS(data!E:E,data!$J$2,data!G:G,"&lt;"&amp;B221)</f>
        <v>272</v>
      </c>
      <c r="F221">
        <f>COUNTIFS(data!E:E,data!$I$2,data!G:G,"&lt;"&amp;B221)</f>
        <v>136</v>
      </c>
      <c r="G221">
        <f t="shared" si="24"/>
        <v>0.24861878453038674</v>
      </c>
      <c r="H221">
        <f t="shared" si="25"/>
        <v>0.48872180451127817</v>
      </c>
      <c r="I221">
        <f t="shared" si="23"/>
        <v>1.3500602334565661E-3</v>
      </c>
      <c r="J221">
        <f t="shared" si="26"/>
        <v>0.59090909090909094</v>
      </c>
      <c r="K221">
        <f t="shared" si="27"/>
        <v>0.53497942386831276</v>
      </c>
      <c r="L221">
        <f>A221*COUNTIF(data!E:E,$J$2)/data!$M$2</f>
        <v>93.184713375796179</v>
      </c>
      <c r="M221" s="1">
        <f>A221/data!$M$2</f>
        <v>0.3503184713375796</v>
      </c>
      <c r="N221">
        <f t="shared" si="22"/>
        <v>1.3950786056049214</v>
      </c>
    </row>
    <row r="222" spans="1:14" x14ac:dyDescent="0.2">
      <c r="A222">
        <v>221</v>
      </c>
      <c r="B222">
        <f>LARGE(data!G:G,A222)</f>
        <v>0.50770993139999998</v>
      </c>
      <c r="C222">
        <f>COUNTIFS(data!E:E,data!$I$2,data!G:G,"&gt;="&amp;B222)</f>
        <v>130</v>
      </c>
      <c r="D222">
        <f>COUNTIFS(data!E:E,data!$J$2,data!G:G,"&gt;="&amp;B222)</f>
        <v>91</v>
      </c>
      <c r="E222">
        <f>COUNTIFS(data!E:E,data!$J$2,data!G:G,"&lt;"&amp;B222)</f>
        <v>271</v>
      </c>
      <c r="F222">
        <f>COUNTIFS(data!E:E,data!$I$2,data!G:G,"&lt;"&amp;B222)</f>
        <v>136</v>
      </c>
      <c r="G222">
        <f t="shared" si="24"/>
        <v>0.25138121546961328</v>
      </c>
      <c r="H222">
        <f t="shared" si="25"/>
        <v>0.48872180451127817</v>
      </c>
      <c r="I222">
        <f t="shared" si="23"/>
        <v>1.3500602334565797E-3</v>
      </c>
      <c r="J222">
        <f t="shared" si="26"/>
        <v>0.58823529411764708</v>
      </c>
      <c r="K222">
        <f t="shared" si="27"/>
        <v>0.53388090349075978</v>
      </c>
      <c r="L222">
        <f>A222*COUNTIF(data!E:E,$J$2)/data!$M$2</f>
        <v>93.608280254777071</v>
      </c>
      <c r="M222" s="1">
        <f>A222/data!$M$2</f>
        <v>0.35191082802547768</v>
      </c>
      <c r="N222">
        <f t="shared" si="22"/>
        <v>1.3887660327288811</v>
      </c>
    </row>
    <row r="223" spans="1:14" x14ac:dyDescent="0.2">
      <c r="A223">
        <v>222</v>
      </c>
      <c r="B223">
        <f>LARGE(data!G:G,A223)</f>
        <v>0.50594577159999998</v>
      </c>
      <c r="C223">
        <f>COUNTIFS(data!E:E,data!$I$2,data!G:G,"&gt;="&amp;B223)</f>
        <v>131</v>
      </c>
      <c r="D223">
        <f>COUNTIFS(data!E:E,data!$J$2,data!G:G,"&gt;="&amp;B223)</f>
        <v>91</v>
      </c>
      <c r="E223">
        <f>COUNTIFS(data!E:E,data!$J$2,data!G:G,"&lt;"&amp;B223)</f>
        <v>271</v>
      </c>
      <c r="F223">
        <f>COUNTIFS(data!E:E,data!$I$2,data!G:G,"&lt;"&amp;B223)</f>
        <v>135</v>
      </c>
      <c r="G223">
        <f t="shared" si="24"/>
        <v>0.25138121546961328</v>
      </c>
      <c r="H223">
        <f t="shared" si="25"/>
        <v>0.4924812030075188</v>
      </c>
      <c r="I223">
        <f t="shared" si="23"/>
        <v>0</v>
      </c>
      <c r="J223">
        <f t="shared" si="26"/>
        <v>0.59009009009009006</v>
      </c>
      <c r="K223">
        <f t="shared" si="27"/>
        <v>0.53688524590163933</v>
      </c>
      <c r="L223">
        <f>A223*COUNTIF(data!E:E,$J$2)/data!$M$2</f>
        <v>94.031847133757964</v>
      </c>
      <c r="M223" s="1">
        <f>A223/data!$M$2</f>
        <v>0.35350318471337577</v>
      </c>
      <c r="N223">
        <f t="shared" si="22"/>
        <v>1.3931450247239721</v>
      </c>
    </row>
    <row r="224" spans="1:14" x14ac:dyDescent="0.2">
      <c r="A224">
        <v>223</v>
      </c>
      <c r="B224">
        <f>LARGE(data!G:G,A224)</f>
        <v>0.50560908449999997</v>
      </c>
      <c r="C224">
        <f>COUNTIFS(data!E:E,data!$I$2,data!G:G,"&gt;="&amp;B224)</f>
        <v>131</v>
      </c>
      <c r="D224">
        <f>COUNTIFS(data!E:E,data!$J$2,data!G:G,"&gt;="&amp;B224)</f>
        <v>92</v>
      </c>
      <c r="E224">
        <f>COUNTIFS(data!E:E,data!$J$2,data!G:G,"&lt;"&amp;B224)</f>
        <v>270</v>
      </c>
      <c r="F224">
        <f>COUNTIFS(data!E:E,data!$I$2,data!G:G,"&lt;"&amp;B224)</f>
        <v>135</v>
      </c>
      <c r="G224">
        <f t="shared" si="24"/>
        <v>0.2541436464088398</v>
      </c>
      <c r="H224">
        <f t="shared" si="25"/>
        <v>0.4924812030075188</v>
      </c>
      <c r="I224">
        <f t="shared" si="23"/>
        <v>1.3604453121754628E-3</v>
      </c>
      <c r="J224">
        <f t="shared" si="26"/>
        <v>0.58744394618834084</v>
      </c>
      <c r="K224">
        <f t="shared" si="27"/>
        <v>0.53578732106339466</v>
      </c>
      <c r="L224">
        <f>A224*COUNTIF(data!E:E,$J$2)/data!$M$2</f>
        <v>94.455414012738856</v>
      </c>
      <c r="M224" s="1">
        <f>A224/data!$M$2</f>
        <v>0.35509554140127386</v>
      </c>
      <c r="N224">
        <f t="shared" si="22"/>
        <v>1.3868977376175866</v>
      </c>
    </row>
    <row r="225" spans="1:14" x14ac:dyDescent="0.2">
      <c r="A225">
        <v>224</v>
      </c>
      <c r="B225">
        <f>LARGE(data!G:G,A225)</f>
        <v>0.5030821338</v>
      </c>
      <c r="C225">
        <f>COUNTIFS(data!E:E,data!$I$2,data!G:G,"&gt;="&amp;B225)</f>
        <v>131</v>
      </c>
      <c r="D225">
        <f>COUNTIFS(data!E:E,data!$J$2,data!G:G,"&gt;="&amp;B225)</f>
        <v>93</v>
      </c>
      <c r="E225">
        <f>COUNTIFS(data!E:E,data!$J$2,data!G:G,"&lt;"&amp;B225)</f>
        <v>269</v>
      </c>
      <c r="F225">
        <f>COUNTIFS(data!E:E,data!$I$2,data!G:G,"&lt;"&amp;B225)</f>
        <v>135</v>
      </c>
      <c r="G225">
        <f t="shared" si="24"/>
        <v>0.25690607734806631</v>
      </c>
      <c r="H225">
        <f t="shared" si="25"/>
        <v>0.4924812030075188</v>
      </c>
      <c r="I225">
        <f t="shared" si="23"/>
        <v>1.3604453121754628E-3</v>
      </c>
      <c r="J225">
        <f t="shared" si="26"/>
        <v>0.5848214285714286</v>
      </c>
      <c r="K225">
        <f t="shared" si="27"/>
        <v>0.53469387755102049</v>
      </c>
      <c r="L225">
        <f>A225*COUNTIF(data!E:E,$J$2)/data!$M$2</f>
        <v>94.878980891719749</v>
      </c>
      <c r="M225" s="1">
        <f>A225/data!$M$2</f>
        <v>0.35668789808917195</v>
      </c>
      <c r="N225">
        <f t="shared" si="22"/>
        <v>1.3807062298603652</v>
      </c>
    </row>
    <row r="226" spans="1:14" x14ac:dyDescent="0.2">
      <c r="A226">
        <v>225</v>
      </c>
      <c r="B226">
        <f>LARGE(data!G:G,A226)</f>
        <v>0.5019703539</v>
      </c>
      <c r="C226">
        <f>COUNTIFS(data!E:E,data!$I$2,data!G:G,"&gt;="&amp;B226)</f>
        <v>132</v>
      </c>
      <c r="D226">
        <f>COUNTIFS(data!E:E,data!$J$2,data!G:G,"&gt;="&amp;B226)</f>
        <v>93</v>
      </c>
      <c r="E226">
        <f>COUNTIFS(data!E:E,data!$J$2,data!G:G,"&lt;"&amp;B226)</f>
        <v>269</v>
      </c>
      <c r="F226">
        <f>COUNTIFS(data!E:E,data!$I$2,data!G:G,"&lt;"&amp;B226)</f>
        <v>134</v>
      </c>
      <c r="G226">
        <f t="shared" si="24"/>
        <v>0.25690607734806631</v>
      </c>
      <c r="H226">
        <f t="shared" si="25"/>
        <v>0.49624060150375937</v>
      </c>
      <c r="I226">
        <f t="shared" si="23"/>
        <v>0</v>
      </c>
      <c r="J226">
        <f t="shared" si="26"/>
        <v>0.58666666666666667</v>
      </c>
      <c r="K226">
        <f t="shared" si="27"/>
        <v>0.53767820773930763</v>
      </c>
      <c r="L226">
        <f>A226*COUNTIF(data!E:E,$J$2)/data!$M$2</f>
        <v>95.302547770700642</v>
      </c>
      <c r="M226" s="1">
        <f>A226/data!$M$2</f>
        <v>0.35828025477707004</v>
      </c>
      <c r="N226">
        <f t="shared" si="22"/>
        <v>1.385062656641604</v>
      </c>
    </row>
    <row r="227" spans="1:14" x14ac:dyDescent="0.2">
      <c r="A227">
        <v>226</v>
      </c>
      <c r="B227">
        <f>LARGE(data!G:G,A227)</f>
        <v>0.50100278659999997</v>
      </c>
      <c r="C227">
        <f>COUNTIFS(data!E:E,data!$I$2,data!G:G,"&gt;="&amp;B227)</f>
        <v>133</v>
      </c>
      <c r="D227">
        <f>COUNTIFS(data!E:E,data!$J$2,data!G:G,"&gt;="&amp;B227)</f>
        <v>93</v>
      </c>
      <c r="E227">
        <f>COUNTIFS(data!E:E,data!$J$2,data!G:G,"&lt;"&amp;B227)</f>
        <v>269</v>
      </c>
      <c r="F227">
        <f>COUNTIFS(data!E:E,data!$I$2,data!G:G,"&lt;"&amp;B227)</f>
        <v>133</v>
      </c>
      <c r="G227">
        <f t="shared" si="24"/>
        <v>0.25690607734806631</v>
      </c>
      <c r="H227">
        <f t="shared" si="25"/>
        <v>0.5</v>
      </c>
      <c r="I227">
        <f t="shared" si="23"/>
        <v>0</v>
      </c>
      <c r="J227">
        <f t="shared" si="26"/>
        <v>0.58849557522123896</v>
      </c>
      <c r="K227">
        <f t="shared" si="27"/>
        <v>0.54065040650406504</v>
      </c>
      <c r="L227">
        <f>A227*COUNTIF(data!E:E,$J$2)/data!$M$2</f>
        <v>95.726114649681534</v>
      </c>
      <c r="M227" s="1">
        <f>A227/data!$M$2</f>
        <v>0.35987261146496813</v>
      </c>
      <c r="N227">
        <f t="shared" si="22"/>
        <v>1.3893805309734513</v>
      </c>
    </row>
    <row r="228" spans="1:14" x14ac:dyDescent="0.2">
      <c r="A228">
        <v>227</v>
      </c>
      <c r="B228">
        <f>LARGE(data!G:G,A228)</f>
        <v>0.50030330550000002</v>
      </c>
      <c r="C228">
        <f>COUNTIFS(data!E:E,data!$I$2,data!G:G,"&gt;="&amp;B228)</f>
        <v>134</v>
      </c>
      <c r="D228">
        <f>COUNTIFS(data!E:E,data!$J$2,data!G:G,"&gt;="&amp;B228)</f>
        <v>93</v>
      </c>
      <c r="E228">
        <f>COUNTIFS(data!E:E,data!$J$2,data!G:G,"&lt;"&amp;B228)</f>
        <v>269</v>
      </c>
      <c r="F228">
        <f>COUNTIFS(data!E:E,data!$I$2,data!G:G,"&lt;"&amp;B228)</f>
        <v>132</v>
      </c>
      <c r="G228">
        <f t="shared" si="24"/>
        <v>0.25690607734806631</v>
      </c>
      <c r="H228">
        <f t="shared" si="25"/>
        <v>0.50375939849624063</v>
      </c>
      <c r="I228">
        <f t="shared" si="23"/>
        <v>0</v>
      </c>
      <c r="J228">
        <f t="shared" si="26"/>
        <v>0.5903083700440529</v>
      </c>
      <c r="K228">
        <f t="shared" si="27"/>
        <v>0.54361054766734285</v>
      </c>
      <c r="L228">
        <f>A228*COUNTIF(data!E:E,$J$2)/data!$M$2</f>
        <v>96.149681528662427</v>
      </c>
      <c r="M228" s="1">
        <f>A228/data!$M$2</f>
        <v>0.36146496815286622</v>
      </c>
      <c r="N228">
        <f t="shared" si="22"/>
        <v>1.3936603623596435</v>
      </c>
    </row>
    <row r="229" spans="1:14" x14ac:dyDescent="0.2">
      <c r="A229">
        <v>228</v>
      </c>
      <c r="B229">
        <f>LARGE(data!G:G,A229)</f>
        <v>0.4993437624</v>
      </c>
      <c r="C229">
        <f>COUNTIFS(data!E:E,data!$I$2,data!G:G,"&gt;="&amp;B229)</f>
        <v>134</v>
      </c>
      <c r="D229">
        <f>COUNTIFS(data!E:E,data!$J$2,data!G:G,"&gt;="&amp;B229)</f>
        <v>94</v>
      </c>
      <c r="E229">
        <f>COUNTIFS(data!E:E,data!$J$2,data!G:G,"&lt;"&amp;B229)</f>
        <v>268</v>
      </c>
      <c r="F229">
        <f>COUNTIFS(data!E:E,data!$I$2,data!G:G,"&lt;"&amp;B229)</f>
        <v>132</v>
      </c>
      <c r="G229">
        <f t="shared" si="24"/>
        <v>0.25966850828729282</v>
      </c>
      <c r="H229">
        <f t="shared" si="25"/>
        <v>0.50375939849624063</v>
      </c>
      <c r="I229">
        <f t="shared" si="23"/>
        <v>1.3916005483321529E-3</v>
      </c>
      <c r="J229">
        <f t="shared" si="26"/>
        <v>0.58771929824561409</v>
      </c>
      <c r="K229">
        <f t="shared" si="27"/>
        <v>0.54251012145748978</v>
      </c>
      <c r="L229">
        <f>A229*COUNTIF(data!E:E,$J$2)/data!$M$2</f>
        <v>96.573248407643305</v>
      </c>
      <c r="M229" s="1">
        <f>A229/data!$M$2</f>
        <v>0.36305732484076431</v>
      </c>
      <c r="N229">
        <f t="shared" si="22"/>
        <v>1.3875478169106978</v>
      </c>
    </row>
    <row r="230" spans="1:14" x14ac:dyDescent="0.2">
      <c r="A230">
        <v>229</v>
      </c>
      <c r="B230">
        <f>LARGE(data!G:G,A230)</f>
        <v>0.49863375720000003</v>
      </c>
      <c r="C230">
        <f>COUNTIFS(data!E:E,data!$I$2,data!G:G,"&gt;="&amp;B230)</f>
        <v>135</v>
      </c>
      <c r="D230">
        <f>COUNTIFS(data!E:E,data!$J$2,data!G:G,"&gt;="&amp;B230)</f>
        <v>94</v>
      </c>
      <c r="E230">
        <f>COUNTIFS(data!E:E,data!$J$2,data!G:G,"&lt;"&amp;B230)</f>
        <v>268</v>
      </c>
      <c r="F230">
        <f>COUNTIFS(data!E:E,data!$I$2,data!G:G,"&lt;"&amp;B230)</f>
        <v>131</v>
      </c>
      <c r="G230">
        <f t="shared" si="24"/>
        <v>0.25966850828729282</v>
      </c>
      <c r="H230">
        <f t="shared" si="25"/>
        <v>0.50751879699248126</v>
      </c>
      <c r="I230">
        <f t="shared" si="23"/>
        <v>0</v>
      </c>
      <c r="J230">
        <f t="shared" si="26"/>
        <v>0.58951965065502188</v>
      </c>
      <c r="K230">
        <f t="shared" si="27"/>
        <v>0.54545454545454564</v>
      </c>
      <c r="L230">
        <f>A230*COUNTIF(data!E:E,$J$2)/data!$M$2</f>
        <v>96.996815286624198</v>
      </c>
      <c r="M230" s="1">
        <f>A230/data!$M$2</f>
        <v>0.36464968152866239</v>
      </c>
      <c r="N230">
        <f t="shared" si="22"/>
        <v>1.391798272975014</v>
      </c>
    </row>
    <row r="231" spans="1:14" x14ac:dyDescent="0.2">
      <c r="A231">
        <v>230</v>
      </c>
      <c r="B231">
        <f>LARGE(data!G:G,A231)</f>
        <v>0.49821008999999999</v>
      </c>
      <c r="C231">
        <f>COUNTIFS(data!E:E,data!$I$2,data!G:G,"&gt;="&amp;B231)</f>
        <v>135</v>
      </c>
      <c r="D231">
        <f>COUNTIFS(data!E:E,data!$J$2,data!G:G,"&gt;="&amp;B231)</f>
        <v>95</v>
      </c>
      <c r="E231">
        <f>COUNTIFS(data!E:E,data!$J$2,data!G:G,"&lt;"&amp;B231)</f>
        <v>267</v>
      </c>
      <c r="F231">
        <f>COUNTIFS(data!E:E,data!$I$2,data!G:G,"&lt;"&amp;B231)</f>
        <v>131</v>
      </c>
      <c r="G231">
        <f t="shared" si="24"/>
        <v>0.26243093922651933</v>
      </c>
      <c r="H231">
        <f t="shared" si="25"/>
        <v>0.50751879699248126</v>
      </c>
      <c r="I231">
        <f t="shared" si="23"/>
        <v>1.4019856270510497E-3</v>
      </c>
      <c r="J231">
        <f t="shared" si="26"/>
        <v>0.58695652173913049</v>
      </c>
      <c r="K231">
        <f t="shared" si="27"/>
        <v>0.54435483870967749</v>
      </c>
      <c r="L231">
        <f>A231*COUNTIF(data!E:E,$J$2)/data!$M$2</f>
        <v>97.420382165605091</v>
      </c>
      <c r="M231" s="1">
        <f>A231/data!$M$2</f>
        <v>0.36624203821656048</v>
      </c>
      <c r="N231">
        <f t="shared" si="22"/>
        <v>1.3857469761359922</v>
      </c>
    </row>
    <row r="232" spans="1:14" x14ac:dyDescent="0.2">
      <c r="A232">
        <v>231</v>
      </c>
      <c r="B232">
        <f>LARGE(data!G:G,A232)</f>
        <v>0.49808526479999998</v>
      </c>
      <c r="C232">
        <f>COUNTIFS(data!E:E,data!$I$2,data!G:G,"&gt;="&amp;B232)</f>
        <v>138</v>
      </c>
      <c r="D232">
        <f>COUNTIFS(data!E:E,data!$J$2,data!G:G,"&gt;="&amp;B232)</f>
        <v>95</v>
      </c>
      <c r="E232">
        <f>COUNTIFS(data!E:E,data!$J$2,data!G:G,"&lt;"&amp;B232)</f>
        <v>267</v>
      </c>
      <c r="F232">
        <f>COUNTIFS(data!E:E,data!$I$2,data!G:G,"&lt;"&amp;B232)</f>
        <v>128</v>
      </c>
      <c r="G232">
        <f t="shared" si="24"/>
        <v>0.26243093922651933</v>
      </c>
      <c r="H232">
        <f t="shared" si="25"/>
        <v>0.51879699248120303</v>
      </c>
      <c r="I232">
        <f t="shared" si="23"/>
        <v>0</v>
      </c>
      <c r="J232">
        <f t="shared" si="26"/>
        <v>0.59227467811158796</v>
      </c>
      <c r="K232">
        <f t="shared" si="27"/>
        <v>0.5531062124248497</v>
      </c>
      <c r="L232">
        <f>A232*COUNTIF(data!E:E,$J$2)/data!$M$2</f>
        <v>97.843949044585983</v>
      </c>
      <c r="M232" s="1">
        <f>A232/data!$M$2</f>
        <v>0.36783439490445857</v>
      </c>
      <c r="N232">
        <f t="shared" si="22"/>
        <v>1.4104091397324481</v>
      </c>
    </row>
    <row r="233" spans="1:14" x14ac:dyDescent="0.2">
      <c r="A233">
        <v>232</v>
      </c>
      <c r="B233">
        <f>LARGE(data!G:G,A233)</f>
        <v>0.49808526479999998</v>
      </c>
      <c r="C233">
        <f>COUNTIFS(data!E:E,data!$I$2,data!G:G,"&gt;="&amp;B233)</f>
        <v>138</v>
      </c>
      <c r="D233">
        <f>COUNTIFS(data!E:E,data!$J$2,data!G:G,"&gt;="&amp;B233)</f>
        <v>95</v>
      </c>
      <c r="E233">
        <f>COUNTIFS(data!E:E,data!$J$2,data!G:G,"&lt;"&amp;B233)</f>
        <v>267</v>
      </c>
      <c r="F233">
        <f>COUNTIFS(data!E:E,data!$I$2,data!G:G,"&lt;"&amp;B233)</f>
        <v>128</v>
      </c>
      <c r="G233">
        <f t="shared" si="24"/>
        <v>0.26243093922651933</v>
      </c>
      <c r="H233">
        <f t="shared" si="25"/>
        <v>0.51879699248120303</v>
      </c>
      <c r="I233">
        <f t="shared" si="23"/>
        <v>0</v>
      </c>
      <c r="J233">
        <f t="shared" si="26"/>
        <v>0.59227467811158796</v>
      </c>
      <c r="K233">
        <f t="shared" si="27"/>
        <v>0.5531062124248497</v>
      </c>
      <c r="L233">
        <f>A233*COUNTIF(data!E:E,$J$2)/data!$M$2</f>
        <v>98.267515923566876</v>
      </c>
      <c r="M233" s="1">
        <f>A233/data!$M$2</f>
        <v>0.36942675159235666</v>
      </c>
      <c r="N233">
        <f t="shared" si="22"/>
        <v>1.404329789992222</v>
      </c>
    </row>
    <row r="234" spans="1:14" x14ac:dyDescent="0.2">
      <c r="A234">
        <v>233</v>
      </c>
      <c r="B234">
        <f>LARGE(data!G:G,A234)</f>
        <v>0.49808526479999998</v>
      </c>
      <c r="C234">
        <f>COUNTIFS(data!E:E,data!$I$2,data!G:G,"&gt;="&amp;B234)</f>
        <v>138</v>
      </c>
      <c r="D234">
        <f>COUNTIFS(data!E:E,data!$J$2,data!G:G,"&gt;="&amp;B234)</f>
        <v>95</v>
      </c>
      <c r="E234">
        <f>COUNTIFS(data!E:E,data!$J$2,data!G:G,"&lt;"&amp;B234)</f>
        <v>267</v>
      </c>
      <c r="F234">
        <f>COUNTIFS(data!E:E,data!$I$2,data!G:G,"&lt;"&amp;B234)</f>
        <v>128</v>
      </c>
      <c r="G234">
        <f t="shared" si="24"/>
        <v>0.26243093922651933</v>
      </c>
      <c r="H234">
        <f t="shared" si="25"/>
        <v>0.51879699248120303</v>
      </c>
      <c r="I234">
        <f t="shared" si="23"/>
        <v>0</v>
      </c>
      <c r="J234">
        <f t="shared" si="26"/>
        <v>0.59227467811158796</v>
      </c>
      <c r="K234">
        <f t="shared" si="27"/>
        <v>0.5531062124248497</v>
      </c>
      <c r="L234">
        <f>A234*COUNTIF(data!E:E,$J$2)/data!$M$2</f>
        <v>98.691082802547768</v>
      </c>
      <c r="M234" s="1">
        <f>A234/data!$M$2</f>
        <v>0.37101910828025475</v>
      </c>
      <c r="N234">
        <f t="shared" si="22"/>
        <v>1.3983026235115688</v>
      </c>
    </row>
    <row r="235" spans="1:14" x14ac:dyDescent="0.2">
      <c r="A235">
        <v>234</v>
      </c>
      <c r="B235">
        <f>LARGE(data!G:G,A235)</f>
        <v>0.49782251919999998</v>
      </c>
      <c r="C235">
        <f>COUNTIFS(data!E:E,data!$I$2,data!G:G,"&gt;="&amp;B235)</f>
        <v>138</v>
      </c>
      <c r="D235">
        <f>COUNTIFS(data!E:E,data!$J$2,data!G:G,"&gt;="&amp;B235)</f>
        <v>96</v>
      </c>
      <c r="E235">
        <f>COUNTIFS(data!E:E,data!$J$2,data!G:G,"&lt;"&amp;B235)</f>
        <v>266</v>
      </c>
      <c r="F235">
        <f>COUNTIFS(data!E:E,data!$I$2,data!G:G,"&lt;"&amp;B235)</f>
        <v>128</v>
      </c>
      <c r="G235">
        <f t="shared" si="24"/>
        <v>0.26519337016574585</v>
      </c>
      <c r="H235">
        <f t="shared" si="25"/>
        <v>0.51879699248120303</v>
      </c>
      <c r="I235">
        <f t="shared" si="23"/>
        <v>1.4331408632077395E-3</v>
      </c>
      <c r="J235">
        <f t="shared" si="26"/>
        <v>0.58974358974358976</v>
      </c>
      <c r="K235">
        <f t="shared" si="27"/>
        <v>0.55199999999999994</v>
      </c>
      <c r="L235">
        <f>A235*COUNTIF(data!E:E,$J$2)/data!$M$2</f>
        <v>99.114649681528661</v>
      </c>
      <c r="M235" s="1">
        <f>A235/data!$M$2</f>
        <v>0.37261146496815284</v>
      </c>
      <c r="N235">
        <f t="shared" si="22"/>
        <v>1.3923269712743398</v>
      </c>
    </row>
    <row r="236" spans="1:14" x14ac:dyDescent="0.2">
      <c r="A236">
        <v>235</v>
      </c>
      <c r="B236">
        <f>LARGE(data!G:G,A236)</f>
        <v>0.49781359009999998</v>
      </c>
      <c r="C236">
        <f>COUNTIFS(data!E:E,data!$I$2,data!G:G,"&gt;="&amp;B236)</f>
        <v>138</v>
      </c>
      <c r="D236">
        <f>COUNTIFS(data!E:E,data!$J$2,data!G:G,"&gt;="&amp;B236)</f>
        <v>97</v>
      </c>
      <c r="E236">
        <f>COUNTIFS(data!E:E,data!$J$2,data!G:G,"&lt;"&amp;B236)</f>
        <v>265</v>
      </c>
      <c r="F236">
        <f>COUNTIFS(data!E:E,data!$I$2,data!G:G,"&lt;"&amp;B236)</f>
        <v>128</v>
      </c>
      <c r="G236">
        <f t="shared" si="24"/>
        <v>0.26795580110497236</v>
      </c>
      <c r="H236">
        <f t="shared" si="25"/>
        <v>0.51879699248120303</v>
      </c>
      <c r="I236">
        <f t="shared" si="23"/>
        <v>1.4331408632077395E-3</v>
      </c>
      <c r="J236">
        <f t="shared" si="26"/>
        <v>0.58723404255319145</v>
      </c>
      <c r="K236">
        <f t="shared" si="27"/>
        <v>0.55089820359281438</v>
      </c>
      <c r="L236">
        <f>A236*COUNTIF(data!E:E,$J$2)/data!$M$2</f>
        <v>99.538216560509554</v>
      </c>
      <c r="M236" s="1">
        <f>A236/data!$M$2</f>
        <v>0.37420382165605093</v>
      </c>
      <c r="N236">
        <f t="shared" si="22"/>
        <v>1.3864021756518956</v>
      </c>
    </row>
    <row r="237" spans="1:14" x14ac:dyDescent="0.2">
      <c r="A237">
        <v>236</v>
      </c>
      <c r="B237">
        <f>LARGE(data!G:G,A237)</f>
        <v>0.49560267879999997</v>
      </c>
      <c r="C237">
        <f>COUNTIFS(data!E:E,data!$I$2,data!G:G,"&gt;="&amp;B237)</f>
        <v>138</v>
      </c>
      <c r="D237">
        <f>COUNTIFS(data!E:E,data!$J$2,data!G:G,"&gt;="&amp;B237)</f>
        <v>98</v>
      </c>
      <c r="E237">
        <f>COUNTIFS(data!E:E,data!$J$2,data!G:G,"&lt;"&amp;B237)</f>
        <v>264</v>
      </c>
      <c r="F237">
        <f>COUNTIFS(data!E:E,data!$I$2,data!G:G,"&lt;"&amp;B237)</f>
        <v>128</v>
      </c>
      <c r="G237">
        <f t="shared" si="24"/>
        <v>0.27071823204419887</v>
      </c>
      <c r="H237">
        <f t="shared" si="25"/>
        <v>0.51879699248120303</v>
      </c>
      <c r="I237">
        <f t="shared" si="23"/>
        <v>1.4331408632077395E-3</v>
      </c>
      <c r="J237">
        <f t="shared" si="26"/>
        <v>0.5847457627118644</v>
      </c>
      <c r="K237">
        <f t="shared" si="27"/>
        <v>0.54980079681274896</v>
      </c>
      <c r="L237">
        <f>A237*COUNTIF(data!E:E,$J$2)/data!$M$2</f>
        <v>99.961783439490446</v>
      </c>
      <c r="M237" s="1">
        <f>A237/data!$M$2</f>
        <v>0.37579617834394907</v>
      </c>
      <c r="N237">
        <f t="shared" si="22"/>
        <v>1.3805275901618452</v>
      </c>
    </row>
    <row r="238" spans="1:14" x14ac:dyDescent="0.2">
      <c r="A238">
        <v>237</v>
      </c>
      <c r="B238">
        <f>LARGE(data!G:G,A238)</f>
        <v>0.49484953549999999</v>
      </c>
      <c r="C238">
        <f>COUNTIFS(data!E:E,data!$I$2,data!G:G,"&gt;="&amp;B238)</f>
        <v>139</v>
      </c>
      <c r="D238">
        <f>COUNTIFS(data!E:E,data!$J$2,data!G:G,"&gt;="&amp;B238)</f>
        <v>98</v>
      </c>
      <c r="E238">
        <f>COUNTIFS(data!E:E,data!$J$2,data!G:G,"&lt;"&amp;B238)</f>
        <v>264</v>
      </c>
      <c r="F238">
        <f>COUNTIFS(data!E:E,data!$I$2,data!G:G,"&lt;"&amp;B238)</f>
        <v>127</v>
      </c>
      <c r="G238">
        <f t="shared" si="24"/>
        <v>0.27071823204419887</v>
      </c>
      <c r="H238">
        <f t="shared" si="25"/>
        <v>0.52255639097744366</v>
      </c>
      <c r="I238">
        <f t="shared" si="23"/>
        <v>0</v>
      </c>
      <c r="J238">
        <f t="shared" si="26"/>
        <v>0.5864978902953587</v>
      </c>
      <c r="K238">
        <f t="shared" si="27"/>
        <v>0.55268389662027839</v>
      </c>
      <c r="L238">
        <f>A238*COUNTIF(data!E:E,$J$2)/data!$M$2</f>
        <v>100.38535031847134</v>
      </c>
      <c r="M238" s="1">
        <f>A238/data!$M$2</f>
        <v>0.37738853503184716</v>
      </c>
      <c r="N238">
        <f t="shared" si="22"/>
        <v>1.3846641921258842</v>
      </c>
    </row>
    <row r="239" spans="1:14" x14ac:dyDescent="0.2">
      <c r="A239">
        <v>238</v>
      </c>
      <c r="B239">
        <f>LARGE(data!G:G,A239)</f>
        <v>0.49369622279999997</v>
      </c>
      <c r="C239">
        <f>COUNTIFS(data!E:E,data!$I$2,data!G:G,"&gt;="&amp;B239)</f>
        <v>140</v>
      </c>
      <c r="D239">
        <f>COUNTIFS(data!E:E,data!$J$2,data!G:G,"&gt;="&amp;B239)</f>
        <v>98</v>
      </c>
      <c r="E239">
        <f>COUNTIFS(data!E:E,data!$J$2,data!G:G,"&lt;"&amp;B239)</f>
        <v>264</v>
      </c>
      <c r="F239">
        <f>COUNTIFS(data!E:E,data!$I$2,data!G:G,"&lt;"&amp;B239)</f>
        <v>126</v>
      </c>
      <c r="G239">
        <f t="shared" si="24"/>
        <v>0.27071823204419887</v>
      </c>
      <c r="H239">
        <f t="shared" si="25"/>
        <v>0.52631578947368418</v>
      </c>
      <c r="I239">
        <f t="shared" si="23"/>
        <v>0</v>
      </c>
      <c r="J239">
        <f t="shared" si="26"/>
        <v>0.58823529411764708</v>
      </c>
      <c r="K239">
        <f t="shared" si="27"/>
        <v>0.55555555555555547</v>
      </c>
      <c r="L239">
        <f>A239*COUNTIF(data!E:E,$J$2)/data!$M$2</f>
        <v>100.80891719745223</v>
      </c>
      <c r="M239" s="1">
        <f>A239/data!$M$2</f>
        <v>0.37898089171974525</v>
      </c>
      <c r="N239">
        <f t="shared" si="22"/>
        <v>1.3887660327288811</v>
      </c>
    </row>
    <row r="240" spans="1:14" x14ac:dyDescent="0.2">
      <c r="A240">
        <v>239</v>
      </c>
      <c r="B240">
        <f>LARGE(data!G:G,A240)</f>
        <v>0.49362873470000002</v>
      </c>
      <c r="C240">
        <f>COUNTIFS(data!E:E,data!$I$2,data!G:G,"&gt;="&amp;B240)</f>
        <v>140</v>
      </c>
      <c r="D240">
        <f>COUNTIFS(data!E:E,data!$J$2,data!G:G,"&gt;="&amp;B240)</f>
        <v>99</v>
      </c>
      <c r="E240">
        <f>COUNTIFS(data!E:E,data!$J$2,data!G:G,"&lt;"&amp;B240)</f>
        <v>263</v>
      </c>
      <c r="F240">
        <f>COUNTIFS(data!E:E,data!$I$2,data!G:G,"&lt;"&amp;B240)</f>
        <v>126</v>
      </c>
      <c r="G240">
        <f t="shared" si="24"/>
        <v>0.27348066298342544</v>
      </c>
      <c r="H240">
        <f t="shared" si="25"/>
        <v>0.52631578947368418</v>
      </c>
      <c r="I240">
        <f t="shared" si="23"/>
        <v>1.4539110206455619E-3</v>
      </c>
      <c r="J240">
        <f t="shared" si="26"/>
        <v>0.58577405857740583</v>
      </c>
      <c r="K240">
        <f t="shared" si="27"/>
        <v>0.5544554455445545</v>
      </c>
      <c r="L240">
        <f>A240*COUNTIF(data!E:E,$J$2)/data!$M$2</f>
        <v>101.23248407643312</v>
      </c>
      <c r="M240" s="1">
        <f>A240/data!$M$2</f>
        <v>0.38057324840764334</v>
      </c>
      <c r="N240">
        <f t="shared" si="22"/>
        <v>1.3829552961902665</v>
      </c>
    </row>
    <row r="241" spans="1:14" x14ac:dyDescent="0.2">
      <c r="A241">
        <v>240</v>
      </c>
      <c r="B241">
        <f>LARGE(data!G:G,A241)</f>
        <v>0.4930834784</v>
      </c>
      <c r="C241">
        <f>COUNTIFS(data!E:E,data!$I$2,data!G:G,"&gt;="&amp;B241)</f>
        <v>141</v>
      </c>
      <c r="D241">
        <f>COUNTIFS(data!E:E,data!$J$2,data!G:G,"&gt;="&amp;B241)</f>
        <v>99</v>
      </c>
      <c r="E241">
        <f>COUNTIFS(data!E:E,data!$J$2,data!G:G,"&lt;"&amp;B241)</f>
        <v>263</v>
      </c>
      <c r="F241">
        <f>COUNTIFS(data!E:E,data!$I$2,data!G:G,"&lt;"&amp;B241)</f>
        <v>125</v>
      </c>
      <c r="G241">
        <f t="shared" si="24"/>
        <v>0.27348066298342544</v>
      </c>
      <c r="H241">
        <f t="shared" si="25"/>
        <v>0.53007518796992481</v>
      </c>
      <c r="I241">
        <f t="shared" si="23"/>
        <v>0</v>
      </c>
      <c r="J241">
        <f t="shared" si="26"/>
        <v>0.58750000000000002</v>
      </c>
      <c r="K241">
        <f t="shared" si="27"/>
        <v>0.55731225296442688</v>
      </c>
      <c r="L241">
        <f>A241*COUNTIF(data!E:E,$J$2)/data!$M$2</f>
        <v>101.65605095541402</v>
      </c>
      <c r="M241" s="1">
        <f>A241/data!$M$2</f>
        <v>0.38216560509554143</v>
      </c>
      <c r="N241">
        <f t="shared" si="22"/>
        <v>1.3870300751879698</v>
      </c>
    </row>
    <row r="242" spans="1:14" x14ac:dyDescent="0.2">
      <c r="A242">
        <v>241</v>
      </c>
      <c r="B242">
        <f>LARGE(data!G:G,A242)</f>
        <v>0.4930226915</v>
      </c>
      <c r="C242">
        <f>COUNTIFS(data!E:E,data!$I$2,data!G:G,"&gt;="&amp;B242)</f>
        <v>142</v>
      </c>
      <c r="D242">
        <f>COUNTIFS(data!E:E,data!$J$2,data!G:G,"&gt;="&amp;B242)</f>
        <v>99</v>
      </c>
      <c r="E242">
        <f>COUNTIFS(data!E:E,data!$J$2,data!G:G,"&lt;"&amp;B242)</f>
        <v>263</v>
      </c>
      <c r="F242">
        <f>COUNTIFS(data!E:E,data!$I$2,data!G:G,"&lt;"&amp;B242)</f>
        <v>124</v>
      </c>
      <c r="G242">
        <f t="shared" si="24"/>
        <v>0.27348066298342544</v>
      </c>
      <c r="H242">
        <f t="shared" si="25"/>
        <v>0.53383458646616544</v>
      </c>
      <c r="I242">
        <f t="shared" si="23"/>
        <v>0</v>
      </c>
      <c r="J242">
        <f t="shared" si="26"/>
        <v>0.58921161825726143</v>
      </c>
      <c r="K242">
        <f t="shared" si="27"/>
        <v>0.56015779092702178</v>
      </c>
      <c r="L242">
        <f>A242*COUNTIF(data!E:E,$J$2)/data!$M$2</f>
        <v>102.07961783439491</v>
      </c>
      <c r="M242" s="1">
        <f>A242/data!$M$2</f>
        <v>0.38375796178343952</v>
      </c>
      <c r="N242">
        <f t="shared" si="22"/>
        <v>1.3910710385923313</v>
      </c>
    </row>
    <row r="243" spans="1:14" x14ac:dyDescent="0.2">
      <c r="A243">
        <v>242</v>
      </c>
      <c r="B243">
        <f>LARGE(data!G:G,A243)</f>
        <v>0.4926359401</v>
      </c>
      <c r="C243">
        <f>COUNTIFS(data!E:E,data!$I$2,data!G:G,"&gt;="&amp;B243)</f>
        <v>142</v>
      </c>
      <c r="D243">
        <f>COUNTIFS(data!E:E,data!$J$2,data!G:G,"&gt;="&amp;B243)</f>
        <v>100</v>
      </c>
      <c r="E243">
        <f>COUNTIFS(data!E:E,data!$J$2,data!G:G,"&lt;"&amp;B243)</f>
        <v>262</v>
      </c>
      <c r="F243">
        <f>COUNTIFS(data!E:E,data!$I$2,data!G:G,"&lt;"&amp;B243)</f>
        <v>124</v>
      </c>
      <c r="G243">
        <f t="shared" si="24"/>
        <v>0.27624309392265195</v>
      </c>
      <c r="H243">
        <f t="shared" si="25"/>
        <v>0.53383458646616544</v>
      </c>
      <c r="I243">
        <f t="shared" si="23"/>
        <v>1.4746811780833261E-3</v>
      </c>
      <c r="J243">
        <f t="shared" si="26"/>
        <v>0.58677685950413228</v>
      </c>
      <c r="K243">
        <f t="shared" si="27"/>
        <v>0.55905511811023623</v>
      </c>
      <c r="L243">
        <f>A243*COUNTIF(data!E:E,$J$2)/data!$M$2</f>
        <v>102.5031847133758</v>
      </c>
      <c r="M243" s="1">
        <f>A243/data!$M$2</f>
        <v>0.38535031847133761</v>
      </c>
      <c r="N243">
        <f t="shared" si="22"/>
        <v>1.3853228111601317</v>
      </c>
    </row>
    <row r="244" spans="1:14" x14ac:dyDescent="0.2">
      <c r="A244">
        <v>243</v>
      </c>
      <c r="B244">
        <f>LARGE(data!G:G,A244)</f>
        <v>0.49203747149999999</v>
      </c>
      <c r="C244">
        <f>COUNTIFS(data!E:E,data!$I$2,data!G:G,"&gt;="&amp;B244)</f>
        <v>144</v>
      </c>
      <c r="D244">
        <f>COUNTIFS(data!E:E,data!$J$2,data!G:G,"&gt;="&amp;B244)</f>
        <v>100</v>
      </c>
      <c r="E244">
        <f>COUNTIFS(data!E:E,data!$J$2,data!G:G,"&lt;"&amp;B244)</f>
        <v>262</v>
      </c>
      <c r="F244">
        <f>COUNTIFS(data!E:E,data!$I$2,data!G:G,"&lt;"&amp;B244)</f>
        <v>122</v>
      </c>
      <c r="G244">
        <f t="shared" si="24"/>
        <v>0.27624309392265195</v>
      </c>
      <c r="H244">
        <f t="shared" si="25"/>
        <v>0.54135338345864659</v>
      </c>
      <c r="I244">
        <f t="shared" si="23"/>
        <v>0</v>
      </c>
      <c r="J244">
        <f t="shared" si="26"/>
        <v>0.5901639344262295</v>
      </c>
      <c r="K244">
        <f t="shared" si="27"/>
        <v>0.56470588235294117</v>
      </c>
      <c r="L244">
        <f>A244*COUNTIF(data!E:E,$J$2)/data!$M$2</f>
        <v>102.92675159235669</v>
      </c>
      <c r="M244" s="1">
        <f>A244/data!$M$2</f>
        <v>0.38694267515923569</v>
      </c>
      <c r="N244">
        <f t="shared" si="22"/>
        <v>1.3990531885268727</v>
      </c>
    </row>
    <row r="245" spans="1:14" x14ac:dyDescent="0.2">
      <c r="A245">
        <v>244</v>
      </c>
      <c r="B245">
        <f>LARGE(data!G:G,A245)</f>
        <v>0.49203747149999999</v>
      </c>
      <c r="C245">
        <f>COUNTIFS(data!E:E,data!$I$2,data!G:G,"&gt;="&amp;B245)</f>
        <v>144</v>
      </c>
      <c r="D245">
        <f>COUNTIFS(data!E:E,data!$J$2,data!G:G,"&gt;="&amp;B245)</f>
        <v>100</v>
      </c>
      <c r="E245">
        <f>COUNTIFS(data!E:E,data!$J$2,data!G:G,"&lt;"&amp;B245)</f>
        <v>262</v>
      </c>
      <c r="F245">
        <f>COUNTIFS(data!E:E,data!$I$2,data!G:G,"&lt;"&amp;B245)</f>
        <v>122</v>
      </c>
      <c r="G245">
        <f t="shared" si="24"/>
        <v>0.27624309392265195</v>
      </c>
      <c r="H245">
        <f t="shared" si="25"/>
        <v>0.54135338345864659</v>
      </c>
      <c r="I245">
        <f t="shared" si="23"/>
        <v>0</v>
      </c>
      <c r="J245">
        <f t="shared" si="26"/>
        <v>0.5901639344262295</v>
      </c>
      <c r="K245">
        <f t="shared" si="27"/>
        <v>0.56470588235294117</v>
      </c>
      <c r="L245">
        <f>A245*COUNTIF(data!E:E,$J$2)/data!$M$2</f>
        <v>103.35031847133757</v>
      </c>
      <c r="M245" s="1">
        <f>A245/data!$M$2</f>
        <v>0.38853503184713378</v>
      </c>
      <c r="N245">
        <f t="shared" si="22"/>
        <v>1.3933193639837298</v>
      </c>
    </row>
    <row r="246" spans="1:14" x14ac:dyDescent="0.2">
      <c r="A246">
        <v>245</v>
      </c>
      <c r="B246">
        <f>LARGE(data!G:G,A246)</f>
        <v>0.49062352409999999</v>
      </c>
      <c r="C246">
        <f>COUNTIFS(data!E:E,data!$I$2,data!G:G,"&gt;="&amp;B246)</f>
        <v>146</v>
      </c>
      <c r="D246">
        <f>COUNTIFS(data!E:E,data!$J$2,data!G:G,"&gt;="&amp;B246)</f>
        <v>100</v>
      </c>
      <c r="E246">
        <f>COUNTIFS(data!E:E,data!$J$2,data!G:G,"&lt;"&amp;B246)</f>
        <v>262</v>
      </c>
      <c r="F246">
        <f>COUNTIFS(data!E:E,data!$I$2,data!G:G,"&lt;"&amp;B246)</f>
        <v>120</v>
      </c>
      <c r="G246">
        <f t="shared" si="24"/>
        <v>0.27624309392265195</v>
      </c>
      <c r="H246">
        <f t="shared" si="25"/>
        <v>0.54887218045112784</v>
      </c>
      <c r="I246">
        <f t="shared" si="23"/>
        <v>0</v>
      </c>
      <c r="J246">
        <f t="shared" si="26"/>
        <v>0.5934959349593496</v>
      </c>
      <c r="K246">
        <f t="shared" si="27"/>
        <v>0.5703125</v>
      </c>
      <c r="L246">
        <f>A246*COUNTIF(data!E:E,$J$2)/data!$M$2</f>
        <v>103.77388535031847</v>
      </c>
      <c r="M246" s="1">
        <f>A246/data!$M$2</f>
        <v>0.39012738853503187</v>
      </c>
      <c r="N246">
        <f t="shared" si="22"/>
        <v>1.4069050176461564</v>
      </c>
    </row>
    <row r="247" spans="1:14" x14ac:dyDescent="0.2">
      <c r="A247">
        <v>246</v>
      </c>
      <c r="B247">
        <f>LARGE(data!G:G,A247)</f>
        <v>0.49062352409999999</v>
      </c>
      <c r="C247">
        <f>COUNTIFS(data!E:E,data!$I$2,data!G:G,"&gt;="&amp;B247)</f>
        <v>146</v>
      </c>
      <c r="D247">
        <f>COUNTIFS(data!E:E,data!$J$2,data!G:G,"&gt;="&amp;B247)</f>
        <v>100</v>
      </c>
      <c r="E247">
        <f>COUNTIFS(data!E:E,data!$J$2,data!G:G,"&lt;"&amp;B247)</f>
        <v>262</v>
      </c>
      <c r="F247">
        <f>COUNTIFS(data!E:E,data!$I$2,data!G:G,"&lt;"&amp;B247)</f>
        <v>120</v>
      </c>
      <c r="G247">
        <f t="shared" si="24"/>
        <v>0.27624309392265195</v>
      </c>
      <c r="H247">
        <f t="shared" si="25"/>
        <v>0.54887218045112784</v>
      </c>
      <c r="I247">
        <f t="shared" si="23"/>
        <v>0</v>
      </c>
      <c r="J247">
        <f t="shared" si="26"/>
        <v>0.5934959349593496</v>
      </c>
      <c r="K247">
        <f t="shared" si="27"/>
        <v>0.5703125</v>
      </c>
      <c r="L247">
        <f>A247*COUNTIF(data!E:E,$J$2)/data!$M$2</f>
        <v>104.19745222929936</v>
      </c>
      <c r="M247" s="1">
        <f>A247/data!$M$2</f>
        <v>0.39171974522292996</v>
      </c>
      <c r="N247">
        <f t="shared" si="22"/>
        <v>1.4011858915581639</v>
      </c>
    </row>
    <row r="248" spans="1:14" x14ac:dyDescent="0.2">
      <c r="A248">
        <v>247</v>
      </c>
      <c r="B248">
        <f>LARGE(data!G:G,A248)</f>
        <v>0.48744570669999998</v>
      </c>
      <c r="C248">
        <f>COUNTIFS(data!E:E,data!$I$2,data!G:G,"&gt;="&amp;B248)</f>
        <v>146</v>
      </c>
      <c r="D248">
        <f>COUNTIFS(data!E:E,data!$J$2,data!G:G,"&gt;="&amp;B248)</f>
        <v>101</v>
      </c>
      <c r="E248">
        <f>COUNTIFS(data!E:E,data!$J$2,data!G:G,"&lt;"&amp;B248)</f>
        <v>261</v>
      </c>
      <c r="F248">
        <f>COUNTIFS(data!E:E,data!$I$2,data!G:G,"&lt;"&amp;B248)</f>
        <v>120</v>
      </c>
      <c r="G248">
        <f t="shared" si="24"/>
        <v>0.27900552486187846</v>
      </c>
      <c r="H248">
        <f t="shared" si="25"/>
        <v>0.54887218045112784</v>
      </c>
      <c r="I248">
        <f t="shared" si="23"/>
        <v>1.5162214929589127E-3</v>
      </c>
      <c r="J248">
        <f t="shared" si="26"/>
        <v>0.59109311740890691</v>
      </c>
      <c r="K248">
        <f t="shared" si="27"/>
        <v>0.5692007797270956</v>
      </c>
      <c r="L248">
        <f>A248*COUNTIF(data!E:E,$J$2)/data!$M$2</f>
        <v>104.62101910828025</v>
      </c>
      <c r="M248" s="1">
        <f>A248/data!$M$2</f>
        <v>0.39331210191082805</v>
      </c>
      <c r="N248">
        <f t="shared" si="22"/>
        <v>1.3955130741834343</v>
      </c>
    </row>
    <row r="249" spans="1:14" x14ac:dyDescent="0.2">
      <c r="A249">
        <v>248</v>
      </c>
      <c r="B249">
        <f>LARGE(data!G:G,A249)</f>
        <v>0.48558572160000002</v>
      </c>
      <c r="C249">
        <f>COUNTIFS(data!E:E,data!$I$2,data!G:G,"&gt;="&amp;B249)</f>
        <v>146</v>
      </c>
      <c r="D249">
        <f>COUNTIFS(data!E:E,data!$J$2,data!G:G,"&gt;="&amp;B249)</f>
        <v>102</v>
      </c>
      <c r="E249">
        <f>COUNTIFS(data!E:E,data!$J$2,data!G:G,"&lt;"&amp;B249)</f>
        <v>260</v>
      </c>
      <c r="F249">
        <f>COUNTIFS(data!E:E,data!$I$2,data!G:G,"&lt;"&amp;B249)</f>
        <v>120</v>
      </c>
      <c r="G249">
        <f t="shared" si="24"/>
        <v>0.28176795580110497</v>
      </c>
      <c r="H249">
        <f t="shared" si="25"/>
        <v>0.54887218045112784</v>
      </c>
      <c r="I249">
        <f t="shared" si="23"/>
        <v>1.5162214929589127E-3</v>
      </c>
      <c r="J249">
        <f t="shared" si="26"/>
        <v>0.58870967741935487</v>
      </c>
      <c r="K249">
        <f t="shared" si="27"/>
        <v>0.56809338521400787</v>
      </c>
      <c r="L249">
        <f>A249*COUNTIF(data!E:E,$J$2)/data!$M$2</f>
        <v>105.04458598726114</v>
      </c>
      <c r="M249" s="1">
        <f>A249/data!$M$2</f>
        <v>0.39490445859872614</v>
      </c>
      <c r="N249">
        <f t="shared" si="22"/>
        <v>1.3898860053359205</v>
      </c>
    </row>
    <row r="250" spans="1:14" x14ac:dyDescent="0.2">
      <c r="A250">
        <v>249</v>
      </c>
      <c r="B250">
        <f>LARGE(data!G:G,A250)</f>
        <v>0.48528071119999999</v>
      </c>
      <c r="C250">
        <f>COUNTIFS(data!E:E,data!$I$2,data!G:G,"&gt;="&amp;B250)</f>
        <v>146</v>
      </c>
      <c r="D250">
        <f>COUNTIFS(data!E:E,data!$J$2,data!G:G,"&gt;="&amp;B250)</f>
        <v>103</v>
      </c>
      <c r="E250">
        <f>COUNTIFS(data!E:E,data!$J$2,data!G:G,"&lt;"&amp;B250)</f>
        <v>259</v>
      </c>
      <c r="F250">
        <f>COUNTIFS(data!E:E,data!$I$2,data!G:G,"&lt;"&amp;B250)</f>
        <v>120</v>
      </c>
      <c r="G250">
        <f t="shared" si="24"/>
        <v>0.28453038674033149</v>
      </c>
      <c r="H250">
        <f t="shared" si="25"/>
        <v>0.54887218045112784</v>
      </c>
      <c r="I250">
        <f t="shared" si="23"/>
        <v>1.5162214929589127E-3</v>
      </c>
      <c r="J250">
        <f t="shared" si="26"/>
        <v>0.58634538152610438</v>
      </c>
      <c r="K250">
        <f t="shared" si="27"/>
        <v>0.56699029126213596</v>
      </c>
      <c r="L250">
        <f>A250*COUNTIF(data!E:E,$J$2)/data!$M$2</f>
        <v>105.46815286624204</v>
      </c>
      <c r="M250" s="1">
        <f>A250/data!$M$2</f>
        <v>0.39649681528662423</v>
      </c>
      <c r="N250">
        <f t="shared" si="22"/>
        <v>1.3843041338285473</v>
      </c>
    </row>
    <row r="251" spans="1:14" x14ac:dyDescent="0.2">
      <c r="A251">
        <v>250</v>
      </c>
      <c r="B251">
        <f>LARGE(data!G:G,A251)</f>
        <v>0.4829122132</v>
      </c>
      <c r="C251">
        <f>COUNTIFS(data!E:E,data!$I$2,data!G:G,"&gt;="&amp;B251)</f>
        <v>147</v>
      </c>
      <c r="D251">
        <f>COUNTIFS(data!E:E,data!$J$2,data!G:G,"&gt;="&amp;B251)</f>
        <v>104</v>
      </c>
      <c r="E251">
        <f>COUNTIFS(data!E:E,data!$J$2,data!G:G,"&lt;"&amp;B251)</f>
        <v>258</v>
      </c>
      <c r="F251">
        <f>COUNTIFS(data!E:E,data!$I$2,data!G:G,"&lt;"&amp;B251)</f>
        <v>119</v>
      </c>
      <c r="G251">
        <f t="shared" si="24"/>
        <v>0.287292817679558</v>
      </c>
      <c r="H251">
        <f t="shared" si="25"/>
        <v>0.55263157894736847</v>
      </c>
      <c r="I251">
        <f t="shared" si="23"/>
        <v>1.5214140323183611E-3</v>
      </c>
      <c r="J251">
        <f t="shared" si="26"/>
        <v>0.58565737051792832</v>
      </c>
      <c r="K251">
        <f t="shared" si="27"/>
        <v>0.56866537717601551</v>
      </c>
      <c r="L251">
        <f>A251*COUNTIF(data!E:E,$J$2)/data!$M$2</f>
        <v>105.89171974522293</v>
      </c>
      <c r="M251" s="1">
        <f>A251/data!$M$2</f>
        <v>0.39808917197452232</v>
      </c>
      <c r="N251">
        <f t="shared" si="22"/>
        <v>1.3882105263157896</v>
      </c>
    </row>
    <row r="252" spans="1:14" x14ac:dyDescent="0.2">
      <c r="A252">
        <v>251</v>
      </c>
      <c r="B252">
        <f>LARGE(data!G:G,A252)</f>
        <v>0.4829122132</v>
      </c>
      <c r="C252">
        <f>COUNTIFS(data!E:E,data!$I$2,data!G:G,"&gt;="&amp;B252)</f>
        <v>147</v>
      </c>
      <c r="D252">
        <f>COUNTIFS(data!E:E,data!$J$2,data!G:G,"&gt;="&amp;B252)</f>
        <v>104</v>
      </c>
      <c r="E252">
        <f>COUNTIFS(data!E:E,data!$J$2,data!G:G,"&lt;"&amp;B252)</f>
        <v>258</v>
      </c>
      <c r="F252">
        <f>COUNTIFS(data!E:E,data!$I$2,data!G:G,"&lt;"&amp;B252)</f>
        <v>119</v>
      </c>
      <c r="G252">
        <f t="shared" ref="G252:G315" si="28">D252/(E252+D252)</f>
        <v>0.287292817679558</v>
      </c>
      <c r="H252">
        <f t="shared" ref="H252:H315" si="29">C252/(C252+F252)</f>
        <v>0.55263157894736847</v>
      </c>
      <c r="I252">
        <f t="shared" ref="I252:I315" si="30">(G252-G251)*(H252+H251)*0.5</f>
        <v>0</v>
      </c>
      <c r="J252">
        <f t="shared" ref="J252:J315" si="31">C252/(C252+D252)</f>
        <v>0.58565737051792832</v>
      </c>
      <c r="K252">
        <f t="shared" ref="K252:K315" si="32">2*J252*H252/(J252+H252)</f>
        <v>0.56866537717601551</v>
      </c>
      <c r="L252">
        <f>A252*COUNTIF(data!E:E,$J$2)/data!$M$2</f>
        <v>106.31528662420382</v>
      </c>
      <c r="M252" s="1">
        <f>A252/data!$M$2</f>
        <v>0.3996815286624204</v>
      </c>
      <c r="N252">
        <f t="shared" ref="N252:N315" si="33">C252/L252</f>
        <v>1.3826798070874398</v>
      </c>
    </row>
    <row r="253" spans="1:14" x14ac:dyDescent="0.2">
      <c r="A253">
        <v>252</v>
      </c>
      <c r="B253">
        <f>LARGE(data!G:G,A253)</f>
        <v>0.48230852689999998</v>
      </c>
      <c r="C253">
        <f>COUNTIFS(data!E:E,data!$I$2,data!G:G,"&gt;="&amp;B253)</f>
        <v>150</v>
      </c>
      <c r="D253">
        <f>COUNTIFS(data!E:E,data!$J$2,data!G:G,"&gt;="&amp;B253)</f>
        <v>104</v>
      </c>
      <c r="E253">
        <f>COUNTIFS(data!E:E,data!$J$2,data!G:G,"&lt;"&amp;B253)</f>
        <v>258</v>
      </c>
      <c r="F253">
        <f>COUNTIFS(data!E:E,data!$I$2,data!G:G,"&lt;"&amp;B253)</f>
        <v>116</v>
      </c>
      <c r="G253">
        <f t="shared" si="28"/>
        <v>0.287292817679558</v>
      </c>
      <c r="H253">
        <f t="shared" si="29"/>
        <v>0.56390977443609025</v>
      </c>
      <c r="I253">
        <f t="shared" si="30"/>
        <v>0</v>
      </c>
      <c r="J253">
        <f t="shared" si="31"/>
        <v>0.59055118110236215</v>
      </c>
      <c r="K253">
        <f t="shared" si="32"/>
        <v>0.57692307692307687</v>
      </c>
      <c r="L253">
        <f>A253*COUNTIF(data!E:E,$J$2)/data!$M$2</f>
        <v>106.73885350318471</v>
      </c>
      <c r="M253" s="1">
        <f>A253/data!$M$2</f>
        <v>0.40127388535031849</v>
      </c>
      <c r="N253">
        <f t="shared" si="33"/>
        <v>1.4052989616899392</v>
      </c>
    </row>
    <row r="254" spans="1:14" x14ac:dyDescent="0.2">
      <c r="A254">
        <v>253</v>
      </c>
      <c r="B254">
        <f>LARGE(data!G:G,A254)</f>
        <v>0.48230852689999998</v>
      </c>
      <c r="C254">
        <f>COUNTIFS(data!E:E,data!$I$2,data!G:G,"&gt;="&amp;B254)</f>
        <v>150</v>
      </c>
      <c r="D254">
        <f>COUNTIFS(data!E:E,data!$J$2,data!G:G,"&gt;="&amp;B254)</f>
        <v>104</v>
      </c>
      <c r="E254">
        <f>COUNTIFS(data!E:E,data!$J$2,data!G:G,"&lt;"&amp;B254)</f>
        <v>258</v>
      </c>
      <c r="F254">
        <f>COUNTIFS(data!E:E,data!$I$2,data!G:G,"&lt;"&amp;B254)</f>
        <v>116</v>
      </c>
      <c r="G254">
        <f t="shared" si="28"/>
        <v>0.287292817679558</v>
      </c>
      <c r="H254">
        <f t="shared" si="29"/>
        <v>0.56390977443609025</v>
      </c>
      <c r="I254">
        <f t="shared" si="30"/>
        <v>0</v>
      </c>
      <c r="J254">
        <f t="shared" si="31"/>
        <v>0.59055118110236215</v>
      </c>
      <c r="K254">
        <f t="shared" si="32"/>
        <v>0.57692307692307687</v>
      </c>
      <c r="L254">
        <f>A254*COUNTIF(data!E:E,$J$2)/data!$M$2</f>
        <v>107.16242038216561</v>
      </c>
      <c r="M254" s="1">
        <f>A254/data!$M$2</f>
        <v>0.40286624203821658</v>
      </c>
      <c r="N254">
        <f t="shared" si="33"/>
        <v>1.3997444203393861</v>
      </c>
    </row>
    <row r="255" spans="1:14" x14ac:dyDescent="0.2">
      <c r="A255">
        <v>254</v>
      </c>
      <c r="B255">
        <f>LARGE(data!G:G,A255)</f>
        <v>0.48230852689999998</v>
      </c>
      <c r="C255">
        <f>COUNTIFS(data!E:E,data!$I$2,data!G:G,"&gt;="&amp;B255)</f>
        <v>150</v>
      </c>
      <c r="D255">
        <f>COUNTIFS(data!E:E,data!$J$2,data!G:G,"&gt;="&amp;B255)</f>
        <v>104</v>
      </c>
      <c r="E255">
        <f>COUNTIFS(data!E:E,data!$J$2,data!G:G,"&lt;"&amp;B255)</f>
        <v>258</v>
      </c>
      <c r="F255">
        <f>COUNTIFS(data!E:E,data!$I$2,data!G:G,"&lt;"&amp;B255)</f>
        <v>116</v>
      </c>
      <c r="G255">
        <f t="shared" si="28"/>
        <v>0.287292817679558</v>
      </c>
      <c r="H255">
        <f t="shared" si="29"/>
        <v>0.56390977443609025</v>
      </c>
      <c r="I255">
        <f t="shared" si="30"/>
        <v>0</v>
      </c>
      <c r="J255">
        <f t="shared" si="31"/>
        <v>0.59055118110236215</v>
      </c>
      <c r="K255">
        <f t="shared" si="32"/>
        <v>0.57692307692307687</v>
      </c>
      <c r="L255">
        <f>A255*COUNTIF(data!E:E,$J$2)/data!$M$2</f>
        <v>107.5859872611465</v>
      </c>
      <c r="M255" s="1">
        <f>A255/data!$M$2</f>
        <v>0.40445859872611467</v>
      </c>
      <c r="N255">
        <f t="shared" si="33"/>
        <v>1.3942336155349002</v>
      </c>
    </row>
    <row r="256" spans="1:14" x14ac:dyDescent="0.2">
      <c r="A256">
        <v>255</v>
      </c>
      <c r="B256">
        <f>LARGE(data!G:G,A256)</f>
        <v>0.48222456559999999</v>
      </c>
      <c r="C256">
        <f>COUNTIFS(data!E:E,data!$I$2,data!G:G,"&gt;="&amp;B256)</f>
        <v>150</v>
      </c>
      <c r="D256">
        <f>COUNTIFS(data!E:E,data!$J$2,data!G:G,"&gt;="&amp;B256)</f>
        <v>105</v>
      </c>
      <c r="E256">
        <f>COUNTIFS(data!E:E,data!$J$2,data!G:G,"&lt;"&amp;B256)</f>
        <v>257</v>
      </c>
      <c r="F256">
        <f>COUNTIFS(data!E:E,data!$I$2,data!G:G,"&lt;"&amp;B256)</f>
        <v>116</v>
      </c>
      <c r="G256">
        <f t="shared" si="28"/>
        <v>0.29005524861878451</v>
      </c>
      <c r="H256">
        <f t="shared" si="29"/>
        <v>0.56390977443609025</v>
      </c>
      <c r="I256">
        <f t="shared" si="30"/>
        <v>1.5577618078344996E-3</v>
      </c>
      <c r="J256">
        <f t="shared" si="31"/>
        <v>0.58823529411764708</v>
      </c>
      <c r="K256">
        <f t="shared" si="32"/>
        <v>0.57581573896353166</v>
      </c>
      <c r="L256">
        <f>A256*COUNTIF(data!E:E,$J$2)/data!$M$2</f>
        <v>108.00955414012739</v>
      </c>
      <c r="M256" s="1">
        <f>A256/data!$M$2</f>
        <v>0.40605095541401276</v>
      </c>
      <c r="N256">
        <f t="shared" si="33"/>
        <v>1.3887660327288809</v>
      </c>
    </row>
    <row r="257" spans="1:14" x14ac:dyDescent="0.2">
      <c r="A257">
        <v>256</v>
      </c>
      <c r="B257">
        <f>LARGE(data!G:G,A257)</f>
        <v>0.48186709259999999</v>
      </c>
      <c r="C257">
        <f>COUNTIFS(data!E:E,data!$I$2,data!G:G,"&gt;="&amp;B257)</f>
        <v>150</v>
      </c>
      <c r="D257">
        <f>COUNTIFS(data!E:E,data!$J$2,data!G:G,"&gt;="&amp;B257)</f>
        <v>106</v>
      </c>
      <c r="E257">
        <f>COUNTIFS(data!E:E,data!$J$2,data!G:G,"&lt;"&amp;B257)</f>
        <v>256</v>
      </c>
      <c r="F257">
        <f>COUNTIFS(data!E:E,data!$I$2,data!G:G,"&lt;"&amp;B257)</f>
        <v>116</v>
      </c>
      <c r="G257">
        <f t="shared" si="28"/>
        <v>0.29281767955801102</v>
      </c>
      <c r="H257">
        <f t="shared" si="29"/>
        <v>0.56390977443609025</v>
      </c>
      <c r="I257">
        <f t="shared" si="30"/>
        <v>1.5577618078344996E-3</v>
      </c>
      <c r="J257">
        <f t="shared" si="31"/>
        <v>0.5859375</v>
      </c>
      <c r="K257">
        <f t="shared" si="32"/>
        <v>0.57471264367816099</v>
      </c>
      <c r="L257">
        <f>A257*COUNTIF(data!E:E,$J$2)/data!$M$2</f>
        <v>108.43312101910828</v>
      </c>
      <c r="M257" s="1">
        <f>A257/data!$M$2</f>
        <v>0.40764331210191085</v>
      </c>
      <c r="N257">
        <f t="shared" si="33"/>
        <v>1.3833411654135337</v>
      </c>
    </row>
    <row r="258" spans="1:14" x14ac:dyDescent="0.2">
      <c r="A258">
        <v>257</v>
      </c>
      <c r="B258">
        <f>LARGE(data!G:G,A258)</f>
        <v>0.48065822050000001</v>
      </c>
      <c r="C258">
        <f>COUNTIFS(data!E:E,data!$I$2,data!G:G,"&gt;="&amp;B258)</f>
        <v>150</v>
      </c>
      <c r="D258">
        <f>COUNTIFS(data!E:E,data!$J$2,data!G:G,"&gt;="&amp;B258)</f>
        <v>107</v>
      </c>
      <c r="E258">
        <f>COUNTIFS(data!E:E,data!$J$2,data!G:G,"&lt;"&amp;B258)</f>
        <v>255</v>
      </c>
      <c r="F258">
        <f>COUNTIFS(data!E:E,data!$I$2,data!G:G,"&lt;"&amp;B258)</f>
        <v>116</v>
      </c>
      <c r="G258">
        <f t="shared" si="28"/>
        <v>0.29558011049723759</v>
      </c>
      <c r="H258">
        <f t="shared" si="29"/>
        <v>0.56390977443609025</v>
      </c>
      <c r="I258">
        <f t="shared" si="30"/>
        <v>1.5577618078345308E-3</v>
      </c>
      <c r="J258">
        <f t="shared" si="31"/>
        <v>0.58365758754863817</v>
      </c>
      <c r="K258">
        <f t="shared" si="32"/>
        <v>0.57361376673040154</v>
      </c>
      <c r="L258">
        <f>A258*COUNTIF(data!E:E,$J$2)/data!$M$2</f>
        <v>108.85668789808918</v>
      </c>
      <c r="M258" s="1">
        <f>A258/data!$M$2</f>
        <v>0.40923566878980894</v>
      </c>
      <c r="N258">
        <f t="shared" si="33"/>
        <v>1.3779585149644538</v>
      </c>
    </row>
    <row r="259" spans="1:14" x14ac:dyDescent="0.2">
      <c r="A259">
        <v>258</v>
      </c>
      <c r="B259">
        <f>LARGE(data!G:G,A259)</f>
        <v>0.47883329409999997</v>
      </c>
      <c r="C259">
        <f>COUNTIFS(data!E:E,data!$I$2,data!G:G,"&gt;="&amp;B259)</f>
        <v>150</v>
      </c>
      <c r="D259">
        <f>COUNTIFS(data!E:E,data!$J$2,data!G:G,"&gt;="&amp;B259)</f>
        <v>108</v>
      </c>
      <c r="E259">
        <f>COUNTIFS(data!E:E,data!$J$2,data!G:G,"&lt;"&amp;B259)</f>
        <v>254</v>
      </c>
      <c r="F259">
        <f>COUNTIFS(data!E:E,data!$I$2,data!G:G,"&lt;"&amp;B259)</f>
        <v>116</v>
      </c>
      <c r="G259">
        <f t="shared" si="28"/>
        <v>0.2983425414364641</v>
      </c>
      <c r="H259">
        <f t="shared" si="29"/>
        <v>0.56390977443609025</v>
      </c>
      <c r="I259">
        <f t="shared" si="30"/>
        <v>1.5577618078344996E-3</v>
      </c>
      <c r="J259">
        <f t="shared" si="31"/>
        <v>0.58139534883720934</v>
      </c>
      <c r="K259">
        <f t="shared" si="32"/>
        <v>0.5725190839694656</v>
      </c>
      <c r="L259">
        <f>A259*COUNTIF(data!E:E,$J$2)/data!$M$2</f>
        <v>109.28025477707007</v>
      </c>
      <c r="M259" s="1">
        <f>A259/data!$M$2</f>
        <v>0.41082802547770703</v>
      </c>
      <c r="N259">
        <f t="shared" si="33"/>
        <v>1.3726175904878475</v>
      </c>
    </row>
    <row r="260" spans="1:14" x14ac:dyDescent="0.2">
      <c r="A260">
        <v>259</v>
      </c>
      <c r="B260">
        <f>LARGE(data!G:G,A260)</f>
        <v>0.47617810669999999</v>
      </c>
      <c r="C260">
        <f>COUNTIFS(data!E:E,data!$I$2,data!G:G,"&gt;="&amp;B260)</f>
        <v>150</v>
      </c>
      <c r="D260">
        <f>COUNTIFS(data!E:E,data!$J$2,data!G:G,"&gt;="&amp;B260)</f>
        <v>109</v>
      </c>
      <c r="E260">
        <f>COUNTIFS(data!E:E,data!$J$2,data!G:G,"&lt;"&amp;B260)</f>
        <v>253</v>
      </c>
      <c r="F260">
        <f>COUNTIFS(data!E:E,data!$I$2,data!G:G,"&lt;"&amp;B260)</f>
        <v>116</v>
      </c>
      <c r="G260">
        <f t="shared" si="28"/>
        <v>0.30110497237569062</v>
      </c>
      <c r="H260">
        <f t="shared" si="29"/>
        <v>0.56390977443609025</v>
      </c>
      <c r="I260">
        <f t="shared" si="30"/>
        <v>1.5577618078344996E-3</v>
      </c>
      <c r="J260">
        <f t="shared" si="31"/>
        <v>0.5791505791505791</v>
      </c>
      <c r="K260">
        <f t="shared" si="32"/>
        <v>0.5714285714285714</v>
      </c>
      <c r="L260">
        <f>A260*COUNTIF(data!E:E,$J$2)/data!$M$2</f>
        <v>109.70382165605096</v>
      </c>
      <c r="M260" s="1">
        <f>A260/data!$M$2</f>
        <v>0.41242038216560511</v>
      </c>
      <c r="N260">
        <f t="shared" si="33"/>
        <v>1.3673179086712921</v>
      </c>
    </row>
    <row r="261" spans="1:14" x14ac:dyDescent="0.2">
      <c r="A261">
        <v>260</v>
      </c>
      <c r="B261">
        <f>LARGE(data!G:G,A261)</f>
        <v>0.47590771199999998</v>
      </c>
      <c r="C261">
        <f>COUNTIFS(data!E:E,data!$I$2,data!G:G,"&gt;="&amp;B261)</f>
        <v>153</v>
      </c>
      <c r="D261">
        <f>COUNTIFS(data!E:E,data!$J$2,data!G:G,"&gt;="&amp;B261)</f>
        <v>109</v>
      </c>
      <c r="E261">
        <f>COUNTIFS(data!E:E,data!$J$2,data!G:G,"&lt;"&amp;B261)</f>
        <v>253</v>
      </c>
      <c r="F261">
        <f>COUNTIFS(data!E:E,data!$I$2,data!G:G,"&lt;"&amp;B261)</f>
        <v>113</v>
      </c>
      <c r="G261">
        <f t="shared" si="28"/>
        <v>0.30110497237569062</v>
      </c>
      <c r="H261">
        <f t="shared" si="29"/>
        <v>0.57518796992481203</v>
      </c>
      <c r="I261">
        <f t="shared" si="30"/>
        <v>0</v>
      </c>
      <c r="J261">
        <f t="shared" si="31"/>
        <v>0.58396946564885499</v>
      </c>
      <c r="K261">
        <f t="shared" si="32"/>
        <v>0.57954545454545459</v>
      </c>
      <c r="L261">
        <f>A261*COUNTIF(data!E:E,$J$2)/data!$M$2</f>
        <v>110.12738853503184</v>
      </c>
      <c r="M261" s="1">
        <f>A261/data!$M$2</f>
        <v>0.4140127388535032</v>
      </c>
      <c r="N261">
        <f t="shared" si="33"/>
        <v>1.3893001735107</v>
      </c>
    </row>
    <row r="262" spans="1:14" x14ac:dyDescent="0.2">
      <c r="A262">
        <v>261</v>
      </c>
      <c r="B262">
        <f>LARGE(data!G:G,A262)</f>
        <v>0.47590771199999998</v>
      </c>
      <c r="C262">
        <f>COUNTIFS(data!E:E,data!$I$2,data!G:G,"&gt;="&amp;B262)</f>
        <v>153</v>
      </c>
      <c r="D262">
        <f>COUNTIFS(data!E:E,data!$J$2,data!G:G,"&gt;="&amp;B262)</f>
        <v>109</v>
      </c>
      <c r="E262">
        <f>COUNTIFS(data!E:E,data!$J$2,data!G:G,"&lt;"&amp;B262)</f>
        <v>253</v>
      </c>
      <c r="F262">
        <f>COUNTIFS(data!E:E,data!$I$2,data!G:G,"&lt;"&amp;B262)</f>
        <v>113</v>
      </c>
      <c r="G262">
        <f t="shared" si="28"/>
        <v>0.30110497237569062</v>
      </c>
      <c r="H262">
        <f t="shared" si="29"/>
        <v>0.57518796992481203</v>
      </c>
      <c r="I262">
        <f t="shared" si="30"/>
        <v>0</v>
      </c>
      <c r="J262">
        <f t="shared" si="31"/>
        <v>0.58396946564885499</v>
      </c>
      <c r="K262">
        <f t="shared" si="32"/>
        <v>0.57954545454545459</v>
      </c>
      <c r="L262">
        <f>A262*COUNTIF(data!E:E,$J$2)/data!$M$2</f>
        <v>110.55095541401273</v>
      </c>
      <c r="M262" s="1">
        <f>A262/data!$M$2</f>
        <v>0.41560509554140129</v>
      </c>
      <c r="N262">
        <f t="shared" si="33"/>
        <v>1.3839771843401607</v>
      </c>
    </row>
    <row r="263" spans="1:14" x14ac:dyDescent="0.2">
      <c r="A263">
        <v>262</v>
      </c>
      <c r="B263">
        <f>LARGE(data!G:G,A263)</f>
        <v>0.47590771199999998</v>
      </c>
      <c r="C263">
        <f>COUNTIFS(data!E:E,data!$I$2,data!G:G,"&gt;="&amp;B263)</f>
        <v>153</v>
      </c>
      <c r="D263">
        <f>COUNTIFS(data!E:E,data!$J$2,data!G:G,"&gt;="&amp;B263)</f>
        <v>109</v>
      </c>
      <c r="E263">
        <f>COUNTIFS(data!E:E,data!$J$2,data!G:G,"&lt;"&amp;B263)</f>
        <v>253</v>
      </c>
      <c r="F263">
        <f>COUNTIFS(data!E:E,data!$I$2,data!G:G,"&lt;"&amp;B263)</f>
        <v>113</v>
      </c>
      <c r="G263">
        <f t="shared" si="28"/>
        <v>0.30110497237569062</v>
      </c>
      <c r="H263">
        <f t="shared" si="29"/>
        <v>0.57518796992481203</v>
      </c>
      <c r="I263">
        <f t="shared" si="30"/>
        <v>0</v>
      </c>
      <c r="J263">
        <f t="shared" si="31"/>
        <v>0.58396946564885499</v>
      </c>
      <c r="K263">
        <f t="shared" si="32"/>
        <v>0.57954545454545459</v>
      </c>
      <c r="L263">
        <f>A263*COUNTIF(data!E:E,$J$2)/data!$M$2</f>
        <v>110.97452229299363</v>
      </c>
      <c r="M263" s="1">
        <f>A263/data!$M$2</f>
        <v>0.41719745222929938</v>
      </c>
      <c r="N263">
        <f t="shared" si="33"/>
        <v>1.3786948286747402</v>
      </c>
    </row>
    <row r="264" spans="1:14" x14ac:dyDescent="0.2">
      <c r="A264">
        <v>263</v>
      </c>
      <c r="B264">
        <f>LARGE(data!G:G,A264)</f>
        <v>0.47519729840000002</v>
      </c>
      <c r="C264">
        <f>COUNTIFS(data!E:E,data!$I$2,data!G:G,"&gt;="&amp;B264)</f>
        <v>153</v>
      </c>
      <c r="D264">
        <f>COUNTIFS(data!E:E,data!$J$2,data!G:G,"&gt;="&amp;B264)</f>
        <v>110</v>
      </c>
      <c r="E264">
        <f>COUNTIFS(data!E:E,data!$J$2,data!G:G,"&lt;"&amp;B264)</f>
        <v>252</v>
      </c>
      <c r="F264">
        <f>COUNTIFS(data!E:E,data!$I$2,data!G:G,"&lt;"&amp;B264)</f>
        <v>113</v>
      </c>
      <c r="G264">
        <f t="shared" si="28"/>
        <v>0.30386740331491713</v>
      </c>
      <c r="H264">
        <f t="shared" si="29"/>
        <v>0.57518796992481203</v>
      </c>
      <c r="I264">
        <f t="shared" si="30"/>
        <v>1.5889170439911894E-3</v>
      </c>
      <c r="J264">
        <f t="shared" si="31"/>
        <v>0.58174904942965777</v>
      </c>
      <c r="K264">
        <f t="shared" si="32"/>
        <v>0.57844990548204167</v>
      </c>
      <c r="L264">
        <f>A264*COUNTIF(data!E:E,$J$2)/data!$M$2</f>
        <v>111.39808917197452</v>
      </c>
      <c r="M264" s="1">
        <f>A264/data!$M$2</f>
        <v>0.41878980891719747</v>
      </c>
      <c r="N264">
        <f t="shared" si="33"/>
        <v>1.3734526430143801</v>
      </c>
    </row>
    <row r="265" spans="1:14" x14ac:dyDescent="0.2">
      <c r="A265">
        <v>264</v>
      </c>
      <c r="B265">
        <f>LARGE(data!G:G,A265)</f>
        <v>0.47514570630000003</v>
      </c>
      <c r="C265">
        <f>COUNTIFS(data!E:E,data!$I$2,data!G:G,"&gt;="&amp;B265)</f>
        <v>155</v>
      </c>
      <c r="D265">
        <f>COUNTIFS(data!E:E,data!$J$2,data!G:G,"&gt;="&amp;B265)</f>
        <v>110</v>
      </c>
      <c r="E265">
        <f>COUNTIFS(data!E:E,data!$J$2,data!G:G,"&lt;"&amp;B265)</f>
        <v>252</v>
      </c>
      <c r="F265">
        <f>COUNTIFS(data!E:E,data!$I$2,data!G:G,"&lt;"&amp;B265)</f>
        <v>111</v>
      </c>
      <c r="G265">
        <f t="shared" si="28"/>
        <v>0.30386740331491713</v>
      </c>
      <c r="H265">
        <f t="shared" si="29"/>
        <v>0.58270676691729328</v>
      </c>
      <c r="I265">
        <f t="shared" si="30"/>
        <v>0</v>
      </c>
      <c r="J265">
        <f t="shared" si="31"/>
        <v>0.58490566037735847</v>
      </c>
      <c r="K265">
        <f t="shared" si="32"/>
        <v>0.58380414312617701</v>
      </c>
      <c r="L265">
        <f>A265*COUNTIF(data!E:E,$J$2)/data!$M$2</f>
        <v>111.82165605095541</v>
      </c>
      <c r="M265" s="1">
        <f>A265/data!$M$2</f>
        <v>0.42038216560509556</v>
      </c>
      <c r="N265">
        <f t="shared" si="33"/>
        <v>1.386135794030531</v>
      </c>
    </row>
    <row r="266" spans="1:14" x14ac:dyDescent="0.2">
      <c r="A266">
        <v>265</v>
      </c>
      <c r="B266">
        <f>LARGE(data!G:G,A266)</f>
        <v>0.47514570630000003</v>
      </c>
      <c r="C266">
        <f>COUNTIFS(data!E:E,data!$I$2,data!G:G,"&gt;="&amp;B266)</f>
        <v>155</v>
      </c>
      <c r="D266">
        <f>COUNTIFS(data!E:E,data!$J$2,data!G:G,"&gt;="&amp;B266)</f>
        <v>110</v>
      </c>
      <c r="E266">
        <f>COUNTIFS(data!E:E,data!$J$2,data!G:G,"&lt;"&amp;B266)</f>
        <v>252</v>
      </c>
      <c r="F266">
        <f>COUNTIFS(data!E:E,data!$I$2,data!G:G,"&lt;"&amp;B266)</f>
        <v>111</v>
      </c>
      <c r="G266">
        <f t="shared" si="28"/>
        <v>0.30386740331491713</v>
      </c>
      <c r="H266">
        <f t="shared" si="29"/>
        <v>0.58270676691729328</v>
      </c>
      <c r="I266">
        <f t="shared" si="30"/>
        <v>0</v>
      </c>
      <c r="J266">
        <f t="shared" si="31"/>
        <v>0.58490566037735847</v>
      </c>
      <c r="K266">
        <f t="shared" si="32"/>
        <v>0.58380414312617701</v>
      </c>
      <c r="L266">
        <f>A266*COUNTIF(data!E:E,$J$2)/data!$M$2</f>
        <v>112.2452229299363</v>
      </c>
      <c r="M266" s="1">
        <f>A266/data!$M$2</f>
        <v>0.42197452229299365</v>
      </c>
      <c r="N266">
        <f t="shared" si="33"/>
        <v>1.3809050929209816</v>
      </c>
    </row>
    <row r="267" spans="1:14" x14ac:dyDescent="0.2">
      <c r="A267">
        <v>266</v>
      </c>
      <c r="B267">
        <f>LARGE(data!G:G,A267)</f>
        <v>0.4741366172</v>
      </c>
      <c r="C267">
        <f>COUNTIFS(data!E:E,data!$I$2,data!G:G,"&gt;="&amp;B267)</f>
        <v>155</v>
      </c>
      <c r="D267">
        <f>COUNTIFS(data!E:E,data!$J$2,data!G:G,"&gt;="&amp;B267)</f>
        <v>111</v>
      </c>
      <c r="E267">
        <f>COUNTIFS(data!E:E,data!$J$2,data!G:G,"&lt;"&amp;B267)</f>
        <v>251</v>
      </c>
      <c r="F267">
        <f>COUNTIFS(data!E:E,data!$I$2,data!G:G,"&lt;"&amp;B267)</f>
        <v>111</v>
      </c>
      <c r="G267">
        <f t="shared" si="28"/>
        <v>0.30662983425414364</v>
      </c>
      <c r="H267">
        <f t="shared" si="29"/>
        <v>0.58270676691729328</v>
      </c>
      <c r="I267">
        <f t="shared" si="30"/>
        <v>1.6096872014289829E-3</v>
      </c>
      <c r="J267">
        <f t="shared" si="31"/>
        <v>0.58270676691729328</v>
      </c>
      <c r="K267">
        <f t="shared" si="32"/>
        <v>0.58270676691729328</v>
      </c>
      <c r="L267">
        <f>A267*COUNTIF(data!E:E,$J$2)/data!$M$2</f>
        <v>112.6687898089172</v>
      </c>
      <c r="M267" s="1">
        <f>A267/data!$M$2</f>
        <v>0.42356687898089174</v>
      </c>
      <c r="N267">
        <f t="shared" si="33"/>
        <v>1.3757137203912035</v>
      </c>
    </row>
    <row r="268" spans="1:14" x14ac:dyDescent="0.2">
      <c r="A268">
        <v>267</v>
      </c>
      <c r="B268">
        <f>LARGE(data!G:G,A268)</f>
        <v>0.47400903259999999</v>
      </c>
      <c r="C268">
        <f>COUNTIFS(data!E:E,data!$I$2,data!G:G,"&gt;="&amp;B268)</f>
        <v>155</v>
      </c>
      <c r="D268">
        <f>COUNTIFS(data!E:E,data!$J$2,data!G:G,"&gt;="&amp;B268)</f>
        <v>112</v>
      </c>
      <c r="E268">
        <f>COUNTIFS(data!E:E,data!$J$2,data!G:G,"&lt;"&amp;B268)</f>
        <v>250</v>
      </c>
      <c r="F268">
        <f>COUNTIFS(data!E:E,data!$I$2,data!G:G,"&lt;"&amp;B268)</f>
        <v>111</v>
      </c>
      <c r="G268">
        <f t="shared" si="28"/>
        <v>0.30939226519337015</v>
      </c>
      <c r="H268">
        <f t="shared" si="29"/>
        <v>0.58270676691729328</v>
      </c>
      <c r="I268">
        <f t="shared" si="30"/>
        <v>1.6096872014289829E-3</v>
      </c>
      <c r="J268">
        <f t="shared" si="31"/>
        <v>0.58052434456928836</v>
      </c>
      <c r="K268">
        <f t="shared" si="32"/>
        <v>0.58161350844277671</v>
      </c>
      <c r="L268">
        <f>A268*COUNTIF(data!E:E,$J$2)/data!$M$2</f>
        <v>113.09235668789809</v>
      </c>
      <c r="M268" s="1">
        <f>A268/data!$M$2</f>
        <v>0.42515923566878983</v>
      </c>
      <c r="N268">
        <f t="shared" si="33"/>
        <v>1.3705612345470417</v>
      </c>
    </row>
    <row r="269" spans="1:14" x14ac:dyDescent="0.2">
      <c r="A269">
        <v>268</v>
      </c>
      <c r="B269">
        <f>LARGE(data!G:G,A269)</f>
        <v>0.47204731370000003</v>
      </c>
      <c r="C269">
        <f>COUNTIFS(data!E:E,data!$I$2,data!G:G,"&gt;="&amp;B269)</f>
        <v>155</v>
      </c>
      <c r="D269">
        <f>COUNTIFS(data!E:E,data!$J$2,data!G:G,"&gt;="&amp;B269)</f>
        <v>113</v>
      </c>
      <c r="E269">
        <f>COUNTIFS(data!E:E,data!$J$2,data!G:G,"&lt;"&amp;B269)</f>
        <v>249</v>
      </c>
      <c r="F269">
        <f>COUNTIFS(data!E:E,data!$I$2,data!G:G,"&lt;"&amp;B269)</f>
        <v>111</v>
      </c>
      <c r="G269">
        <f t="shared" si="28"/>
        <v>0.31215469613259667</v>
      </c>
      <c r="H269">
        <f t="shared" si="29"/>
        <v>0.58270676691729328</v>
      </c>
      <c r="I269">
        <f t="shared" si="30"/>
        <v>1.6096872014289829E-3</v>
      </c>
      <c r="J269">
        <f t="shared" si="31"/>
        <v>0.57835820895522383</v>
      </c>
      <c r="K269">
        <f t="shared" si="32"/>
        <v>0.58052434456928836</v>
      </c>
      <c r="L269">
        <f>A269*COUNTIF(data!E:E,$J$2)/data!$M$2</f>
        <v>113.51592356687898</v>
      </c>
      <c r="M269" s="1">
        <f>A269/data!$M$2</f>
        <v>0.42675159235668791</v>
      </c>
      <c r="N269">
        <f t="shared" si="33"/>
        <v>1.3654472000897766</v>
      </c>
    </row>
    <row r="270" spans="1:14" x14ac:dyDescent="0.2">
      <c r="A270">
        <v>269</v>
      </c>
      <c r="B270">
        <f>LARGE(data!G:G,A270)</f>
        <v>0.47063298380000002</v>
      </c>
      <c r="C270">
        <f>COUNTIFS(data!E:E,data!$I$2,data!G:G,"&gt;="&amp;B270)</f>
        <v>156</v>
      </c>
      <c r="D270">
        <f>COUNTIFS(data!E:E,data!$J$2,data!G:G,"&gt;="&amp;B270)</f>
        <v>113</v>
      </c>
      <c r="E270">
        <f>COUNTIFS(data!E:E,data!$J$2,data!G:G,"&lt;"&amp;B270)</f>
        <v>249</v>
      </c>
      <c r="F270">
        <f>COUNTIFS(data!E:E,data!$I$2,data!G:G,"&lt;"&amp;B270)</f>
        <v>110</v>
      </c>
      <c r="G270">
        <f t="shared" si="28"/>
        <v>0.31215469613259667</v>
      </c>
      <c r="H270">
        <f t="shared" si="29"/>
        <v>0.5864661654135338</v>
      </c>
      <c r="I270">
        <f t="shared" si="30"/>
        <v>0</v>
      </c>
      <c r="J270">
        <f t="shared" si="31"/>
        <v>0.5799256505576208</v>
      </c>
      <c r="K270">
        <f t="shared" si="32"/>
        <v>0.58317757009345794</v>
      </c>
      <c r="L270">
        <f>A270*COUNTIF(data!E:E,$J$2)/data!$M$2</f>
        <v>113.93949044585987</v>
      </c>
      <c r="M270" s="1">
        <f>A270/data!$M$2</f>
        <v>0.428343949044586</v>
      </c>
      <c r="N270">
        <f t="shared" si="33"/>
        <v>1.3691477765044582</v>
      </c>
    </row>
    <row r="271" spans="1:14" x14ac:dyDescent="0.2">
      <c r="A271">
        <v>270</v>
      </c>
      <c r="B271">
        <f>LARGE(data!G:G,A271)</f>
        <v>0.47057876990000003</v>
      </c>
      <c r="C271">
        <f>COUNTIFS(data!E:E,data!$I$2,data!G:G,"&gt;="&amp;B271)</f>
        <v>157</v>
      </c>
      <c r="D271">
        <f>COUNTIFS(data!E:E,data!$J$2,data!G:G,"&gt;="&amp;B271)</f>
        <v>113</v>
      </c>
      <c r="E271">
        <f>COUNTIFS(data!E:E,data!$J$2,data!G:G,"&lt;"&amp;B271)</f>
        <v>249</v>
      </c>
      <c r="F271">
        <f>COUNTIFS(data!E:E,data!$I$2,data!G:G,"&lt;"&amp;B271)</f>
        <v>109</v>
      </c>
      <c r="G271">
        <f t="shared" si="28"/>
        <v>0.31215469613259667</v>
      </c>
      <c r="H271">
        <f t="shared" si="29"/>
        <v>0.59022556390977443</v>
      </c>
      <c r="I271">
        <f t="shared" si="30"/>
        <v>0</v>
      </c>
      <c r="J271">
        <f t="shared" si="31"/>
        <v>0.58148148148148149</v>
      </c>
      <c r="K271">
        <f t="shared" si="32"/>
        <v>0.58582089552238803</v>
      </c>
      <c r="L271">
        <f>A271*COUNTIF(data!E:E,$J$2)/data!$M$2</f>
        <v>114.36305732484077</v>
      </c>
      <c r="M271" s="1">
        <f>A271/data!$M$2</f>
        <v>0.42993630573248409</v>
      </c>
      <c r="N271">
        <f t="shared" si="33"/>
        <v>1.3728209412419938</v>
      </c>
    </row>
    <row r="272" spans="1:14" x14ac:dyDescent="0.2">
      <c r="A272">
        <v>271</v>
      </c>
      <c r="B272">
        <f>LARGE(data!G:G,A272)</f>
        <v>0.470146165</v>
      </c>
      <c r="C272">
        <f>COUNTIFS(data!E:E,data!$I$2,data!G:G,"&gt;="&amp;B272)</f>
        <v>159</v>
      </c>
      <c r="D272">
        <f>COUNTIFS(data!E:E,data!$J$2,data!G:G,"&gt;="&amp;B272)</f>
        <v>113</v>
      </c>
      <c r="E272">
        <f>COUNTIFS(data!E:E,data!$J$2,data!G:G,"&lt;"&amp;B272)</f>
        <v>249</v>
      </c>
      <c r="F272">
        <f>COUNTIFS(data!E:E,data!$I$2,data!G:G,"&lt;"&amp;B272)</f>
        <v>107</v>
      </c>
      <c r="G272">
        <f t="shared" si="28"/>
        <v>0.31215469613259667</v>
      </c>
      <c r="H272">
        <f t="shared" si="29"/>
        <v>0.59774436090225569</v>
      </c>
      <c r="I272">
        <f t="shared" si="30"/>
        <v>0</v>
      </c>
      <c r="J272">
        <f t="shared" si="31"/>
        <v>0.5845588235294118</v>
      </c>
      <c r="K272">
        <f t="shared" si="32"/>
        <v>0.59107806691449827</v>
      </c>
      <c r="L272">
        <f>A272*COUNTIF(data!E:E,$J$2)/data!$M$2</f>
        <v>114.78662420382166</v>
      </c>
      <c r="M272" s="1">
        <f>A272/data!$M$2</f>
        <v>0.43152866242038218</v>
      </c>
      <c r="N272">
        <f t="shared" si="33"/>
        <v>1.385178814194157</v>
      </c>
    </row>
    <row r="273" spans="1:14" x14ac:dyDescent="0.2">
      <c r="A273">
        <v>272</v>
      </c>
      <c r="B273">
        <f>LARGE(data!G:G,A273)</f>
        <v>0.470146165</v>
      </c>
      <c r="C273">
        <f>COUNTIFS(data!E:E,data!$I$2,data!G:G,"&gt;="&amp;B273)</f>
        <v>159</v>
      </c>
      <c r="D273">
        <f>COUNTIFS(data!E:E,data!$J$2,data!G:G,"&gt;="&amp;B273)</f>
        <v>113</v>
      </c>
      <c r="E273">
        <f>COUNTIFS(data!E:E,data!$J$2,data!G:G,"&lt;"&amp;B273)</f>
        <v>249</v>
      </c>
      <c r="F273">
        <f>COUNTIFS(data!E:E,data!$I$2,data!G:G,"&lt;"&amp;B273)</f>
        <v>107</v>
      </c>
      <c r="G273">
        <f t="shared" si="28"/>
        <v>0.31215469613259667</v>
      </c>
      <c r="H273">
        <f t="shared" si="29"/>
        <v>0.59774436090225569</v>
      </c>
      <c r="I273">
        <f t="shared" si="30"/>
        <v>0</v>
      </c>
      <c r="J273">
        <f t="shared" si="31"/>
        <v>0.5845588235294118</v>
      </c>
      <c r="K273">
        <f t="shared" si="32"/>
        <v>0.59107806691449827</v>
      </c>
      <c r="L273">
        <f>A273*COUNTIF(data!E:E,$J$2)/data!$M$2</f>
        <v>115.21019108280255</v>
      </c>
      <c r="M273" s="1">
        <f>A273/data!$M$2</f>
        <v>0.43312101910828027</v>
      </c>
      <c r="N273">
        <f t="shared" si="33"/>
        <v>1.3800862450243254</v>
      </c>
    </row>
    <row r="274" spans="1:14" x14ac:dyDescent="0.2">
      <c r="A274">
        <v>273</v>
      </c>
      <c r="B274">
        <f>LARGE(data!G:G,A274)</f>
        <v>0.46663305090000001</v>
      </c>
      <c r="C274">
        <f>COUNTIFS(data!E:E,data!$I$2,data!G:G,"&gt;="&amp;B274)</f>
        <v>160</v>
      </c>
      <c r="D274">
        <f>COUNTIFS(data!E:E,data!$J$2,data!G:G,"&gt;="&amp;B274)</f>
        <v>113</v>
      </c>
      <c r="E274">
        <f>COUNTIFS(data!E:E,data!$J$2,data!G:G,"&lt;"&amp;B274)</f>
        <v>249</v>
      </c>
      <c r="F274">
        <f>COUNTIFS(data!E:E,data!$I$2,data!G:G,"&lt;"&amp;B274)</f>
        <v>106</v>
      </c>
      <c r="G274">
        <f t="shared" si="28"/>
        <v>0.31215469613259667</v>
      </c>
      <c r="H274">
        <f t="shared" si="29"/>
        <v>0.60150375939849621</v>
      </c>
      <c r="I274">
        <f t="shared" si="30"/>
        <v>0</v>
      </c>
      <c r="J274">
        <f t="shared" si="31"/>
        <v>0.58608058608058611</v>
      </c>
      <c r="K274">
        <f t="shared" si="32"/>
        <v>0.59369202226345086</v>
      </c>
      <c r="L274">
        <f>A274*COUNTIF(data!E:E,$J$2)/data!$M$2</f>
        <v>115.63375796178345</v>
      </c>
      <c r="M274" s="1">
        <f>A274/data!$M$2</f>
        <v>0.43471337579617836</v>
      </c>
      <c r="N274">
        <f t="shared" si="33"/>
        <v>1.38367897766394</v>
      </c>
    </row>
    <row r="275" spans="1:14" x14ac:dyDescent="0.2">
      <c r="A275">
        <v>274</v>
      </c>
      <c r="B275">
        <f>LARGE(data!G:G,A275)</f>
        <v>0.46543760280000002</v>
      </c>
      <c r="C275">
        <f>COUNTIFS(data!E:E,data!$I$2,data!G:G,"&gt;="&amp;B275)</f>
        <v>160</v>
      </c>
      <c r="D275">
        <f>COUNTIFS(data!E:E,data!$J$2,data!G:G,"&gt;="&amp;B275)</f>
        <v>114</v>
      </c>
      <c r="E275">
        <f>COUNTIFS(data!E:E,data!$J$2,data!G:G,"&lt;"&amp;B275)</f>
        <v>248</v>
      </c>
      <c r="F275">
        <f>COUNTIFS(data!E:E,data!$I$2,data!G:G,"&lt;"&amp;B275)</f>
        <v>106</v>
      </c>
      <c r="G275">
        <f t="shared" si="28"/>
        <v>0.31491712707182318</v>
      </c>
      <c r="H275">
        <f t="shared" si="29"/>
        <v>0.60150375939849621</v>
      </c>
      <c r="I275">
        <f t="shared" si="30"/>
        <v>1.6616125950234659E-3</v>
      </c>
      <c r="J275">
        <f t="shared" si="31"/>
        <v>0.58394160583941601</v>
      </c>
      <c r="K275">
        <f t="shared" si="32"/>
        <v>0.59259259259259256</v>
      </c>
      <c r="L275">
        <f>A275*COUNTIF(data!E:E,$J$2)/data!$M$2</f>
        <v>116.05732484076434</v>
      </c>
      <c r="M275" s="1">
        <f>A275/data!$M$2</f>
        <v>0.43630573248407645</v>
      </c>
      <c r="N275">
        <f t="shared" si="33"/>
        <v>1.3786290543877942</v>
      </c>
    </row>
    <row r="276" spans="1:14" x14ac:dyDescent="0.2">
      <c r="A276">
        <v>275</v>
      </c>
      <c r="B276">
        <f>LARGE(data!G:G,A276)</f>
        <v>0.46220684909999998</v>
      </c>
      <c r="C276">
        <f>COUNTIFS(data!E:E,data!$I$2,data!G:G,"&gt;="&amp;B276)</f>
        <v>160</v>
      </c>
      <c r="D276">
        <f>COUNTIFS(data!E:E,data!$J$2,data!G:G,"&gt;="&amp;B276)</f>
        <v>115</v>
      </c>
      <c r="E276">
        <f>COUNTIFS(data!E:E,data!$J$2,data!G:G,"&lt;"&amp;B276)</f>
        <v>247</v>
      </c>
      <c r="F276">
        <f>COUNTIFS(data!E:E,data!$I$2,data!G:G,"&lt;"&amp;B276)</f>
        <v>106</v>
      </c>
      <c r="G276">
        <f t="shared" si="28"/>
        <v>0.31767955801104975</v>
      </c>
      <c r="H276">
        <f t="shared" si="29"/>
        <v>0.60150375939849621</v>
      </c>
      <c r="I276">
        <f t="shared" si="30"/>
        <v>1.6616125950234993E-3</v>
      </c>
      <c r="J276">
        <f t="shared" si="31"/>
        <v>0.58181818181818179</v>
      </c>
      <c r="K276">
        <f t="shared" si="32"/>
        <v>0.5914972273567467</v>
      </c>
      <c r="L276">
        <f>A276*COUNTIF(data!E:E,$J$2)/data!$M$2</f>
        <v>116.48089171974522</v>
      </c>
      <c r="M276" s="1">
        <f>A276/data!$M$2</f>
        <v>0.43789808917197454</v>
      </c>
      <c r="N276">
        <f t="shared" si="33"/>
        <v>1.3736158578263842</v>
      </c>
    </row>
    <row r="277" spans="1:14" x14ac:dyDescent="0.2">
      <c r="A277">
        <v>276</v>
      </c>
      <c r="B277">
        <f>LARGE(data!G:G,A277)</f>
        <v>0.46085372499999999</v>
      </c>
      <c r="C277">
        <f>COUNTIFS(data!E:E,data!$I$2,data!G:G,"&gt;="&amp;B277)</f>
        <v>161</v>
      </c>
      <c r="D277">
        <f>COUNTIFS(data!E:E,data!$J$2,data!G:G,"&gt;="&amp;B277)</f>
        <v>115</v>
      </c>
      <c r="E277">
        <f>COUNTIFS(data!E:E,data!$J$2,data!G:G,"&lt;"&amp;B277)</f>
        <v>247</v>
      </c>
      <c r="F277">
        <f>COUNTIFS(data!E:E,data!$I$2,data!G:G,"&lt;"&amp;B277)</f>
        <v>105</v>
      </c>
      <c r="G277">
        <f t="shared" si="28"/>
        <v>0.31767955801104975</v>
      </c>
      <c r="H277">
        <f t="shared" si="29"/>
        <v>0.60526315789473684</v>
      </c>
      <c r="I277">
        <f t="shared" si="30"/>
        <v>0</v>
      </c>
      <c r="J277">
        <f t="shared" si="31"/>
        <v>0.58333333333333337</v>
      </c>
      <c r="K277">
        <f t="shared" si="32"/>
        <v>0.59409594095940965</v>
      </c>
      <c r="L277">
        <f>A277*COUNTIF(data!E:E,$J$2)/data!$M$2</f>
        <v>116.90445859872611</v>
      </c>
      <c r="M277" s="1">
        <f>A277/data!$M$2</f>
        <v>0.43949044585987262</v>
      </c>
      <c r="N277">
        <f t="shared" si="33"/>
        <v>1.3771929824561404</v>
      </c>
    </row>
    <row r="278" spans="1:14" x14ac:dyDescent="0.2">
      <c r="A278">
        <v>277</v>
      </c>
      <c r="B278">
        <f>LARGE(data!G:G,A278)</f>
        <v>0.45991102560000002</v>
      </c>
      <c r="C278">
        <f>COUNTIFS(data!E:E,data!$I$2,data!G:G,"&gt;="&amp;B278)</f>
        <v>162</v>
      </c>
      <c r="D278">
        <f>COUNTIFS(data!E:E,data!$J$2,data!G:G,"&gt;="&amp;B278)</f>
        <v>115</v>
      </c>
      <c r="E278">
        <f>COUNTIFS(data!E:E,data!$J$2,data!G:G,"&lt;"&amp;B278)</f>
        <v>247</v>
      </c>
      <c r="F278">
        <f>COUNTIFS(data!E:E,data!$I$2,data!G:G,"&lt;"&amp;B278)</f>
        <v>104</v>
      </c>
      <c r="G278">
        <f t="shared" si="28"/>
        <v>0.31767955801104975</v>
      </c>
      <c r="H278">
        <f t="shared" si="29"/>
        <v>0.60902255639097747</v>
      </c>
      <c r="I278">
        <f t="shared" si="30"/>
        <v>0</v>
      </c>
      <c r="J278">
        <f t="shared" si="31"/>
        <v>0.58483754512635377</v>
      </c>
      <c r="K278">
        <f t="shared" si="32"/>
        <v>0.5966850828729281</v>
      </c>
      <c r="L278">
        <f>A278*COUNTIF(data!E:E,$J$2)/data!$M$2</f>
        <v>117.328025477707</v>
      </c>
      <c r="M278" s="1">
        <f>A278/data!$M$2</f>
        <v>0.44108280254777071</v>
      </c>
      <c r="N278">
        <f t="shared" si="33"/>
        <v>1.3807442794712412</v>
      </c>
    </row>
    <row r="279" spans="1:14" x14ac:dyDescent="0.2">
      <c r="A279">
        <v>278</v>
      </c>
      <c r="B279">
        <f>LARGE(data!G:G,A279)</f>
        <v>0.45882434529999999</v>
      </c>
      <c r="C279">
        <f>COUNTIFS(data!E:E,data!$I$2,data!G:G,"&gt;="&amp;B279)</f>
        <v>163</v>
      </c>
      <c r="D279">
        <f>COUNTIFS(data!E:E,data!$J$2,data!G:G,"&gt;="&amp;B279)</f>
        <v>115</v>
      </c>
      <c r="E279">
        <f>COUNTIFS(data!E:E,data!$J$2,data!G:G,"&lt;"&amp;B279)</f>
        <v>247</v>
      </c>
      <c r="F279">
        <f>COUNTIFS(data!E:E,data!$I$2,data!G:G,"&lt;"&amp;B279)</f>
        <v>103</v>
      </c>
      <c r="G279">
        <f t="shared" si="28"/>
        <v>0.31767955801104975</v>
      </c>
      <c r="H279">
        <f t="shared" si="29"/>
        <v>0.61278195488721809</v>
      </c>
      <c r="I279">
        <f t="shared" si="30"/>
        <v>0</v>
      </c>
      <c r="J279">
        <f t="shared" si="31"/>
        <v>0.58633093525179858</v>
      </c>
      <c r="K279">
        <f t="shared" si="32"/>
        <v>0.59926470588235292</v>
      </c>
      <c r="L279">
        <f>A279*COUNTIF(data!E:E,$J$2)/data!$M$2</f>
        <v>117.75159235668789</v>
      </c>
      <c r="M279" s="1">
        <f>A279/data!$M$2</f>
        <v>0.4426751592356688</v>
      </c>
      <c r="N279">
        <f t="shared" si="33"/>
        <v>1.3842700275869531</v>
      </c>
    </row>
    <row r="280" spans="1:14" x14ac:dyDescent="0.2">
      <c r="A280">
        <v>279</v>
      </c>
      <c r="B280">
        <f>LARGE(data!G:G,A280)</f>
        <v>0.45547861249999999</v>
      </c>
      <c r="C280">
        <f>COUNTIFS(data!E:E,data!$I$2,data!G:G,"&gt;="&amp;B280)</f>
        <v>163</v>
      </c>
      <c r="D280">
        <f>COUNTIFS(data!E:E,data!$J$2,data!G:G,"&gt;="&amp;B280)</f>
        <v>116</v>
      </c>
      <c r="E280">
        <f>COUNTIFS(data!E:E,data!$J$2,data!G:G,"&lt;"&amp;B280)</f>
        <v>246</v>
      </c>
      <c r="F280">
        <f>COUNTIFS(data!E:E,data!$I$2,data!G:G,"&lt;"&amp;B280)</f>
        <v>103</v>
      </c>
      <c r="G280">
        <f t="shared" si="28"/>
        <v>0.32044198895027626</v>
      </c>
      <c r="H280">
        <f t="shared" si="29"/>
        <v>0.61278195488721809</v>
      </c>
      <c r="I280">
        <f t="shared" si="30"/>
        <v>1.6927678311801561E-3</v>
      </c>
      <c r="J280">
        <f t="shared" si="31"/>
        <v>0.58422939068100355</v>
      </c>
      <c r="K280">
        <f t="shared" si="32"/>
        <v>0.59816513761467893</v>
      </c>
      <c r="L280">
        <f>A280*COUNTIF(data!E:E,$J$2)/data!$M$2</f>
        <v>118.17515923566879</v>
      </c>
      <c r="M280" s="1">
        <f>A280/data!$M$2</f>
        <v>0.44426751592356689</v>
      </c>
      <c r="N280">
        <f t="shared" si="33"/>
        <v>1.3793084862694371</v>
      </c>
    </row>
    <row r="281" spans="1:14" x14ac:dyDescent="0.2">
      <c r="A281">
        <v>280</v>
      </c>
      <c r="B281">
        <f>LARGE(data!G:G,A281)</f>
        <v>0.45421270540000003</v>
      </c>
      <c r="C281">
        <f>COUNTIFS(data!E:E,data!$I$2,data!G:G,"&gt;="&amp;B281)</f>
        <v>164</v>
      </c>
      <c r="D281">
        <f>COUNTIFS(data!E:E,data!$J$2,data!G:G,"&gt;="&amp;B281)</f>
        <v>116</v>
      </c>
      <c r="E281">
        <f>COUNTIFS(data!E:E,data!$J$2,data!G:G,"&lt;"&amp;B281)</f>
        <v>246</v>
      </c>
      <c r="F281">
        <f>COUNTIFS(data!E:E,data!$I$2,data!G:G,"&lt;"&amp;B281)</f>
        <v>102</v>
      </c>
      <c r="G281">
        <f t="shared" si="28"/>
        <v>0.32044198895027626</v>
      </c>
      <c r="H281">
        <f t="shared" si="29"/>
        <v>0.61654135338345861</v>
      </c>
      <c r="I281">
        <f t="shared" si="30"/>
        <v>0</v>
      </c>
      <c r="J281">
        <f t="shared" si="31"/>
        <v>0.58571428571428574</v>
      </c>
      <c r="K281">
        <f t="shared" si="32"/>
        <v>0.60073260073260071</v>
      </c>
      <c r="L281">
        <f>A281*COUNTIF(data!E:E,$J$2)/data!$M$2</f>
        <v>118.59872611464968</v>
      </c>
      <c r="M281" s="1">
        <f>A281/data!$M$2</f>
        <v>0.44585987261146498</v>
      </c>
      <c r="N281">
        <f t="shared" si="33"/>
        <v>1.3828141783029002</v>
      </c>
    </row>
    <row r="282" spans="1:14" x14ac:dyDescent="0.2">
      <c r="A282">
        <v>281</v>
      </c>
      <c r="B282">
        <f>LARGE(data!G:G,A282)</f>
        <v>0.45304502600000002</v>
      </c>
      <c r="C282">
        <f>COUNTIFS(data!E:E,data!$I$2,data!G:G,"&gt;="&amp;B282)</f>
        <v>164</v>
      </c>
      <c r="D282">
        <f>COUNTIFS(data!E:E,data!$J$2,data!G:G,"&gt;="&amp;B282)</f>
        <v>117</v>
      </c>
      <c r="E282">
        <f>COUNTIFS(data!E:E,data!$J$2,data!G:G,"&lt;"&amp;B282)</f>
        <v>245</v>
      </c>
      <c r="F282">
        <f>COUNTIFS(data!E:E,data!$I$2,data!G:G,"&lt;"&amp;B282)</f>
        <v>102</v>
      </c>
      <c r="G282">
        <f t="shared" si="28"/>
        <v>0.32320441988950277</v>
      </c>
      <c r="H282">
        <f t="shared" si="29"/>
        <v>0.61654135338345861</v>
      </c>
      <c r="I282">
        <f t="shared" si="30"/>
        <v>1.7031529098990527E-3</v>
      </c>
      <c r="J282">
        <f t="shared" si="31"/>
        <v>0.58362989323843417</v>
      </c>
      <c r="K282">
        <f t="shared" si="32"/>
        <v>0.59963436928702007</v>
      </c>
      <c r="L282">
        <f>A282*COUNTIF(data!E:E,$J$2)/data!$M$2</f>
        <v>119.02229299363057</v>
      </c>
      <c r="M282" s="1">
        <f>A282/data!$M$2</f>
        <v>0.44745222929936307</v>
      </c>
      <c r="N282">
        <f t="shared" si="33"/>
        <v>1.3778931314050251</v>
      </c>
    </row>
    <row r="283" spans="1:14" x14ac:dyDescent="0.2">
      <c r="A283">
        <v>282</v>
      </c>
      <c r="B283">
        <f>LARGE(data!G:G,A283)</f>
        <v>0.45245418980000002</v>
      </c>
      <c r="C283">
        <f>COUNTIFS(data!E:E,data!$I$2,data!G:G,"&gt;="&amp;B283)</f>
        <v>165</v>
      </c>
      <c r="D283">
        <f>COUNTIFS(data!E:E,data!$J$2,data!G:G,"&gt;="&amp;B283)</f>
        <v>117</v>
      </c>
      <c r="E283">
        <f>COUNTIFS(data!E:E,data!$J$2,data!G:G,"&lt;"&amp;B283)</f>
        <v>245</v>
      </c>
      <c r="F283">
        <f>COUNTIFS(data!E:E,data!$I$2,data!G:G,"&lt;"&amp;B283)</f>
        <v>101</v>
      </c>
      <c r="G283">
        <f t="shared" si="28"/>
        <v>0.32320441988950277</v>
      </c>
      <c r="H283">
        <f t="shared" si="29"/>
        <v>0.62030075187969924</v>
      </c>
      <c r="I283">
        <f t="shared" si="30"/>
        <v>0</v>
      </c>
      <c r="J283">
        <f t="shared" si="31"/>
        <v>0.58510638297872342</v>
      </c>
      <c r="K283">
        <f t="shared" si="32"/>
        <v>0.6021897810218978</v>
      </c>
      <c r="L283">
        <f>A283*COUNTIF(data!E:E,$J$2)/data!$M$2</f>
        <v>119.44585987261146</v>
      </c>
      <c r="M283" s="1">
        <f>A283/data!$M$2</f>
        <v>0.44904458598726116</v>
      </c>
      <c r="N283">
        <f t="shared" si="33"/>
        <v>1.3813789793633018</v>
      </c>
    </row>
    <row r="284" spans="1:14" x14ac:dyDescent="0.2">
      <c r="A284">
        <v>283</v>
      </c>
      <c r="B284">
        <f>LARGE(data!G:G,A284)</f>
        <v>0.45169092179999998</v>
      </c>
      <c r="C284">
        <f>COUNTIFS(data!E:E,data!$I$2,data!G:G,"&gt;="&amp;B284)</f>
        <v>165</v>
      </c>
      <c r="D284">
        <f>COUNTIFS(data!E:E,data!$J$2,data!G:G,"&gt;="&amp;B284)</f>
        <v>118</v>
      </c>
      <c r="E284">
        <f>COUNTIFS(data!E:E,data!$J$2,data!G:G,"&lt;"&amp;B284)</f>
        <v>244</v>
      </c>
      <c r="F284">
        <f>COUNTIFS(data!E:E,data!$I$2,data!G:G,"&lt;"&amp;B284)</f>
        <v>101</v>
      </c>
      <c r="G284">
        <f t="shared" si="28"/>
        <v>0.32596685082872928</v>
      </c>
      <c r="H284">
        <f t="shared" si="29"/>
        <v>0.62030075187969924</v>
      </c>
      <c r="I284">
        <f t="shared" si="30"/>
        <v>1.7135379886179492E-3</v>
      </c>
      <c r="J284">
        <f t="shared" si="31"/>
        <v>0.58303886925795056</v>
      </c>
      <c r="K284">
        <f t="shared" si="32"/>
        <v>0.60109289617486328</v>
      </c>
      <c r="L284">
        <f>A284*COUNTIF(data!E:E,$J$2)/data!$M$2</f>
        <v>119.86942675159236</v>
      </c>
      <c r="M284" s="1">
        <f>A284/data!$M$2</f>
        <v>0.45063694267515925</v>
      </c>
      <c r="N284">
        <f t="shared" si="33"/>
        <v>1.3764977815563644</v>
      </c>
    </row>
    <row r="285" spans="1:14" x14ac:dyDescent="0.2">
      <c r="A285">
        <v>284</v>
      </c>
      <c r="B285">
        <f>LARGE(data!G:G,A285)</f>
        <v>0.4463918482</v>
      </c>
      <c r="C285">
        <f>COUNTIFS(data!E:E,data!$I$2,data!G:G,"&gt;="&amp;B285)</f>
        <v>166</v>
      </c>
      <c r="D285">
        <f>COUNTIFS(data!E:E,data!$J$2,data!G:G,"&gt;="&amp;B285)</f>
        <v>118</v>
      </c>
      <c r="E285">
        <f>COUNTIFS(data!E:E,data!$J$2,data!G:G,"&lt;"&amp;B285)</f>
        <v>244</v>
      </c>
      <c r="F285">
        <f>COUNTIFS(data!E:E,data!$I$2,data!G:G,"&lt;"&amp;B285)</f>
        <v>100</v>
      </c>
      <c r="G285">
        <f t="shared" si="28"/>
        <v>0.32596685082872928</v>
      </c>
      <c r="H285">
        <f t="shared" si="29"/>
        <v>0.62406015037593987</v>
      </c>
      <c r="I285">
        <f t="shared" si="30"/>
        <v>0</v>
      </c>
      <c r="J285">
        <f t="shared" si="31"/>
        <v>0.58450704225352113</v>
      </c>
      <c r="K285">
        <f t="shared" si="32"/>
        <v>0.60363636363636364</v>
      </c>
      <c r="L285">
        <f>A285*COUNTIF(data!E:E,$J$2)/data!$M$2</f>
        <v>120.29299363057325</v>
      </c>
      <c r="M285" s="1">
        <f>A285/data!$M$2</f>
        <v>0.45222929936305734</v>
      </c>
      <c r="N285">
        <f t="shared" si="33"/>
        <v>1.3799639944932753</v>
      </c>
    </row>
    <row r="286" spans="1:14" x14ac:dyDescent="0.2">
      <c r="A286">
        <v>285</v>
      </c>
      <c r="B286">
        <f>LARGE(data!G:G,A286)</f>
        <v>0.44559702289999997</v>
      </c>
      <c r="C286">
        <f>COUNTIFS(data!E:E,data!$I$2,data!G:G,"&gt;="&amp;B286)</f>
        <v>167</v>
      </c>
      <c r="D286">
        <f>COUNTIFS(data!E:E,data!$J$2,data!G:G,"&gt;="&amp;B286)</f>
        <v>118</v>
      </c>
      <c r="E286">
        <f>COUNTIFS(data!E:E,data!$J$2,data!G:G,"&lt;"&amp;B286)</f>
        <v>244</v>
      </c>
      <c r="F286">
        <f>COUNTIFS(data!E:E,data!$I$2,data!G:G,"&lt;"&amp;B286)</f>
        <v>99</v>
      </c>
      <c r="G286">
        <f t="shared" si="28"/>
        <v>0.32596685082872928</v>
      </c>
      <c r="H286">
        <f t="shared" si="29"/>
        <v>0.6278195488721805</v>
      </c>
      <c r="I286">
        <f t="shared" si="30"/>
        <v>0</v>
      </c>
      <c r="J286">
        <f t="shared" si="31"/>
        <v>0.5859649122807018</v>
      </c>
      <c r="K286">
        <f t="shared" si="32"/>
        <v>0.60617059891107083</v>
      </c>
      <c r="L286">
        <f>A286*COUNTIF(data!E:E,$J$2)/data!$M$2</f>
        <v>120.71656050955414</v>
      </c>
      <c r="M286" s="1">
        <f>A286/data!$M$2</f>
        <v>0.45382165605095542</v>
      </c>
      <c r="N286">
        <f t="shared" si="33"/>
        <v>1.3834058831288747</v>
      </c>
    </row>
    <row r="287" spans="1:14" x14ac:dyDescent="0.2">
      <c r="A287">
        <v>286</v>
      </c>
      <c r="B287">
        <f>LARGE(data!G:G,A287)</f>
        <v>0.44553927500000001</v>
      </c>
      <c r="C287">
        <f>COUNTIFS(data!E:E,data!$I$2,data!G:G,"&gt;="&amp;B287)</f>
        <v>169</v>
      </c>
      <c r="D287">
        <f>COUNTIFS(data!E:E,data!$J$2,data!G:G,"&gt;="&amp;B287)</f>
        <v>118</v>
      </c>
      <c r="E287">
        <f>COUNTIFS(data!E:E,data!$J$2,data!G:G,"&lt;"&amp;B287)</f>
        <v>244</v>
      </c>
      <c r="F287">
        <f>COUNTIFS(data!E:E,data!$I$2,data!G:G,"&lt;"&amp;B287)</f>
        <v>97</v>
      </c>
      <c r="G287">
        <f t="shared" si="28"/>
        <v>0.32596685082872928</v>
      </c>
      <c r="H287">
        <f t="shared" si="29"/>
        <v>0.63533834586466165</v>
      </c>
      <c r="I287">
        <f t="shared" si="30"/>
        <v>0</v>
      </c>
      <c r="J287">
        <f t="shared" si="31"/>
        <v>0.58885017421602792</v>
      </c>
      <c r="K287">
        <f t="shared" si="32"/>
        <v>0.61121157323688979</v>
      </c>
      <c r="L287">
        <f>A287*COUNTIF(data!E:E,$J$2)/data!$M$2</f>
        <v>121.14012738853503</v>
      </c>
      <c r="M287" s="1">
        <f>A287/data!$M$2</f>
        <v>0.45541401273885351</v>
      </c>
      <c r="N287">
        <f t="shared" si="33"/>
        <v>1.3950786056049214</v>
      </c>
    </row>
    <row r="288" spans="1:14" x14ac:dyDescent="0.2">
      <c r="A288">
        <v>287</v>
      </c>
      <c r="B288">
        <f>LARGE(data!G:G,A288)</f>
        <v>0.44553927500000001</v>
      </c>
      <c r="C288">
        <f>COUNTIFS(data!E:E,data!$I$2,data!G:G,"&gt;="&amp;B288)</f>
        <v>169</v>
      </c>
      <c r="D288">
        <f>COUNTIFS(data!E:E,data!$J$2,data!G:G,"&gt;="&amp;B288)</f>
        <v>118</v>
      </c>
      <c r="E288">
        <f>COUNTIFS(data!E:E,data!$J$2,data!G:G,"&lt;"&amp;B288)</f>
        <v>244</v>
      </c>
      <c r="F288">
        <f>COUNTIFS(data!E:E,data!$I$2,data!G:G,"&lt;"&amp;B288)</f>
        <v>97</v>
      </c>
      <c r="G288">
        <f t="shared" si="28"/>
        <v>0.32596685082872928</v>
      </c>
      <c r="H288">
        <f t="shared" si="29"/>
        <v>0.63533834586466165</v>
      </c>
      <c r="I288">
        <f t="shared" si="30"/>
        <v>0</v>
      </c>
      <c r="J288">
        <f t="shared" si="31"/>
        <v>0.58885017421602792</v>
      </c>
      <c r="K288">
        <f t="shared" si="32"/>
        <v>0.61121157323688979</v>
      </c>
      <c r="L288">
        <f>A288*COUNTIF(data!E:E,$J$2)/data!$M$2</f>
        <v>121.56369426751593</v>
      </c>
      <c r="M288" s="1">
        <f>A288/data!$M$2</f>
        <v>0.4570063694267516</v>
      </c>
      <c r="N288">
        <f t="shared" si="33"/>
        <v>1.3902177045400959</v>
      </c>
    </row>
    <row r="289" spans="1:14" x14ac:dyDescent="0.2">
      <c r="A289">
        <v>288</v>
      </c>
      <c r="B289">
        <f>LARGE(data!G:G,A289)</f>
        <v>0.44384207370000001</v>
      </c>
      <c r="C289">
        <f>COUNTIFS(data!E:E,data!$I$2,data!G:G,"&gt;="&amp;B289)</f>
        <v>169</v>
      </c>
      <c r="D289">
        <f>COUNTIFS(data!E:E,data!$J$2,data!G:G,"&gt;="&amp;B289)</f>
        <v>119</v>
      </c>
      <c r="E289">
        <f>COUNTIFS(data!E:E,data!$J$2,data!G:G,"&lt;"&amp;B289)</f>
        <v>243</v>
      </c>
      <c r="F289">
        <f>COUNTIFS(data!E:E,data!$I$2,data!G:G,"&lt;"&amp;B289)</f>
        <v>97</v>
      </c>
      <c r="G289">
        <f t="shared" si="28"/>
        <v>0.32872928176795579</v>
      </c>
      <c r="H289">
        <f t="shared" si="29"/>
        <v>0.63533834586466165</v>
      </c>
      <c r="I289">
        <f t="shared" si="30"/>
        <v>1.7550783034935361E-3</v>
      </c>
      <c r="J289">
        <f t="shared" si="31"/>
        <v>0.58680555555555558</v>
      </c>
      <c r="K289">
        <f t="shared" si="32"/>
        <v>0.61010830324909759</v>
      </c>
      <c r="L289">
        <f>A289*COUNTIF(data!E:E,$J$2)/data!$M$2</f>
        <v>121.98726114649682</v>
      </c>
      <c r="M289" s="1">
        <f>A289/data!$M$2</f>
        <v>0.45859872611464969</v>
      </c>
      <c r="N289">
        <f t="shared" si="33"/>
        <v>1.385390559732665</v>
      </c>
    </row>
    <row r="290" spans="1:14" x14ac:dyDescent="0.2">
      <c r="A290">
        <v>289</v>
      </c>
      <c r="B290">
        <f>LARGE(data!G:G,A290)</f>
        <v>0.44322814919999998</v>
      </c>
      <c r="C290">
        <f>COUNTIFS(data!E:E,data!$I$2,data!G:G,"&gt;="&amp;B290)</f>
        <v>169</v>
      </c>
      <c r="D290">
        <f>COUNTIFS(data!E:E,data!$J$2,data!G:G,"&gt;="&amp;B290)</f>
        <v>120</v>
      </c>
      <c r="E290">
        <f>COUNTIFS(data!E:E,data!$J$2,data!G:G,"&lt;"&amp;B290)</f>
        <v>242</v>
      </c>
      <c r="F290">
        <f>COUNTIFS(data!E:E,data!$I$2,data!G:G,"&lt;"&amp;B290)</f>
        <v>97</v>
      </c>
      <c r="G290">
        <f t="shared" si="28"/>
        <v>0.33149171270718231</v>
      </c>
      <c r="H290">
        <f t="shared" si="29"/>
        <v>0.63533834586466165</v>
      </c>
      <c r="I290">
        <f t="shared" si="30"/>
        <v>1.7550783034935361E-3</v>
      </c>
      <c r="J290">
        <f t="shared" si="31"/>
        <v>0.58477508650519028</v>
      </c>
      <c r="K290">
        <f t="shared" si="32"/>
        <v>0.60900900900900901</v>
      </c>
      <c r="L290">
        <f>A290*COUNTIF(data!E:E,$J$2)/data!$M$2</f>
        <v>122.41082802547771</v>
      </c>
      <c r="M290" s="1">
        <f>A290/data!$M$2</f>
        <v>0.46019108280254778</v>
      </c>
      <c r="N290">
        <f t="shared" si="33"/>
        <v>1.3805968207716524</v>
      </c>
    </row>
    <row r="291" spans="1:14" x14ac:dyDescent="0.2">
      <c r="A291">
        <v>290</v>
      </c>
      <c r="B291">
        <f>LARGE(data!G:G,A291)</f>
        <v>0.44205055319999997</v>
      </c>
      <c r="C291">
        <f>COUNTIFS(data!E:E,data!$I$2,data!G:G,"&gt;="&amp;B291)</f>
        <v>170</v>
      </c>
      <c r="D291">
        <f>COUNTIFS(data!E:E,data!$J$2,data!G:G,"&gt;="&amp;B291)</f>
        <v>120</v>
      </c>
      <c r="E291">
        <f>COUNTIFS(data!E:E,data!$J$2,data!G:G,"&lt;"&amp;B291)</f>
        <v>242</v>
      </c>
      <c r="F291">
        <f>COUNTIFS(data!E:E,data!$I$2,data!G:G,"&lt;"&amp;B291)</f>
        <v>96</v>
      </c>
      <c r="G291">
        <f t="shared" si="28"/>
        <v>0.33149171270718231</v>
      </c>
      <c r="H291">
        <f t="shared" si="29"/>
        <v>0.63909774436090228</v>
      </c>
      <c r="I291">
        <f t="shared" si="30"/>
        <v>0</v>
      </c>
      <c r="J291">
        <f t="shared" si="31"/>
        <v>0.58620689655172409</v>
      </c>
      <c r="K291">
        <f t="shared" si="32"/>
        <v>0.61151079136690645</v>
      </c>
      <c r="L291">
        <f>A291*COUNTIF(data!E:E,$J$2)/data!$M$2</f>
        <v>122.83439490445861</v>
      </c>
      <c r="M291" s="1">
        <f>A291/data!$M$2</f>
        <v>0.46178343949044587</v>
      </c>
      <c r="N291">
        <f t="shared" si="33"/>
        <v>1.3839771843401607</v>
      </c>
    </row>
    <row r="292" spans="1:14" x14ac:dyDescent="0.2">
      <c r="A292">
        <v>291</v>
      </c>
      <c r="B292">
        <f>LARGE(data!G:G,A292)</f>
        <v>0.44151358819999997</v>
      </c>
      <c r="C292">
        <f>COUNTIFS(data!E:E,data!$I$2,data!G:G,"&gt;="&amp;B292)</f>
        <v>170</v>
      </c>
      <c r="D292">
        <f>COUNTIFS(data!E:E,data!$J$2,data!G:G,"&gt;="&amp;B292)</f>
        <v>121</v>
      </c>
      <c r="E292">
        <f>COUNTIFS(data!E:E,data!$J$2,data!G:G,"&lt;"&amp;B292)</f>
        <v>241</v>
      </c>
      <c r="F292">
        <f>COUNTIFS(data!E:E,data!$I$2,data!G:G,"&lt;"&amp;B292)</f>
        <v>96</v>
      </c>
      <c r="G292">
        <f t="shared" si="28"/>
        <v>0.33425414364640882</v>
      </c>
      <c r="H292">
        <f t="shared" si="29"/>
        <v>0.63909774436090228</v>
      </c>
      <c r="I292">
        <f t="shared" si="30"/>
        <v>1.7654633822124328E-3</v>
      </c>
      <c r="J292">
        <f t="shared" si="31"/>
        <v>0.58419243986254299</v>
      </c>
      <c r="K292">
        <f t="shared" si="32"/>
        <v>0.61041292639138245</v>
      </c>
      <c r="L292">
        <f>A292*COUNTIF(data!E:E,$J$2)/data!$M$2</f>
        <v>123.25796178343948</v>
      </c>
      <c r="M292" s="1">
        <f>A292/data!$M$2</f>
        <v>0.46337579617834396</v>
      </c>
      <c r="N292">
        <f t="shared" si="33"/>
        <v>1.3792212489987856</v>
      </c>
    </row>
    <row r="293" spans="1:14" x14ac:dyDescent="0.2">
      <c r="A293">
        <v>292</v>
      </c>
      <c r="B293">
        <f>LARGE(data!G:G,A293)</f>
        <v>0.44027339659999998</v>
      </c>
      <c r="C293">
        <f>COUNTIFS(data!E:E,data!$I$2,data!G:G,"&gt;="&amp;B293)</f>
        <v>170</v>
      </c>
      <c r="D293">
        <f>COUNTIFS(data!E:E,data!$J$2,data!G:G,"&gt;="&amp;B293)</f>
        <v>122</v>
      </c>
      <c r="E293">
        <f>COUNTIFS(data!E:E,data!$J$2,data!G:G,"&lt;"&amp;B293)</f>
        <v>240</v>
      </c>
      <c r="F293">
        <f>COUNTIFS(data!E:E,data!$I$2,data!G:G,"&lt;"&amp;B293)</f>
        <v>96</v>
      </c>
      <c r="G293">
        <f t="shared" si="28"/>
        <v>0.33701657458563539</v>
      </c>
      <c r="H293">
        <f t="shared" si="29"/>
        <v>0.63909774436090228</v>
      </c>
      <c r="I293">
        <f t="shared" si="30"/>
        <v>1.7654633822124682E-3</v>
      </c>
      <c r="J293">
        <f t="shared" si="31"/>
        <v>0.5821917808219178</v>
      </c>
      <c r="K293">
        <f t="shared" si="32"/>
        <v>0.6093189964157707</v>
      </c>
      <c r="L293">
        <f>A293*COUNTIF(data!E:E,$J$2)/data!$M$2</f>
        <v>123.68152866242038</v>
      </c>
      <c r="M293" s="1">
        <f>A293/data!$M$2</f>
        <v>0.46496815286624205</v>
      </c>
      <c r="N293">
        <f t="shared" si="33"/>
        <v>1.3744978885570089</v>
      </c>
    </row>
    <row r="294" spans="1:14" x14ac:dyDescent="0.2">
      <c r="A294">
        <v>293</v>
      </c>
      <c r="B294">
        <f>LARGE(data!G:G,A294)</f>
        <v>0.43958606280000001</v>
      </c>
      <c r="C294">
        <f>COUNTIFS(data!E:E,data!$I$2,data!G:G,"&gt;="&amp;B294)</f>
        <v>170</v>
      </c>
      <c r="D294">
        <f>COUNTIFS(data!E:E,data!$J$2,data!G:G,"&gt;="&amp;B294)</f>
        <v>123</v>
      </c>
      <c r="E294">
        <f>COUNTIFS(data!E:E,data!$J$2,data!G:G,"&lt;"&amp;B294)</f>
        <v>239</v>
      </c>
      <c r="F294">
        <f>COUNTIFS(data!E:E,data!$I$2,data!G:G,"&lt;"&amp;B294)</f>
        <v>96</v>
      </c>
      <c r="G294">
        <f t="shared" si="28"/>
        <v>0.3397790055248619</v>
      </c>
      <c r="H294">
        <f t="shared" si="29"/>
        <v>0.63909774436090228</v>
      </c>
      <c r="I294">
        <f t="shared" si="30"/>
        <v>1.7654633822124328E-3</v>
      </c>
      <c r="J294">
        <f t="shared" si="31"/>
        <v>0.58020477815699656</v>
      </c>
      <c r="K294">
        <f t="shared" si="32"/>
        <v>0.60822898032200357</v>
      </c>
      <c r="L294">
        <f>A294*COUNTIF(data!E:E,$J$2)/data!$M$2</f>
        <v>124.10509554140127</v>
      </c>
      <c r="M294" s="1">
        <f>A294/data!$M$2</f>
        <v>0.46656050955414013</v>
      </c>
      <c r="N294">
        <f t="shared" si="33"/>
        <v>1.3698067694834355</v>
      </c>
    </row>
    <row r="295" spans="1:14" x14ac:dyDescent="0.2">
      <c r="A295">
        <v>294</v>
      </c>
      <c r="B295">
        <f>LARGE(data!G:G,A295)</f>
        <v>0.43873625360000001</v>
      </c>
      <c r="C295">
        <f>COUNTIFS(data!E:E,data!$I$2,data!G:G,"&gt;="&amp;B295)</f>
        <v>171</v>
      </c>
      <c r="D295">
        <f>COUNTIFS(data!E:E,data!$J$2,data!G:G,"&gt;="&amp;B295)</f>
        <v>123</v>
      </c>
      <c r="E295">
        <f>COUNTIFS(data!E:E,data!$J$2,data!G:G,"&lt;"&amp;B295)</f>
        <v>239</v>
      </c>
      <c r="F295">
        <f>COUNTIFS(data!E:E,data!$I$2,data!G:G,"&lt;"&amp;B295)</f>
        <v>95</v>
      </c>
      <c r="G295">
        <f t="shared" si="28"/>
        <v>0.3397790055248619</v>
      </c>
      <c r="H295">
        <f t="shared" si="29"/>
        <v>0.6428571428571429</v>
      </c>
      <c r="I295">
        <f t="shared" si="30"/>
        <v>0</v>
      </c>
      <c r="J295">
        <f t="shared" si="31"/>
        <v>0.58163265306122447</v>
      </c>
      <c r="K295">
        <f t="shared" si="32"/>
        <v>0.61071428571428577</v>
      </c>
      <c r="L295">
        <f>A295*COUNTIF(data!E:E,$J$2)/data!$M$2</f>
        <v>124.52866242038216</v>
      </c>
      <c r="M295" s="1">
        <f>A295/data!$M$2</f>
        <v>0.46815286624203822</v>
      </c>
      <c r="N295">
        <f t="shared" si="33"/>
        <v>1.3731778425655976</v>
      </c>
    </row>
    <row r="296" spans="1:14" x14ac:dyDescent="0.2">
      <c r="A296">
        <v>295</v>
      </c>
      <c r="B296">
        <f>LARGE(data!G:G,A296)</f>
        <v>0.43548070979999998</v>
      </c>
      <c r="C296">
        <f>COUNTIFS(data!E:E,data!$I$2,data!G:G,"&gt;="&amp;B296)</f>
        <v>173</v>
      </c>
      <c r="D296">
        <f>COUNTIFS(data!E:E,data!$J$2,data!G:G,"&gt;="&amp;B296)</f>
        <v>123</v>
      </c>
      <c r="E296">
        <f>COUNTIFS(data!E:E,data!$J$2,data!G:G,"&lt;"&amp;B296)</f>
        <v>239</v>
      </c>
      <c r="F296">
        <f>COUNTIFS(data!E:E,data!$I$2,data!G:G,"&lt;"&amp;B296)</f>
        <v>93</v>
      </c>
      <c r="G296">
        <f t="shared" si="28"/>
        <v>0.3397790055248619</v>
      </c>
      <c r="H296">
        <f t="shared" si="29"/>
        <v>0.65037593984962405</v>
      </c>
      <c r="I296">
        <f t="shared" si="30"/>
        <v>0</v>
      </c>
      <c r="J296">
        <f t="shared" si="31"/>
        <v>0.58445945945945943</v>
      </c>
      <c r="K296">
        <f t="shared" si="32"/>
        <v>0.61565836298932375</v>
      </c>
      <c r="L296">
        <f>A296*COUNTIF(data!E:E,$J$2)/data!$M$2</f>
        <v>124.95222929936305</v>
      </c>
      <c r="M296" s="1">
        <f>A296/data!$M$2</f>
        <v>0.46974522292993631</v>
      </c>
      <c r="N296">
        <f t="shared" si="33"/>
        <v>1.3845291194086913</v>
      </c>
    </row>
    <row r="297" spans="1:14" x14ac:dyDescent="0.2">
      <c r="A297">
        <v>296</v>
      </c>
      <c r="B297">
        <f>LARGE(data!G:G,A297)</f>
        <v>0.43548070979999998</v>
      </c>
      <c r="C297">
        <f>COUNTIFS(data!E:E,data!$I$2,data!G:G,"&gt;="&amp;B297)</f>
        <v>173</v>
      </c>
      <c r="D297">
        <f>COUNTIFS(data!E:E,data!$J$2,data!G:G,"&gt;="&amp;B297)</f>
        <v>123</v>
      </c>
      <c r="E297">
        <f>COUNTIFS(data!E:E,data!$J$2,data!G:G,"&lt;"&amp;B297)</f>
        <v>239</v>
      </c>
      <c r="F297">
        <f>COUNTIFS(data!E:E,data!$I$2,data!G:G,"&lt;"&amp;B297)</f>
        <v>93</v>
      </c>
      <c r="G297">
        <f t="shared" si="28"/>
        <v>0.3397790055248619</v>
      </c>
      <c r="H297">
        <f t="shared" si="29"/>
        <v>0.65037593984962405</v>
      </c>
      <c r="I297">
        <f t="shared" si="30"/>
        <v>0</v>
      </c>
      <c r="J297">
        <f t="shared" si="31"/>
        <v>0.58445945945945943</v>
      </c>
      <c r="K297">
        <f t="shared" si="32"/>
        <v>0.61565836298932375</v>
      </c>
      <c r="L297">
        <f>A297*COUNTIF(data!E:E,$J$2)/data!$M$2</f>
        <v>125.37579617834395</v>
      </c>
      <c r="M297" s="1">
        <f>A297/data!$M$2</f>
        <v>0.4713375796178344</v>
      </c>
      <c r="N297">
        <f t="shared" si="33"/>
        <v>1.3798516561674457</v>
      </c>
    </row>
    <row r="298" spans="1:14" x14ac:dyDescent="0.2">
      <c r="A298">
        <v>297</v>
      </c>
      <c r="B298">
        <f>LARGE(data!G:G,A298)</f>
        <v>0.43529139529999999</v>
      </c>
      <c r="C298">
        <f>COUNTIFS(data!E:E,data!$I$2,data!G:G,"&gt;="&amp;B298)</f>
        <v>173</v>
      </c>
      <c r="D298">
        <f>COUNTIFS(data!E:E,data!$J$2,data!G:G,"&gt;="&amp;B298)</f>
        <v>124</v>
      </c>
      <c r="E298">
        <f>COUNTIFS(data!E:E,data!$J$2,data!G:G,"&lt;"&amp;B298)</f>
        <v>238</v>
      </c>
      <c r="F298">
        <f>COUNTIFS(data!E:E,data!$I$2,data!G:G,"&lt;"&amp;B298)</f>
        <v>93</v>
      </c>
      <c r="G298">
        <f t="shared" si="28"/>
        <v>0.34254143646408841</v>
      </c>
      <c r="H298">
        <f t="shared" si="29"/>
        <v>0.65037593984962405</v>
      </c>
      <c r="I298">
        <f t="shared" si="30"/>
        <v>1.7966186183691227E-3</v>
      </c>
      <c r="J298">
        <f t="shared" si="31"/>
        <v>0.5824915824915825</v>
      </c>
      <c r="K298">
        <f t="shared" si="32"/>
        <v>0.61456483126110129</v>
      </c>
      <c r="L298">
        <f>A298*COUNTIF(data!E:E,$J$2)/data!$M$2</f>
        <v>125.79936305732484</v>
      </c>
      <c r="M298" s="1">
        <f>A298/data!$M$2</f>
        <v>0.47292993630573249</v>
      </c>
      <c r="N298">
        <f t="shared" si="33"/>
        <v>1.3752056909951647</v>
      </c>
    </row>
    <row r="299" spans="1:14" x14ac:dyDescent="0.2">
      <c r="A299">
        <v>298</v>
      </c>
      <c r="B299">
        <f>LARGE(data!G:G,A299)</f>
        <v>0.43326079169999998</v>
      </c>
      <c r="C299">
        <f>COUNTIFS(data!E:E,data!$I$2,data!G:G,"&gt;="&amp;B299)</f>
        <v>174</v>
      </c>
      <c r="D299">
        <f>COUNTIFS(data!E:E,data!$J$2,data!G:G,"&gt;="&amp;B299)</f>
        <v>124</v>
      </c>
      <c r="E299">
        <f>COUNTIFS(data!E:E,data!$J$2,data!G:G,"&lt;"&amp;B299)</f>
        <v>238</v>
      </c>
      <c r="F299">
        <f>COUNTIFS(data!E:E,data!$I$2,data!G:G,"&lt;"&amp;B299)</f>
        <v>92</v>
      </c>
      <c r="G299">
        <f t="shared" si="28"/>
        <v>0.34254143646408841</v>
      </c>
      <c r="H299">
        <f t="shared" si="29"/>
        <v>0.65413533834586468</v>
      </c>
      <c r="I299">
        <f t="shared" si="30"/>
        <v>0</v>
      </c>
      <c r="J299">
        <f t="shared" si="31"/>
        <v>0.58389261744966447</v>
      </c>
      <c r="K299">
        <f t="shared" si="32"/>
        <v>0.61702127659574468</v>
      </c>
      <c r="L299">
        <f>A299*COUNTIF(data!E:E,$J$2)/data!$M$2</f>
        <v>126.22292993630573</v>
      </c>
      <c r="M299" s="1">
        <f>A299/data!$M$2</f>
        <v>0.47452229299363058</v>
      </c>
      <c r="N299">
        <f t="shared" si="33"/>
        <v>1.3785133975879296</v>
      </c>
    </row>
    <row r="300" spans="1:14" x14ac:dyDescent="0.2">
      <c r="A300">
        <v>299</v>
      </c>
      <c r="B300">
        <f>LARGE(data!G:G,A300)</f>
        <v>0.43282007150000001</v>
      </c>
      <c r="C300">
        <f>COUNTIFS(data!E:E,data!$I$2,data!G:G,"&gt;="&amp;B300)</f>
        <v>174</v>
      </c>
      <c r="D300">
        <f>COUNTIFS(data!E:E,data!$J$2,data!G:G,"&gt;="&amp;B300)</f>
        <v>125</v>
      </c>
      <c r="E300">
        <f>COUNTIFS(data!E:E,data!$J$2,data!G:G,"&lt;"&amp;B300)</f>
        <v>237</v>
      </c>
      <c r="F300">
        <f>COUNTIFS(data!E:E,data!$I$2,data!G:G,"&lt;"&amp;B300)</f>
        <v>92</v>
      </c>
      <c r="G300">
        <f t="shared" si="28"/>
        <v>0.34530386740331492</v>
      </c>
      <c r="H300">
        <f t="shared" si="29"/>
        <v>0.65413533834586468</v>
      </c>
      <c r="I300">
        <f t="shared" si="30"/>
        <v>1.8070036970880194E-3</v>
      </c>
      <c r="J300">
        <f t="shared" si="31"/>
        <v>0.58193979933110362</v>
      </c>
      <c r="K300">
        <f t="shared" si="32"/>
        <v>0.61592920353982294</v>
      </c>
      <c r="L300">
        <f>A300*COUNTIF(data!E:E,$J$2)/data!$M$2</f>
        <v>126.64649681528662</v>
      </c>
      <c r="M300" s="1">
        <f>A300/data!$M$2</f>
        <v>0.47611464968152867</v>
      </c>
      <c r="N300">
        <f t="shared" si="33"/>
        <v>1.3739029848869666</v>
      </c>
    </row>
    <row r="301" spans="1:14" x14ac:dyDescent="0.2">
      <c r="A301">
        <v>300</v>
      </c>
      <c r="B301">
        <f>LARGE(data!G:G,A301)</f>
        <v>0.426084884</v>
      </c>
      <c r="C301">
        <f>COUNTIFS(data!E:E,data!$I$2,data!G:G,"&gt;="&amp;B301)</f>
        <v>175</v>
      </c>
      <c r="D301">
        <f>COUNTIFS(data!E:E,data!$J$2,data!G:G,"&gt;="&amp;B301)</f>
        <v>125</v>
      </c>
      <c r="E301">
        <f>COUNTIFS(data!E:E,data!$J$2,data!G:G,"&lt;"&amp;B301)</f>
        <v>237</v>
      </c>
      <c r="F301">
        <f>COUNTIFS(data!E:E,data!$I$2,data!G:G,"&lt;"&amp;B301)</f>
        <v>91</v>
      </c>
      <c r="G301">
        <f t="shared" si="28"/>
        <v>0.34530386740331492</v>
      </c>
      <c r="H301">
        <f t="shared" si="29"/>
        <v>0.65789473684210531</v>
      </c>
      <c r="I301">
        <f t="shared" si="30"/>
        <v>0</v>
      </c>
      <c r="J301">
        <f t="shared" si="31"/>
        <v>0.58333333333333337</v>
      </c>
      <c r="K301">
        <f t="shared" si="32"/>
        <v>0.61837455830388688</v>
      </c>
      <c r="L301">
        <f>A301*COUNTIF(data!E:E,$J$2)/data!$M$2</f>
        <v>127.07006369426752</v>
      </c>
      <c r="M301" s="1">
        <f>A301/data!$M$2</f>
        <v>0.47770700636942676</v>
      </c>
      <c r="N301">
        <f t="shared" si="33"/>
        <v>1.3771929824561404</v>
      </c>
    </row>
    <row r="302" spans="1:14" x14ac:dyDescent="0.2">
      <c r="A302">
        <v>301</v>
      </c>
      <c r="B302">
        <f>LARGE(data!G:G,A302)</f>
        <v>0.42595551300000001</v>
      </c>
      <c r="C302">
        <f>COUNTIFS(data!E:E,data!$I$2,data!G:G,"&gt;="&amp;B302)</f>
        <v>175</v>
      </c>
      <c r="D302">
        <f>COUNTIFS(data!E:E,data!$J$2,data!G:G,"&gt;="&amp;B302)</f>
        <v>126</v>
      </c>
      <c r="E302">
        <f>COUNTIFS(data!E:E,data!$J$2,data!G:G,"&lt;"&amp;B302)</f>
        <v>236</v>
      </c>
      <c r="F302">
        <f>COUNTIFS(data!E:E,data!$I$2,data!G:G,"&lt;"&amp;B302)</f>
        <v>91</v>
      </c>
      <c r="G302">
        <f t="shared" si="28"/>
        <v>0.34806629834254144</v>
      </c>
      <c r="H302">
        <f t="shared" si="29"/>
        <v>0.65789473684210531</v>
      </c>
      <c r="I302">
        <f t="shared" si="30"/>
        <v>1.8173887758069162E-3</v>
      </c>
      <c r="J302">
        <f t="shared" si="31"/>
        <v>0.58139534883720934</v>
      </c>
      <c r="K302">
        <f t="shared" si="32"/>
        <v>0.61728395061728392</v>
      </c>
      <c r="L302">
        <f>A302*COUNTIF(data!E:E,$J$2)/data!$M$2</f>
        <v>127.49363057324841</v>
      </c>
      <c r="M302" s="1">
        <f>A302/data!$M$2</f>
        <v>0.47929936305732485</v>
      </c>
      <c r="N302">
        <f t="shared" si="33"/>
        <v>1.3726175904878475</v>
      </c>
    </row>
    <row r="303" spans="1:14" x14ac:dyDescent="0.2">
      <c r="A303">
        <v>302</v>
      </c>
      <c r="B303">
        <f>LARGE(data!G:G,A303)</f>
        <v>0.42501094639999998</v>
      </c>
      <c r="C303">
        <f>COUNTIFS(data!E:E,data!$I$2,data!G:G,"&gt;="&amp;B303)</f>
        <v>176</v>
      </c>
      <c r="D303">
        <f>COUNTIFS(data!E:E,data!$J$2,data!G:G,"&gt;="&amp;B303)</f>
        <v>126</v>
      </c>
      <c r="E303">
        <f>COUNTIFS(data!E:E,data!$J$2,data!G:G,"&lt;"&amp;B303)</f>
        <v>236</v>
      </c>
      <c r="F303">
        <f>COUNTIFS(data!E:E,data!$I$2,data!G:G,"&lt;"&amp;B303)</f>
        <v>90</v>
      </c>
      <c r="G303">
        <f t="shared" si="28"/>
        <v>0.34806629834254144</v>
      </c>
      <c r="H303">
        <f t="shared" si="29"/>
        <v>0.66165413533834583</v>
      </c>
      <c r="I303">
        <f t="shared" si="30"/>
        <v>0</v>
      </c>
      <c r="J303">
        <f t="shared" si="31"/>
        <v>0.58278145695364236</v>
      </c>
      <c r="K303">
        <f t="shared" si="32"/>
        <v>0.61971830985915499</v>
      </c>
      <c r="L303">
        <f>A303*COUNTIF(data!E:E,$J$2)/data!$M$2</f>
        <v>127.9171974522293</v>
      </c>
      <c r="M303" s="1">
        <f>A303/data!$M$2</f>
        <v>0.48089171974522293</v>
      </c>
      <c r="N303">
        <f t="shared" si="33"/>
        <v>1.375890056266494</v>
      </c>
    </row>
    <row r="304" spans="1:14" x14ac:dyDescent="0.2">
      <c r="A304">
        <v>303</v>
      </c>
      <c r="B304">
        <f>LARGE(data!G:G,A304)</f>
        <v>0.42336011470000001</v>
      </c>
      <c r="C304">
        <f>COUNTIFS(data!E:E,data!$I$2,data!G:G,"&gt;="&amp;B304)</f>
        <v>177</v>
      </c>
      <c r="D304">
        <f>COUNTIFS(data!E:E,data!$J$2,data!G:G,"&gt;="&amp;B304)</f>
        <v>126</v>
      </c>
      <c r="E304">
        <f>COUNTIFS(data!E:E,data!$J$2,data!G:G,"&lt;"&amp;B304)</f>
        <v>236</v>
      </c>
      <c r="F304">
        <f>COUNTIFS(data!E:E,data!$I$2,data!G:G,"&lt;"&amp;B304)</f>
        <v>89</v>
      </c>
      <c r="G304">
        <f t="shared" si="28"/>
        <v>0.34806629834254144</v>
      </c>
      <c r="H304">
        <f t="shared" si="29"/>
        <v>0.66541353383458646</v>
      </c>
      <c r="I304">
        <f t="shared" si="30"/>
        <v>0</v>
      </c>
      <c r="J304">
        <f t="shared" si="31"/>
        <v>0.58415841584158412</v>
      </c>
      <c r="K304">
        <f t="shared" si="32"/>
        <v>0.62214411247803159</v>
      </c>
      <c r="L304">
        <f>A304*COUNTIF(data!E:E,$J$2)/data!$M$2</f>
        <v>128.34076433121018</v>
      </c>
      <c r="M304" s="1">
        <f>A304/data!$M$2</f>
        <v>0.48248407643312102</v>
      </c>
      <c r="N304">
        <f t="shared" si="33"/>
        <v>1.3791409216109582</v>
      </c>
    </row>
    <row r="305" spans="1:14" x14ac:dyDescent="0.2">
      <c r="A305">
        <v>304</v>
      </c>
      <c r="B305">
        <f>LARGE(data!G:G,A305)</f>
        <v>0.42328273869999999</v>
      </c>
      <c r="C305">
        <f>COUNTIFS(data!E:E,data!$I$2,data!G:G,"&gt;="&amp;B305)</f>
        <v>177</v>
      </c>
      <c r="D305">
        <f>COUNTIFS(data!E:E,data!$J$2,data!G:G,"&gt;="&amp;B305)</f>
        <v>127</v>
      </c>
      <c r="E305">
        <f>COUNTIFS(data!E:E,data!$J$2,data!G:G,"&lt;"&amp;B305)</f>
        <v>235</v>
      </c>
      <c r="F305">
        <f>COUNTIFS(data!E:E,data!$I$2,data!G:G,"&lt;"&amp;B305)</f>
        <v>89</v>
      </c>
      <c r="G305">
        <f t="shared" si="28"/>
        <v>0.35082872928176795</v>
      </c>
      <c r="H305">
        <f t="shared" si="29"/>
        <v>0.66541353383458646</v>
      </c>
      <c r="I305">
        <f t="shared" si="30"/>
        <v>1.8381589332447093E-3</v>
      </c>
      <c r="J305">
        <f t="shared" si="31"/>
        <v>0.58223684210526316</v>
      </c>
      <c r="K305">
        <f t="shared" si="32"/>
        <v>0.62105263157894741</v>
      </c>
      <c r="L305">
        <f>A305*COUNTIF(data!E:E,$J$2)/data!$M$2</f>
        <v>128.76433121019107</v>
      </c>
      <c r="M305" s="1">
        <f>A305/data!$M$2</f>
        <v>0.48407643312101911</v>
      </c>
      <c r="N305">
        <f t="shared" si="33"/>
        <v>1.3746042738425011</v>
      </c>
    </row>
    <row r="306" spans="1:14" x14ac:dyDescent="0.2">
      <c r="A306">
        <v>305</v>
      </c>
      <c r="B306">
        <f>LARGE(data!G:G,A306)</f>
        <v>0.42263703720000001</v>
      </c>
      <c r="C306">
        <f>COUNTIFS(data!E:E,data!$I$2,data!G:G,"&gt;="&amp;B306)</f>
        <v>177</v>
      </c>
      <c r="D306">
        <f>COUNTIFS(data!E:E,data!$J$2,data!G:G,"&gt;="&amp;B306)</f>
        <v>128</v>
      </c>
      <c r="E306">
        <f>COUNTIFS(data!E:E,data!$J$2,data!G:G,"&lt;"&amp;B306)</f>
        <v>234</v>
      </c>
      <c r="F306">
        <f>COUNTIFS(data!E:E,data!$I$2,data!G:G,"&lt;"&amp;B306)</f>
        <v>89</v>
      </c>
      <c r="G306">
        <f t="shared" si="28"/>
        <v>0.35359116022099446</v>
      </c>
      <c r="H306">
        <f t="shared" si="29"/>
        <v>0.66541353383458646</v>
      </c>
      <c r="I306">
        <f t="shared" si="30"/>
        <v>1.8381589332447093E-3</v>
      </c>
      <c r="J306">
        <f t="shared" si="31"/>
        <v>0.58032786885245902</v>
      </c>
      <c r="K306">
        <f t="shared" si="32"/>
        <v>0.61996497373029769</v>
      </c>
      <c r="L306">
        <f>A306*COUNTIF(data!E:E,$J$2)/data!$M$2</f>
        <v>129.18789808917197</v>
      </c>
      <c r="M306" s="1">
        <f>A306/data!$M$2</f>
        <v>0.4856687898089172</v>
      </c>
      <c r="N306">
        <f t="shared" si="33"/>
        <v>1.370097374584001</v>
      </c>
    </row>
    <row r="307" spans="1:14" x14ac:dyDescent="0.2">
      <c r="A307">
        <v>306</v>
      </c>
      <c r="B307">
        <f>LARGE(data!G:G,A307)</f>
        <v>0.41886100389999997</v>
      </c>
      <c r="C307">
        <f>COUNTIFS(data!E:E,data!$I$2,data!G:G,"&gt;="&amp;B307)</f>
        <v>178</v>
      </c>
      <c r="D307">
        <f>COUNTIFS(data!E:E,data!$J$2,data!G:G,"&gt;="&amp;B307)</f>
        <v>128</v>
      </c>
      <c r="E307">
        <f>COUNTIFS(data!E:E,data!$J$2,data!G:G,"&lt;"&amp;B307)</f>
        <v>234</v>
      </c>
      <c r="F307">
        <f>COUNTIFS(data!E:E,data!$I$2,data!G:G,"&lt;"&amp;B307)</f>
        <v>88</v>
      </c>
      <c r="G307">
        <f t="shared" si="28"/>
        <v>0.35359116022099446</v>
      </c>
      <c r="H307">
        <f t="shared" si="29"/>
        <v>0.66917293233082709</v>
      </c>
      <c r="I307">
        <f t="shared" si="30"/>
        <v>0</v>
      </c>
      <c r="J307">
        <f t="shared" si="31"/>
        <v>0.5816993464052288</v>
      </c>
      <c r="K307">
        <f t="shared" si="32"/>
        <v>0.62237762237762251</v>
      </c>
      <c r="L307">
        <f>A307*COUNTIF(data!E:E,$J$2)/data!$M$2</f>
        <v>129.61146496815286</v>
      </c>
      <c r="M307" s="1">
        <f>A307/data!$M$2</f>
        <v>0.48726114649681529</v>
      </c>
      <c r="N307">
        <f t="shared" si="33"/>
        <v>1.3733352990318934</v>
      </c>
    </row>
    <row r="308" spans="1:14" x14ac:dyDescent="0.2">
      <c r="A308">
        <v>307</v>
      </c>
      <c r="B308">
        <f>LARGE(data!G:G,A308)</f>
        <v>0.4153966127</v>
      </c>
      <c r="C308">
        <f>COUNTIFS(data!E:E,data!$I$2,data!G:G,"&gt;="&amp;B308)</f>
        <v>178</v>
      </c>
      <c r="D308">
        <f>COUNTIFS(data!E:E,data!$J$2,data!G:G,"&gt;="&amp;B308)</f>
        <v>129</v>
      </c>
      <c r="E308">
        <f>COUNTIFS(data!E:E,data!$J$2,data!G:G,"&lt;"&amp;B308)</f>
        <v>233</v>
      </c>
      <c r="F308">
        <f>COUNTIFS(data!E:E,data!$I$2,data!G:G,"&lt;"&amp;B308)</f>
        <v>88</v>
      </c>
      <c r="G308">
        <f t="shared" si="28"/>
        <v>0.35635359116022097</v>
      </c>
      <c r="H308">
        <f t="shared" si="29"/>
        <v>0.66917293233082709</v>
      </c>
      <c r="I308">
        <f t="shared" si="30"/>
        <v>1.848544011963606E-3</v>
      </c>
      <c r="J308">
        <f t="shared" si="31"/>
        <v>0.57980456026058635</v>
      </c>
      <c r="K308">
        <f t="shared" si="32"/>
        <v>0.62129144851657947</v>
      </c>
      <c r="L308">
        <f>A308*COUNTIF(data!E:E,$J$2)/data!$M$2</f>
        <v>130.03503184713375</v>
      </c>
      <c r="M308" s="1">
        <f>A308/data!$M$2</f>
        <v>0.48885350318471338</v>
      </c>
      <c r="N308">
        <f t="shared" si="33"/>
        <v>1.3688618941490536</v>
      </c>
    </row>
    <row r="309" spans="1:14" x14ac:dyDescent="0.2">
      <c r="A309">
        <v>308</v>
      </c>
      <c r="B309">
        <f>LARGE(data!G:G,A309)</f>
        <v>0.4152882631</v>
      </c>
      <c r="C309">
        <f>COUNTIFS(data!E:E,data!$I$2,data!G:G,"&gt;="&amp;B309)</f>
        <v>179</v>
      </c>
      <c r="D309">
        <f>COUNTIFS(data!E:E,data!$J$2,data!G:G,"&gt;="&amp;B309)</f>
        <v>129</v>
      </c>
      <c r="E309">
        <f>COUNTIFS(data!E:E,data!$J$2,data!G:G,"&lt;"&amp;B309)</f>
        <v>233</v>
      </c>
      <c r="F309">
        <f>COUNTIFS(data!E:E,data!$I$2,data!G:G,"&lt;"&amp;B309)</f>
        <v>87</v>
      </c>
      <c r="G309">
        <f t="shared" si="28"/>
        <v>0.35635359116022097</v>
      </c>
      <c r="H309">
        <f t="shared" si="29"/>
        <v>0.67293233082706772</v>
      </c>
      <c r="I309">
        <f t="shared" si="30"/>
        <v>0</v>
      </c>
      <c r="J309">
        <f t="shared" si="31"/>
        <v>0.58116883116883122</v>
      </c>
      <c r="K309">
        <f t="shared" si="32"/>
        <v>0.62369337979094086</v>
      </c>
      <c r="L309">
        <f>A309*COUNTIF(data!E:E,$J$2)/data!$M$2</f>
        <v>130.45859872611464</v>
      </c>
      <c r="M309" s="1">
        <f>A309/data!$M$2</f>
        <v>0.49044585987261147</v>
      </c>
      <c r="N309">
        <f t="shared" si="33"/>
        <v>1.3720828044136315</v>
      </c>
    </row>
    <row r="310" spans="1:14" x14ac:dyDescent="0.2">
      <c r="A310">
        <v>309</v>
      </c>
      <c r="B310">
        <f>LARGE(data!G:G,A310)</f>
        <v>0.41493306520000001</v>
      </c>
      <c r="C310">
        <f>COUNTIFS(data!E:E,data!$I$2,data!G:G,"&gt;="&amp;B310)</f>
        <v>181</v>
      </c>
      <c r="D310">
        <f>COUNTIFS(data!E:E,data!$J$2,data!G:G,"&gt;="&amp;B310)</f>
        <v>129</v>
      </c>
      <c r="E310">
        <f>COUNTIFS(data!E:E,data!$J$2,data!G:G,"&lt;"&amp;B310)</f>
        <v>233</v>
      </c>
      <c r="F310">
        <f>COUNTIFS(data!E:E,data!$I$2,data!G:G,"&lt;"&amp;B310)</f>
        <v>85</v>
      </c>
      <c r="G310">
        <f t="shared" si="28"/>
        <v>0.35635359116022097</v>
      </c>
      <c r="H310">
        <f t="shared" si="29"/>
        <v>0.68045112781954886</v>
      </c>
      <c r="I310">
        <f t="shared" si="30"/>
        <v>0</v>
      </c>
      <c r="J310">
        <f t="shared" si="31"/>
        <v>0.58387096774193548</v>
      </c>
      <c r="K310">
        <f t="shared" si="32"/>
        <v>0.62847222222222221</v>
      </c>
      <c r="L310">
        <f>A310*COUNTIF(data!E:E,$J$2)/data!$M$2</f>
        <v>130.88216560509554</v>
      </c>
      <c r="M310" s="1">
        <f>A310/data!$M$2</f>
        <v>0.49203821656050956</v>
      </c>
      <c r="N310">
        <f t="shared" si="33"/>
        <v>1.3829233277368178</v>
      </c>
    </row>
    <row r="311" spans="1:14" x14ac:dyDescent="0.2">
      <c r="A311">
        <v>310</v>
      </c>
      <c r="B311">
        <f>LARGE(data!G:G,A311)</f>
        <v>0.41493306520000001</v>
      </c>
      <c r="C311">
        <f>COUNTIFS(data!E:E,data!$I$2,data!G:G,"&gt;="&amp;B311)</f>
        <v>181</v>
      </c>
      <c r="D311">
        <f>COUNTIFS(data!E:E,data!$J$2,data!G:G,"&gt;="&amp;B311)</f>
        <v>129</v>
      </c>
      <c r="E311">
        <f>COUNTIFS(data!E:E,data!$J$2,data!G:G,"&lt;"&amp;B311)</f>
        <v>233</v>
      </c>
      <c r="F311">
        <f>COUNTIFS(data!E:E,data!$I$2,data!G:G,"&lt;"&amp;B311)</f>
        <v>85</v>
      </c>
      <c r="G311">
        <f t="shared" si="28"/>
        <v>0.35635359116022097</v>
      </c>
      <c r="H311">
        <f t="shared" si="29"/>
        <v>0.68045112781954886</v>
      </c>
      <c r="I311">
        <f t="shared" si="30"/>
        <v>0</v>
      </c>
      <c r="J311">
        <f t="shared" si="31"/>
        <v>0.58387096774193548</v>
      </c>
      <c r="K311">
        <f t="shared" si="32"/>
        <v>0.62847222222222221</v>
      </c>
      <c r="L311">
        <f>A311*COUNTIF(data!E:E,$J$2)/data!$M$2</f>
        <v>131.30573248407643</v>
      </c>
      <c r="M311" s="1">
        <f>A311/data!$M$2</f>
        <v>0.49363057324840764</v>
      </c>
      <c r="N311">
        <f t="shared" si="33"/>
        <v>1.3784622847441184</v>
      </c>
    </row>
    <row r="312" spans="1:14" x14ac:dyDescent="0.2">
      <c r="A312">
        <v>311</v>
      </c>
      <c r="B312">
        <f>LARGE(data!G:G,A312)</f>
        <v>0.4125378838</v>
      </c>
      <c r="C312">
        <f>COUNTIFS(data!E:E,data!$I$2,data!G:G,"&gt;="&amp;B312)</f>
        <v>181</v>
      </c>
      <c r="D312">
        <f>COUNTIFS(data!E:E,data!$J$2,data!G:G,"&gt;="&amp;B312)</f>
        <v>130</v>
      </c>
      <c r="E312">
        <f>COUNTIFS(data!E:E,data!$J$2,data!G:G,"&lt;"&amp;B312)</f>
        <v>232</v>
      </c>
      <c r="F312">
        <f>COUNTIFS(data!E:E,data!$I$2,data!G:G,"&lt;"&amp;B312)</f>
        <v>85</v>
      </c>
      <c r="G312">
        <f t="shared" si="28"/>
        <v>0.35911602209944754</v>
      </c>
      <c r="H312">
        <f t="shared" si="29"/>
        <v>0.68045112781954886</v>
      </c>
      <c r="I312">
        <f t="shared" si="30"/>
        <v>1.8796992481203336E-3</v>
      </c>
      <c r="J312">
        <f t="shared" si="31"/>
        <v>0.58199356913183276</v>
      </c>
      <c r="K312">
        <f t="shared" si="32"/>
        <v>0.6273830155979202</v>
      </c>
      <c r="L312">
        <f>A312*COUNTIF(data!E:E,$J$2)/data!$M$2</f>
        <v>131.72929936305732</v>
      </c>
      <c r="M312" s="1">
        <f>A312/data!$M$2</f>
        <v>0.49522292993630573</v>
      </c>
      <c r="N312">
        <f t="shared" si="33"/>
        <v>1.3740299301307932</v>
      </c>
    </row>
    <row r="313" spans="1:14" x14ac:dyDescent="0.2">
      <c r="A313">
        <v>312</v>
      </c>
      <c r="B313">
        <f>LARGE(data!G:G,A313)</f>
        <v>0.40970866099999997</v>
      </c>
      <c r="C313">
        <f>COUNTIFS(data!E:E,data!$I$2,data!G:G,"&gt;="&amp;B313)</f>
        <v>181</v>
      </c>
      <c r="D313">
        <f>COUNTIFS(data!E:E,data!$J$2,data!G:G,"&gt;="&amp;B313)</f>
        <v>131</v>
      </c>
      <c r="E313">
        <f>COUNTIFS(data!E:E,data!$J$2,data!G:G,"&lt;"&amp;B313)</f>
        <v>231</v>
      </c>
      <c r="F313">
        <f>COUNTIFS(data!E:E,data!$I$2,data!G:G,"&lt;"&amp;B313)</f>
        <v>85</v>
      </c>
      <c r="G313">
        <f t="shared" si="28"/>
        <v>0.36187845303867405</v>
      </c>
      <c r="H313">
        <f t="shared" si="29"/>
        <v>0.68045112781954886</v>
      </c>
      <c r="I313">
        <f t="shared" si="30"/>
        <v>1.8796992481202959E-3</v>
      </c>
      <c r="J313">
        <f t="shared" si="31"/>
        <v>0.58012820512820518</v>
      </c>
      <c r="K313">
        <f t="shared" si="32"/>
        <v>0.62629757785467133</v>
      </c>
      <c r="L313">
        <f>A313*COUNTIF(data!E:E,$J$2)/data!$M$2</f>
        <v>132.15286624203821</v>
      </c>
      <c r="M313" s="1">
        <f>A313/data!$M$2</f>
        <v>0.49681528662420382</v>
      </c>
      <c r="N313">
        <f t="shared" si="33"/>
        <v>1.3696259880470407</v>
      </c>
    </row>
    <row r="314" spans="1:14" x14ac:dyDescent="0.2">
      <c r="A314">
        <v>313</v>
      </c>
      <c r="B314">
        <f>LARGE(data!G:G,A314)</f>
        <v>0.40935679949999998</v>
      </c>
      <c r="C314">
        <f>COUNTIFS(data!E:E,data!$I$2,data!G:G,"&gt;="&amp;B314)</f>
        <v>181</v>
      </c>
      <c r="D314">
        <f>COUNTIFS(data!E:E,data!$J$2,data!G:G,"&gt;="&amp;B314)</f>
        <v>132</v>
      </c>
      <c r="E314">
        <f>COUNTIFS(data!E:E,data!$J$2,data!G:G,"&lt;"&amp;B314)</f>
        <v>230</v>
      </c>
      <c r="F314">
        <f>COUNTIFS(data!E:E,data!$I$2,data!G:G,"&lt;"&amp;B314)</f>
        <v>85</v>
      </c>
      <c r="G314">
        <f t="shared" si="28"/>
        <v>0.36464088397790057</v>
      </c>
      <c r="H314">
        <f t="shared" si="29"/>
        <v>0.68045112781954886</v>
      </c>
      <c r="I314">
        <f t="shared" si="30"/>
        <v>1.8796992481202959E-3</v>
      </c>
      <c r="J314">
        <f t="shared" si="31"/>
        <v>0.57827476038338654</v>
      </c>
      <c r="K314">
        <f t="shared" si="32"/>
        <v>0.62521588946459417</v>
      </c>
      <c r="L314">
        <f>A314*COUNTIF(data!E:E,$J$2)/data!$M$2</f>
        <v>132.57643312101911</v>
      </c>
      <c r="M314" s="1">
        <f>A314/data!$M$2</f>
        <v>0.49840764331210191</v>
      </c>
      <c r="N314">
        <f t="shared" si="33"/>
        <v>1.3652501861682962</v>
      </c>
    </row>
    <row r="315" spans="1:14" x14ac:dyDescent="0.2">
      <c r="A315">
        <v>314</v>
      </c>
      <c r="B315">
        <f>LARGE(data!G:G,A315)</f>
        <v>0.4090047403</v>
      </c>
      <c r="C315">
        <f>COUNTIFS(data!E:E,data!$I$2,data!G:G,"&gt;="&amp;B315)</f>
        <v>182</v>
      </c>
      <c r="D315">
        <f>COUNTIFS(data!E:E,data!$J$2,data!G:G,"&gt;="&amp;B315)</f>
        <v>132</v>
      </c>
      <c r="E315">
        <f>COUNTIFS(data!E:E,data!$J$2,data!G:G,"&lt;"&amp;B315)</f>
        <v>230</v>
      </c>
      <c r="F315">
        <f>COUNTIFS(data!E:E,data!$I$2,data!G:G,"&lt;"&amp;B315)</f>
        <v>84</v>
      </c>
      <c r="G315">
        <f t="shared" si="28"/>
        <v>0.36464088397790057</v>
      </c>
      <c r="H315">
        <f t="shared" si="29"/>
        <v>0.68421052631578949</v>
      </c>
      <c r="I315">
        <f t="shared" si="30"/>
        <v>0</v>
      </c>
      <c r="J315">
        <f t="shared" si="31"/>
        <v>0.57961783439490444</v>
      </c>
      <c r="K315">
        <f t="shared" si="32"/>
        <v>0.62758620689655165</v>
      </c>
      <c r="L315">
        <f>A315*COUNTIF(data!E:E,$J$2)/data!$M$2</f>
        <v>133</v>
      </c>
      <c r="M315" s="1">
        <f>A315/data!$M$2</f>
        <v>0.5</v>
      </c>
      <c r="N315">
        <f t="shared" si="33"/>
        <v>1.368421052631579</v>
      </c>
    </row>
    <row r="316" spans="1:14" x14ac:dyDescent="0.2">
      <c r="A316">
        <v>315</v>
      </c>
      <c r="B316">
        <f>LARGE(data!G:G,A316)</f>
        <v>0.40671028250000002</v>
      </c>
      <c r="C316">
        <f>COUNTIFS(data!E:E,data!$I$2,data!G:G,"&gt;="&amp;B316)</f>
        <v>182</v>
      </c>
      <c r="D316">
        <f>COUNTIFS(data!E:E,data!$J$2,data!G:G,"&gt;="&amp;B316)</f>
        <v>133</v>
      </c>
      <c r="E316">
        <f>COUNTIFS(data!E:E,data!$J$2,data!G:G,"&lt;"&amp;B316)</f>
        <v>229</v>
      </c>
      <c r="F316">
        <f>COUNTIFS(data!E:E,data!$I$2,data!G:G,"&lt;"&amp;B316)</f>
        <v>84</v>
      </c>
      <c r="G316">
        <f t="shared" ref="G316:G379" si="34">D316/(E316+D316)</f>
        <v>0.36740331491712708</v>
      </c>
      <c r="H316">
        <f t="shared" ref="H316:H379" si="35">C316/(C316+F316)</f>
        <v>0.68421052631578949</v>
      </c>
      <c r="I316">
        <f t="shared" ref="I316:I379" si="36">(G316-G315)*(H316+H315)*0.5</f>
        <v>1.8900843268391926E-3</v>
      </c>
      <c r="J316">
        <f t="shared" ref="J316:J379" si="37">C316/(C316+D316)</f>
        <v>0.57777777777777772</v>
      </c>
      <c r="K316">
        <f t="shared" ref="K316:K379" si="38">2*J316*H316/(J316+H316)</f>
        <v>0.62650602409638545</v>
      </c>
      <c r="L316">
        <f>A316*COUNTIF(data!E:E,$J$2)/data!$M$2</f>
        <v>133.42356687898089</v>
      </c>
      <c r="M316" s="1">
        <f>A316/data!$M$2</f>
        <v>0.50159235668789814</v>
      </c>
      <c r="N316">
        <f t="shared" ref="N316:N379" si="39">C316/L316</f>
        <v>1.3640768588137009</v>
      </c>
    </row>
    <row r="317" spans="1:14" x14ac:dyDescent="0.2">
      <c r="A317">
        <v>316</v>
      </c>
      <c r="B317">
        <f>LARGE(data!G:G,A317)</f>
        <v>0.40525173209999998</v>
      </c>
      <c r="C317">
        <f>COUNTIFS(data!E:E,data!$I$2,data!G:G,"&gt;="&amp;B317)</f>
        <v>182</v>
      </c>
      <c r="D317">
        <f>COUNTIFS(data!E:E,data!$J$2,data!G:G,"&gt;="&amp;B317)</f>
        <v>134</v>
      </c>
      <c r="E317">
        <f>COUNTIFS(data!E:E,data!$J$2,data!G:G,"&lt;"&amp;B317)</f>
        <v>228</v>
      </c>
      <c r="F317">
        <f>COUNTIFS(data!E:E,data!$I$2,data!G:G,"&lt;"&amp;B317)</f>
        <v>84</v>
      </c>
      <c r="G317">
        <f t="shared" si="34"/>
        <v>0.37016574585635359</v>
      </c>
      <c r="H317">
        <f t="shared" si="35"/>
        <v>0.68421052631578949</v>
      </c>
      <c r="I317">
        <f t="shared" si="36"/>
        <v>1.8900843268391926E-3</v>
      </c>
      <c r="J317">
        <f t="shared" si="37"/>
        <v>0.57594936708860756</v>
      </c>
      <c r="K317">
        <f t="shared" si="38"/>
        <v>0.62542955326460481</v>
      </c>
      <c r="L317">
        <f>A317*COUNTIF(data!E:E,$J$2)/data!$M$2</f>
        <v>133.84713375796179</v>
      </c>
      <c r="M317" s="1">
        <f>A317/data!$M$2</f>
        <v>0.50318471337579618</v>
      </c>
      <c r="N317">
        <f t="shared" si="39"/>
        <v>1.3597601598934044</v>
      </c>
    </row>
    <row r="318" spans="1:14" x14ac:dyDescent="0.2">
      <c r="A318">
        <v>317</v>
      </c>
      <c r="B318">
        <f>LARGE(data!G:G,A318)</f>
        <v>0.40481720399999999</v>
      </c>
      <c r="C318">
        <f>COUNTIFS(data!E:E,data!$I$2,data!G:G,"&gt;="&amp;B318)</f>
        <v>182</v>
      </c>
      <c r="D318">
        <f>COUNTIFS(data!E:E,data!$J$2,data!G:G,"&gt;="&amp;B318)</f>
        <v>135</v>
      </c>
      <c r="E318">
        <f>COUNTIFS(data!E:E,data!$J$2,data!G:G,"&lt;"&amp;B318)</f>
        <v>227</v>
      </c>
      <c r="F318">
        <f>COUNTIFS(data!E:E,data!$I$2,data!G:G,"&lt;"&amp;B318)</f>
        <v>84</v>
      </c>
      <c r="G318">
        <f t="shared" si="34"/>
        <v>0.3729281767955801</v>
      </c>
      <c r="H318">
        <f t="shared" si="35"/>
        <v>0.68421052631578949</v>
      </c>
      <c r="I318">
        <f t="shared" si="36"/>
        <v>1.8900843268391926E-3</v>
      </c>
      <c r="J318">
        <f t="shared" si="37"/>
        <v>0.57413249211356465</v>
      </c>
      <c r="K318">
        <f t="shared" si="38"/>
        <v>0.62435677530017164</v>
      </c>
      <c r="L318">
        <f>A318*COUNTIF(data!E:E,$J$2)/data!$M$2</f>
        <v>134.27070063694268</v>
      </c>
      <c r="M318" s="1">
        <f>A318/data!$M$2</f>
        <v>0.50477707006369432</v>
      </c>
      <c r="N318">
        <f t="shared" si="39"/>
        <v>1.3554706956666114</v>
      </c>
    </row>
    <row r="319" spans="1:14" x14ac:dyDescent="0.2">
      <c r="A319">
        <v>318</v>
      </c>
      <c r="B319">
        <f>LARGE(data!G:G,A319)</f>
        <v>0.4045779108</v>
      </c>
      <c r="C319">
        <f>COUNTIFS(data!E:E,data!$I$2,data!G:G,"&gt;="&amp;B319)</f>
        <v>182</v>
      </c>
      <c r="D319">
        <f>COUNTIFS(data!E:E,data!$J$2,data!G:G,"&gt;="&amp;B319)</f>
        <v>136</v>
      </c>
      <c r="E319">
        <f>COUNTIFS(data!E:E,data!$J$2,data!G:G,"&lt;"&amp;B319)</f>
        <v>226</v>
      </c>
      <c r="F319">
        <f>COUNTIFS(data!E:E,data!$I$2,data!G:G,"&lt;"&amp;B319)</f>
        <v>84</v>
      </c>
      <c r="G319">
        <f t="shared" si="34"/>
        <v>0.37569060773480661</v>
      </c>
      <c r="H319">
        <f t="shared" si="35"/>
        <v>0.68421052631578949</v>
      </c>
      <c r="I319">
        <f t="shared" si="36"/>
        <v>1.8900843268391926E-3</v>
      </c>
      <c r="J319">
        <f t="shared" si="37"/>
        <v>0.57232704402515722</v>
      </c>
      <c r="K319">
        <f t="shared" si="38"/>
        <v>0.62328767123287676</v>
      </c>
      <c r="L319">
        <f>A319*COUNTIF(data!E:E,$J$2)/data!$M$2</f>
        <v>134.69426751592357</v>
      </c>
      <c r="M319" s="1">
        <f>A319/data!$M$2</f>
        <v>0.50636942675159236</v>
      </c>
      <c r="N319">
        <f t="shared" si="39"/>
        <v>1.3512082092022508</v>
      </c>
    </row>
    <row r="320" spans="1:14" x14ac:dyDescent="0.2">
      <c r="A320">
        <v>319</v>
      </c>
      <c r="B320">
        <f>LARGE(data!G:G,A320)</f>
        <v>0.40392689040000002</v>
      </c>
      <c r="C320">
        <f>COUNTIFS(data!E:E,data!$I$2,data!G:G,"&gt;="&amp;B320)</f>
        <v>182</v>
      </c>
      <c r="D320">
        <f>COUNTIFS(data!E:E,data!$J$2,data!G:G,"&gt;="&amp;B320)</f>
        <v>137</v>
      </c>
      <c r="E320">
        <f>COUNTIFS(data!E:E,data!$J$2,data!G:G,"&lt;"&amp;B320)</f>
        <v>225</v>
      </c>
      <c r="F320">
        <f>COUNTIFS(data!E:E,data!$I$2,data!G:G,"&lt;"&amp;B320)</f>
        <v>84</v>
      </c>
      <c r="G320">
        <f t="shared" si="34"/>
        <v>0.37845303867403313</v>
      </c>
      <c r="H320">
        <f t="shared" si="35"/>
        <v>0.68421052631578949</v>
      </c>
      <c r="I320">
        <f t="shared" si="36"/>
        <v>1.8900843268391926E-3</v>
      </c>
      <c r="J320">
        <f t="shared" si="37"/>
        <v>0.57053291536050155</v>
      </c>
      <c r="K320">
        <f t="shared" si="38"/>
        <v>0.62222222222222223</v>
      </c>
      <c r="L320">
        <f>A320*COUNTIF(data!E:E,$J$2)/data!$M$2</f>
        <v>135.11783439490446</v>
      </c>
      <c r="M320" s="1">
        <f>A320/data!$M$2</f>
        <v>0.5079617834394905</v>
      </c>
      <c r="N320">
        <f t="shared" si="39"/>
        <v>1.3469724467909585</v>
      </c>
    </row>
    <row r="321" spans="1:14" x14ac:dyDescent="0.2">
      <c r="A321">
        <v>320</v>
      </c>
      <c r="B321">
        <f>LARGE(data!G:G,A321)</f>
        <v>0.40183586770000002</v>
      </c>
      <c r="C321">
        <f>COUNTIFS(data!E:E,data!$I$2,data!G:G,"&gt;="&amp;B321)</f>
        <v>182</v>
      </c>
      <c r="D321">
        <f>COUNTIFS(data!E:E,data!$J$2,data!G:G,"&gt;="&amp;B321)</f>
        <v>138</v>
      </c>
      <c r="E321">
        <f>COUNTIFS(data!E:E,data!$J$2,data!G:G,"&lt;"&amp;B321)</f>
        <v>224</v>
      </c>
      <c r="F321">
        <f>COUNTIFS(data!E:E,data!$I$2,data!G:G,"&lt;"&amp;B321)</f>
        <v>84</v>
      </c>
      <c r="G321">
        <f t="shared" si="34"/>
        <v>0.38121546961325969</v>
      </c>
      <c r="H321">
        <f t="shared" si="35"/>
        <v>0.68421052631578949</v>
      </c>
      <c r="I321">
        <f t="shared" si="36"/>
        <v>1.8900843268392306E-3</v>
      </c>
      <c r="J321">
        <f t="shared" si="37"/>
        <v>0.56874999999999998</v>
      </c>
      <c r="K321">
        <f t="shared" si="38"/>
        <v>0.62116040955631402</v>
      </c>
      <c r="L321">
        <f>A321*COUNTIF(data!E:E,$J$2)/data!$M$2</f>
        <v>135.54140127388536</v>
      </c>
      <c r="M321" s="1">
        <f>A321/data!$M$2</f>
        <v>0.50955414012738853</v>
      </c>
      <c r="N321">
        <f t="shared" si="39"/>
        <v>1.3427631578947368</v>
      </c>
    </row>
    <row r="322" spans="1:14" x14ac:dyDescent="0.2">
      <c r="A322">
        <v>321</v>
      </c>
      <c r="B322">
        <f>LARGE(data!G:G,A322)</f>
        <v>0.39973222159999999</v>
      </c>
      <c r="C322">
        <f>COUNTIFS(data!E:E,data!$I$2,data!G:G,"&gt;="&amp;B322)</f>
        <v>182</v>
      </c>
      <c r="D322">
        <f>COUNTIFS(data!E:E,data!$J$2,data!G:G,"&gt;="&amp;B322)</f>
        <v>139</v>
      </c>
      <c r="E322">
        <f>COUNTIFS(data!E:E,data!$J$2,data!G:G,"&lt;"&amp;B322)</f>
        <v>223</v>
      </c>
      <c r="F322">
        <f>COUNTIFS(data!E:E,data!$I$2,data!G:G,"&lt;"&amp;B322)</f>
        <v>84</v>
      </c>
      <c r="G322">
        <f t="shared" si="34"/>
        <v>0.38397790055248621</v>
      </c>
      <c r="H322">
        <f t="shared" si="35"/>
        <v>0.68421052631578949</v>
      </c>
      <c r="I322">
        <f t="shared" si="36"/>
        <v>1.8900843268391926E-3</v>
      </c>
      <c r="J322">
        <f t="shared" si="37"/>
        <v>0.5669781931464174</v>
      </c>
      <c r="K322">
        <f t="shared" si="38"/>
        <v>0.62010221465076654</v>
      </c>
      <c r="L322">
        <f>A322*COUNTIF(data!E:E,$J$2)/data!$M$2</f>
        <v>135.96496815286625</v>
      </c>
      <c r="M322" s="1">
        <f>A322/data!$M$2</f>
        <v>0.51114649681528668</v>
      </c>
      <c r="N322">
        <f t="shared" si="39"/>
        <v>1.3385800950975568</v>
      </c>
    </row>
    <row r="323" spans="1:14" x14ac:dyDescent="0.2">
      <c r="A323">
        <v>322</v>
      </c>
      <c r="B323">
        <f>LARGE(data!G:G,A323)</f>
        <v>0.39947189929999999</v>
      </c>
      <c r="C323">
        <f>COUNTIFS(data!E:E,data!$I$2,data!G:G,"&gt;="&amp;B323)</f>
        <v>183</v>
      </c>
      <c r="D323">
        <f>COUNTIFS(data!E:E,data!$J$2,data!G:G,"&gt;="&amp;B323)</f>
        <v>139</v>
      </c>
      <c r="E323">
        <f>COUNTIFS(data!E:E,data!$J$2,data!G:G,"&lt;"&amp;B323)</f>
        <v>223</v>
      </c>
      <c r="F323">
        <f>COUNTIFS(data!E:E,data!$I$2,data!G:G,"&lt;"&amp;B323)</f>
        <v>83</v>
      </c>
      <c r="G323">
        <f t="shared" si="34"/>
        <v>0.38397790055248621</v>
      </c>
      <c r="H323">
        <f t="shared" si="35"/>
        <v>0.68796992481203012</v>
      </c>
      <c r="I323">
        <f t="shared" si="36"/>
        <v>0</v>
      </c>
      <c r="J323">
        <f t="shared" si="37"/>
        <v>0.56832298136645965</v>
      </c>
      <c r="K323">
        <f t="shared" si="38"/>
        <v>0.62244897959183676</v>
      </c>
      <c r="L323">
        <f>A323*COUNTIF(data!E:E,$J$2)/data!$M$2</f>
        <v>136.38853503184714</v>
      </c>
      <c r="M323" s="1">
        <f>A323/data!$M$2</f>
        <v>0.51273885350318471</v>
      </c>
      <c r="N323">
        <f t="shared" si="39"/>
        <v>1.3417550086396113</v>
      </c>
    </row>
    <row r="324" spans="1:14" x14ac:dyDescent="0.2">
      <c r="A324">
        <v>323</v>
      </c>
      <c r="B324">
        <f>LARGE(data!G:G,A324)</f>
        <v>0.39934043470000002</v>
      </c>
      <c r="C324">
        <f>COUNTIFS(data!E:E,data!$I$2,data!G:G,"&gt;="&amp;B324)</f>
        <v>183</v>
      </c>
      <c r="D324">
        <f>COUNTIFS(data!E:E,data!$J$2,data!G:G,"&gt;="&amp;B324)</f>
        <v>140</v>
      </c>
      <c r="E324">
        <f>COUNTIFS(data!E:E,data!$J$2,data!G:G,"&lt;"&amp;B324)</f>
        <v>222</v>
      </c>
      <c r="F324">
        <f>COUNTIFS(data!E:E,data!$I$2,data!G:G,"&lt;"&amp;B324)</f>
        <v>83</v>
      </c>
      <c r="G324">
        <f t="shared" si="34"/>
        <v>0.38674033149171272</v>
      </c>
      <c r="H324">
        <f t="shared" si="35"/>
        <v>0.68796992481203012</v>
      </c>
      <c r="I324">
        <f t="shared" si="36"/>
        <v>1.9004694055580894E-3</v>
      </c>
      <c r="J324">
        <f t="shared" si="37"/>
        <v>0.56656346749226005</v>
      </c>
      <c r="K324">
        <f t="shared" si="38"/>
        <v>0.62139219015280134</v>
      </c>
      <c r="L324">
        <f>A324*COUNTIF(data!E:E,$J$2)/data!$M$2</f>
        <v>136.81210191082803</v>
      </c>
      <c r="M324" s="1">
        <f>A324/data!$M$2</f>
        <v>0.51433121019108285</v>
      </c>
      <c r="N324">
        <f t="shared" si="39"/>
        <v>1.3376009683651853</v>
      </c>
    </row>
    <row r="325" spans="1:14" x14ac:dyDescent="0.2">
      <c r="A325">
        <v>324</v>
      </c>
      <c r="B325">
        <f>LARGE(data!G:G,A325)</f>
        <v>0.39906972569999999</v>
      </c>
      <c r="C325">
        <f>COUNTIFS(data!E:E,data!$I$2,data!G:G,"&gt;="&amp;B325)</f>
        <v>183</v>
      </c>
      <c r="D325">
        <f>COUNTIFS(data!E:E,data!$J$2,data!G:G,"&gt;="&amp;B325)</f>
        <v>141</v>
      </c>
      <c r="E325">
        <f>COUNTIFS(data!E:E,data!$J$2,data!G:G,"&lt;"&amp;B325)</f>
        <v>221</v>
      </c>
      <c r="F325">
        <f>COUNTIFS(data!E:E,data!$I$2,data!G:G,"&lt;"&amp;B325)</f>
        <v>83</v>
      </c>
      <c r="G325">
        <f t="shared" si="34"/>
        <v>0.38950276243093923</v>
      </c>
      <c r="H325">
        <f t="shared" si="35"/>
        <v>0.68796992481203012</v>
      </c>
      <c r="I325">
        <f t="shared" si="36"/>
        <v>1.9004694055580894E-3</v>
      </c>
      <c r="J325">
        <f t="shared" si="37"/>
        <v>0.56481481481481477</v>
      </c>
      <c r="K325">
        <f t="shared" si="38"/>
        <v>0.62033898305084756</v>
      </c>
      <c r="L325">
        <f>A325*COUNTIF(data!E:E,$J$2)/data!$M$2</f>
        <v>137.23566878980893</v>
      </c>
      <c r="M325" s="1">
        <f>A325/data!$M$2</f>
        <v>0.51592356687898089</v>
      </c>
      <c r="N325">
        <f t="shared" si="39"/>
        <v>1.3334725703146755</v>
      </c>
    </row>
    <row r="326" spans="1:14" x14ac:dyDescent="0.2">
      <c r="A326">
        <v>325</v>
      </c>
      <c r="B326">
        <f>LARGE(data!G:G,A326)</f>
        <v>0.39792751329999998</v>
      </c>
      <c r="C326">
        <f>COUNTIFS(data!E:E,data!$I$2,data!G:G,"&gt;="&amp;B326)</f>
        <v>183</v>
      </c>
      <c r="D326">
        <f>COUNTIFS(data!E:E,data!$J$2,data!G:G,"&gt;="&amp;B326)</f>
        <v>142</v>
      </c>
      <c r="E326">
        <f>COUNTIFS(data!E:E,data!$J$2,data!G:G,"&lt;"&amp;B326)</f>
        <v>220</v>
      </c>
      <c r="F326">
        <f>COUNTIFS(data!E:E,data!$I$2,data!G:G,"&lt;"&amp;B326)</f>
        <v>83</v>
      </c>
      <c r="G326">
        <f t="shared" si="34"/>
        <v>0.39226519337016574</v>
      </c>
      <c r="H326">
        <f t="shared" si="35"/>
        <v>0.68796992481203012</v>
      </c>
      <c r="I326">
        <f t="shared" si="36"/>
        <v>1.9004694055580894E-3</v>
      </c>
      <c r="J326">
        <f t="shared" si="37"/>
        <v>0.56307692307692303</v>
      </c>
      <c r="K326">
        <f t="shared" si="38"/>
        <v>0.61928934010152281</v>
      </c>
      <c r="L326">
        <f>A326*COUNTIF(data!E:E,$J$2)/data!$M$2</f>
        <v>137.65923566878982</v>
      </c>
      <c r="M326" s="1">
        <f>A326/data!$M$2</f>
        <v>0.51751592356687903</v>
      </c>
      <c r="N326">
        <f t="shared" si="39"/>
        <v>1.3293695777906303</v>
      </c>
    </row>
    <row r="327" spans="1:14" x14ac:dyDescent="0.2">
      <c r="A327">
        <v>326</v>
      </c>
      <c r="B327">
        <f>LARGE(data!G:G,A327)</f>
        <v>0.3979129871</v>
      </c>
      <c r="C327">
        <f>COUNTIFS(data!E:E,data!$I$2,data!G:G,"&gt;="&amp;B327)</f>
        <v>184</v>
      </c>
      <c r="D327">
        <f>COUNTIFS(data!E:E,data!$J$2,data!G:G,"&gt;="&amp;B327)</f>
        <v>142</v>
      </c>
      <c r="E327">
        <f>COUNTIFS(data!E:E,data!$J$2,data!G:G,"&lt;"&amp;B327)</f>
        <v>220</v>
      </c>
      <c r="F327">
        <f>COUNTIFS(data!E:E,data!$I$2,data!G:G,"&lt;"&amp;B327)</f>
        <v>82</v>
      </c>
      <c r="G327">
        <f t="shared" si="34"/>
        <v>0.39226519337016574</v>
      </c>
      <c r="H327">
        <f t="shared" si="35"/>
        <v>0.69172932330827064</v>
      </c>
      <c r="I327">
        <f t="shared" si="36"/>
        <v>0</v>
      </c>
      <c r="J327">
        <f t="shared" si="37"/>
        <v>0.56441717791411039</v>
      </c>
      <c r="K327">
        <f t="shared" si="38"/>
        <v>0.62162162162162149</v>
      </c>
      <c r="L327">
        <f>A327*COUNTIF(data!E:E,$J$2)/data!$M$2</f>
        <v>138.08280254777071</v>
      </c>
      <c r="M327" s="1">
        <f>A327/data!$M$2</f>
        <v>0.51910828025477707</v>
      </c>
      <c r="N327">
        <f t="shared" si="39"/>
        <v>1.332533788458877</v>
      </c>
    </row>
    <row r="328" spans="1:14" x14ac:dyDescent="0.2">
      <c r="A328">
        <v>327</v>
      </c>
      <c r="B328">
        <f>LARGE(data!G:G,A328)</f>
        <v>0.39715664150000002</v>
      </c>
      <c r="C328">
        <f>COUNTIFS(data!E:E,data!$I$2,data!G:G,"&gt;="&amp;B328)</f>
        <v>184</v>
      </c>
      <c r="D328">
        <f>COUNTIFS(data!E:E,data!$J$2,data!G:G,"&gt;="&amp;B328)</f>
        <v>143</v>
      </c>
      <c r="E328">
        <f>COUNTIFS(data!E:E,data!$J$2,data!G:G,"&lt;"&amp;B328)</f>
        <v>219</v>
      </c>
      <c r="F328">
        <f>COUNTIFS(data!E:E,data!$I$2,data!G:G,"&lt;"&amp;B328)</f>
        <v>82</v>
      </c>
      <c r="G328">
        <f t="shared" si="34"/>
        <v>0.39502762430939226</v>
      </c>
      <c r="H328">
        <f t="shared" si="35"/>
        <v>0.69172932330827064</v>
      </c>
      <c r="I328">
        <f t="shared" si="36"/>
        <v>1.9108544842769859E-3</v>
      </c>
      <c r="J328">
        <f t="shared" si="37"/>
        <v>0.56269113149847094</v>
      </c>
      <c r="K328">
        <f t="shared" si="38"/>
        <v>0.62057335581787521</v>
      </c>
      <c r="L328">
        <f>A328*COUNTIF(data!E:E,$J$2)/data!$M$2</f>
        <v>138.5063694267516</v>
      </c>
      <c r="M328" s="1">
        <f>A328/data!$M$2</f>
        <v>0.52070063694267521</v>
      </c>
      <c r="N328">
        <f t="shared" si="39"/>
        <v>1.328458761582856</v>
      </c>
    </row>
    <row r="329" spans="1:14" x14ac:dyDescent="0.2">
      <c r="A329">
        <v>328</v>
      </c>
      <c r="B329">
        <f>LARGE(data!G:G,A329)</f>
        <v>0.39700447010000001</v>
      </c>
      <c r="C329">
        <f>COUNTIFS(data!E:E,data!$I$2,data!G:G,"&gt;="&amp;B329)</f>
        <v>184</v>
      </c>
      <c r="D329">
        <f>COUNTIFS(data!E:E,data!$J$2,data!G:G,"&gt;="&amp;B329)</f>
        <v>144</v>
      </c>
      <c r="E329">
        <f>COUNTIFS(data!E:E,data!$J$2,data!G:G,"&lt;"&amp;B329)</f>
        <v>218</v>
      </c>
      <c r="F329">
        <f>COUNTIFS(data!E:E,data!$I$2,data!G:G,"&lt;"&amp;B329)</f>
        <v>82</v>
      </c>
      <c r="G329">
        <f t="shared" si="34"/>
        <v>0.39779005524861877</v>
      </c>
      <c r="H329">
        <f t="shared" si="35"/>
        <v>0.69172932330827064</v>
      </c>
      <c r="I329">
        <f t="shared" si="36"/>
        <v>1.9108544842769859E-3</v>
      </c>
      <c r="J329">
        <f t="shared" si="37"/>
        <v>0.56097560975609762</v>
      </c>
      <c r="K329">
        <f t="shared" si="38"/>
        <v>0.61952861952861948</v>
      </c>
      <c r="L329">
        <f>A329*COUNTIF(data!E:E,$J$2)/data!$M$2</f>
        <v>138.9299363057325</v>
      </c>
      <c r="M329" s="1">
        <f>A329/data!$M$2</f>
        <v>0.52229299363057324</v>
      </c>
      <c r="N329">
        <f t="shared" si="39"/>
        <v>1.3244085824316889</v>
      </c>
    </row>
    <row r="330" spans="1:14" x14ac:dyDescent="0.2">
      <c r="A330">
        <v>329</v>
      </c>
      <c r="B330">
        <f>LARGE(data!G:G,A330)</f>
        <v>0.39587394850000002</v>
      </c>
      <c r="C330">
        <f>COUNTIFS(data!E:E,data!$I$2,data!G:G,"&gt;="&amp;B330)</f>
        <v>184</v>
      </c>
      <c r="D330">
        <f>COUNTIFS(data!E:E,data!$J$2,data!G:G,"&gt;="&amp;B330)</f>
        <v>145</v>
      </c>
      <c r="E330">
        <f>COUNTIFS(data!E:E,data!$J$2,data!G:G,"&lt;"&amp;B330)</f>
        <v>217</v>
      </c>
      <c r="F330">
        <f>COUNTIFS(data!E:E,data!$I$2,data!G:G,"&lt;"&amp;B330)</f>
        <v>82</v>
      </c>
      <c r="G330">
        <f t="shared" si="34"/>
        <v>0.40055248618784528</v>
      </c>
      <c r="H330">
        <f t="shared" si="35"/>
        <v>0.69172932330827064</v>
      </c>
      <c r="I330">
        <f t="shared" si="36"/>
        <v>1.9108544842769859E-3</v>
      </c>
      <c r="J330">
        <f t="shared" si="37"/>
        <v>0.55927051671732519</v>
      </c>
      <c r="K330">
        <f t="shared" si="38"/>
        <v>0.61848739495798311</v>
      </c>
      <c r="L330">
        <f>A330*COUNTIF(data!E:E,$J$2)/data!$M$2</f>
        <v>139.35350318471339</v>
      </c>
      <c r="M330" s="1">
        <f>A330/data!$M$2</f>
        <v>0.52388535031847139</v>
      </c>
      <c r="N330">
        <f t="shared" si="39"/>
        <v>1.3203830244303767</v>
      </c>
    </row>
    <row r="331" spans="1:14" x14ac:dyDescent="0.2">
      <c r="A331">
        <v>330</v>
      </c>
      <c r="B331">
        <f>LARGE(data!G:G,A331)</f>
        <v>0.39494179800000001</v>
      </c>
      <c r="C331">
        <f>COUNTIFS(data!E:E,data!$I$2,data!G:G,"&gt;="&amp;B331)</f>
        <v>184</v>
      </c>
      <c r="D331">
        <f>COUNTIFS(data!E:E,data!$J$2,data!G:G,"&gt;="&amp;B331)</f>
        <v>146</v>
      </c>
      <c r="E331">
        <f>COUNTIFS(data!E:E,data!$J$2,data!G:G,"&lt;"&amp;B331)</f>
        <v>216</v>
      </c>
      <c r="F331">
        <f>COUNTIFS(data!E:E,data!$I$2,data!G:G,"&lt;"&amp;B331)</f>
        <v>82</v>
      </c>
      <c r="G331">
        <f t="shared" si="34"/>
        <v>0.40331491712707185</v>
      </c>
      <c r="H331">
        <f t="shared" si="35"/>
        <v>0.69172932330827064</v>
      </c>
      <c r="I331">
        <f t="shared" si="36"/>
        <v>1.9108544842770243E-3</v>
      </c>
      <c r="J331">
        <f t="shared" si="37"/>
        <v>0.55757575757575761</v>
      </c>
      <c r="K331">
        <f t="shared" si="38"/>
        <v>0.6174496644295302</v>
      </c>
      <c r="L331">
        <f>A331*COUNTIF(data!E:E,$J$2)/data!$M$2</f>
        <v>139.77707006369425</v>
      </c>
      <c r="M331" s="1">
        <f>A331/data!$M$2</f>
        <v>0.52547770700636942</v>
      </c>
      <c r="N331">
        <f t="shared" si="39"/>
        <v>1.3163818637502849</v>
      </c>
    </row>
    <row r="332" spans="1:14" x14ac:dyDescent="0.2">
      <c r="A332">
        <v>331</v>
      </c>
      <c r="B332">
        <f>LARGE(data!G:G,A332)</f>
        <v>0.39176730300000001</v>
      </c>
      <c r="C332">
        <f>COUNTIFS(data!E:E,data!$I$2,data!G:G,"&gt;="&amp;B332)</f>
        <v>184</v>
      </c>
      <c r="D332">
        <f>COUNTIFS(data!E:E,data!$J$2,data!G:G,"&gt;="&amp;B332)</f>
        <v>147</v>
      </c>
      <c r="E332">
        <f>COUNTIFS(data!E:E,data!$J$2,data!G:G,"&lt;"&amp;B332)</f>
        <v>215</v>
      </c>
      <c r="F332">
        <f>COUNTIFS(data!E:E,data!$I$2,data!G:G,"&lt;"&amp;B332)</f>
        <v>82</v>
      </c>
      <c r="G332">
        <f t="shared" si="34"/>
        <v>0.40607734806629836</v>
      </c>
      <c r="H332">
        <f t="shared" si="35"/>
        <v>0.69172932330827064</v>
      </c>
      <c r="I332">
        <f t="shared" si="36"/>
        <v>1.9108544842769859E-3</v>
      </c>
      <c r="J332">
        <f t="shared" si="37"/>
        <v>0.5558912386706949</v>
      </c>
      <c r="K332">
        <f t="shared" si="38"/>
        <v>0.6164154103852596</v>
      </c>
      <c r="L332">
        <f>A332*COUNTIF(data!E:E,$J$2)/data!$M$2</f>
        <v>140.20063694267515</v>
      </c>
      <c r="M332" s="1">
        <f>A332/data!$M$2</f>
        <v>0.52707006369426757</v>
      </c>
      <c r="N332">
        <f t="shared" si="39"/>
        <v>1.3124048792676557</v>
      </c>
    </row>
    <row r="333" spans="1:14" x14ac:dyDescent="0.2">
      <c r="A333">
        <v>332</v>
      </c>
      <c r="B333">
        <f>LARGE(data!G:G,A333)</f>
        <v>0.39174810119999998</v>
      </c>
      <c r="C333">
        <f>COUNTIFS(data!E:E,data!$I$2,data!G:G,"&gt;="&amp;B333)</f>
        <v>185</v>
      </c>
      <c r="D333">
        <f>COUNTIFS(data!E:E,data!$J$2,data!G:G,"&gt;="&amp;B333)</f>
        <v>147</v>
      </c>
      <c r="E333">
        <f>COUNTIFS(data!E:E,data!$J$2,data!G:G,"&lt;"&amp;B333)</f>
        <v>215</v>
      </c>
      <c r="F333">
        <f>COUNTIFS(data!E:E,data!$I$2,data!G:G,"&lt;"&amp;B333)</f>
        <v>81</v>
      </c>
      <c r="G333">
        <f t="shared" si="34"/>
        <v>0.40607734806629836</v>
      </c>
      <c r="H333">
        <f t="shared" si="35"/>
        <v>0.69548872180451127</v>
      </c>
      <c r="I333">
        <f t="shared" si="36"/>
        <v>0</v>
      </c>
      <c r="J333">
        <f t="shared" si="37"/>
        <v>0.55722891566265065</v>
      </c>
      <c r="K333">
        <f t="shared" si="38"/>
        <v>0.61872909698996659</v>
      </c>
      <c r="L333">
        <f>A333*COUNTIF(data!E:E,$J$2)/data!$M$2</f>
        <v>140.62420382165604</v>
      </c>
      <c r="M333" s="1">
        <f>A333/data!$M$2</f>
        <v>0.5286624203821656</v>
      </c>
      <c r="N333">
        <f t="shared" si="39"/>
        <v>1.3155630038952806</v>
      </c>
    </row>
    <row r="334" spans="1:14" x14ac:dyDescent="0.2">
      <c r="A334">
        <v>333</v>
      </c>
      <c r="B334">
        <f>LARGE(data!G:G,A334)</f>
        <v>0.390997286</v>
      </c>
      <c r="C334">
        <f>COUNTIFS(data!E:E,data!$I$2,data!G:G,"&gt;="&amp;B334)</f>
        <v>186</v>
      </c>
      <c r="D334">
        <f>COUNTIFS(data!E:E,data!$J$2,data!G:G,"&gt;="&amp;B334)</f>
        <v>147</v>
      </c>
      <c r="E334">
        <f>COUNTIFS(data!E:E,data!$J$2,data!G:G,"&lt;"&amp;B334)</f>
        <v>215</v>
      </c>
      <c r="F334">
        <f>COUNTIFS(data!E:E,data!$I$2,data!G:G,"&lt;"&amp;B334)</f>
        <v>80</v>
      </c>
      <c r="G334">
        <f t="shared" si="34"/>
        <v>0.40607734806629836</v>
      </c>
      <c r="H334">
        <f t="shared" si="35"/>
        <v>0.6992481203007519</v>
      </c>
      <c r="I334">
        <f t="shared" si="36"/>
        <v>0</v>
      </c>
      <c r="J334">
        <f t="shared" si="37"/>
        <v>0.55855855855855852</v>
      </c>
      <c r="K334">
        <f t="shared" si="38"/>
        <v>0.62103505843071771</v>
      </c>
      <c r="L334">
        <f>A334*COUNTIF(data!E:E,$J$2)/data!$M$2</f>
        <v>141.04777070063693</v>
      </c>
      <c r="M334" s="1">
        <f>A334/data!$M$2</f>
        <v>0.53025477707006374</v>
      </c>
      <c r="N334">
        <f t="shared" si="39"/>
        <v>1.3187021608074241</v>
      </c>
    </row>
    <row r="335" spans="1:14" x14ac:dyDescent="0.2">
      <c r="A335">
        <v>334</v>
      </c>
      <c r="B335">
        <f>LARGE(data!G:G,A335)</f>
        <v>0.39046637090000003</v>
      </c>
      <c r="C335">
        <f>COUNTIFS(data!E:E,data!$I$2,data!G:G,"&gt;="&amp;B335)</f>
        <v>186</v>
      </c>
      <c r="D335">
        <f>COUNTIFS(data!E:E,data!$J$2,data!G:G,"&gt;="&amp;B335)</f>
        <v>148</v>
      </c>
      <c r="E335">
        <f>COUNTIFS(data!E:E,data!$J$2,data!G:G,"&lt;"&amp;B335)</f>
        <v>214</v>
      </c>
      <c r="F335">
        <f>COUNTIFS(data!E:E,data!$I$2,data!G:G,"&lt;"&amp;B335)</f>
        <v>80</v>
      </c>
      <c r="G335">
        <f t="shared" si="34"/>
        <v>0.40883977900552487</v>
      </c>
      <c r="H335">
        <f t="shared" si="35"/>
        <v>0.6992481203007519</v>
      </c>
      <c r="I335">
        <f t="shared" si="36"/>
        <v>1.9316246417147792E-3</v>
      </c>
      <c r="J335">
        <f t="shared" si="37"/>
        <v>0.55688622754491013</v>
      </c>
      <c r="K335">
        <f t="shared" si="38"/>
        <v>0.62</v>
      </c>
      <c r="L335">
        <f>A335*COUNTIF(data!E:E,$J$2)/data!$M$2</f>
        <v>141.47133757961782</v>
      </c>
      <c r="M335" s="1">
        <f>A335/data!$M$2</f>
        <v>0.53184713375796178</v>
      </c>
      <c r="N335">
        <f t="shared" si="39"/>
        <v>1.3147539507451265</v>
      </c>
    </row>
    <row r="336" spans="1:14" x14ac:dyDescent="0.2">
      <c r="A336">
        <v>335</v>
      </c>
      <c r="B336">
        <f>LARGE(data!G:G,A336)</f>
        <v>0.3891902928</v>
      </c>
      <c r="C336">
        <f>COUNTIFS(data!E:E,data!$I$2,data!G:G,"&gt;="&amp;B336)</f>
        <v>186</v>
      </c>
      <c r="D336">
        <f>COUNTIFS(data!E:E,data!$J$2,data!G:G,"&gt;="&amp;B336)</f>
        <v>149</v>
      </c>
      <c r="E336">
        <f>COUNTIFS(data!E:E,data!$J$2,data!G:G,"&lt;"&amp;B336)</f>
        <v>213</v>
      </c>
      <c r="F336">
        <f>COUNTIFS(data!E:E,data!$I$2,data!G:G,"&lt;"&amp;B336)</f>
        <v>80</v>
      </c>
      <c r="G336">
        <f t="shared" si="34"/>
        <v>0.41160220994475138</v>
      </c>
      <c r="H336">
        <f t="shared" si="35"/>
        <v>0.6992481203007519</v>
      </c>
      <c r="I336">
        <f t="shared" si="36"/>
        <v>1.9316246417147792E-3</v>
      </c>
      <c r="J336">
        <f t="shared" si="37"/>
        <v>0.55522388059701488</v>
      </c>
      <c r="K336">
        <f t="shared" si="38"/>
        <v>0.61896838602329451</v>
      </c>
      <c r="L336">
        <f>A336*COUNTIF(data!E:E,$J$2)/data!$M$2</f>
        <v>141.89490445859872</v>
      </c>
      <c r="M336" s="1">
        <f>A336/data!$M$2</f>
        <v>0.53343949044585992</v>
      </c>
      <c r="N336">
        <f t="shared" si="39"/>
        <v>1.3108293120861858</v>
      </c>
    </row>
    <row r="337" spans="1:14" x14ac:dyDescent="0.2">
      <c r="A337">
        <v>336</v>
      </c>
      <c r="B337">
        <f>LARGE(data!G:G,A337)</f>
        <v>0.38452795639999998</v>
      </c>
      <c r="C337">
        <f>COUNTIFS(data!E:E,data!$I$2,data!G:G,"&gt;="&amp;B337)</f>
        <v>186</v>
      </c>
      <c r="D337">
        <f>COUNTIFS(data!E:E,data!$J$2,data!G:G,"&gt;="&amp;B337)</f>
        <v>150</v>
      </c>
      <c r="E337">
        <f>COUNTIFS(data!E:E,data!$J$2,data!G:G,"&lt;"&amp;B337)</f>
        <v>212</v>
      </c>
      <c r="F337">
        <f>COUNTIFS(data!E:E,data!$I$2,data!G:G,"&lt;"&amp;B337)</f>
        <v>80</v>
      </c>
      <c r="G337">
        <f t="shared" si="34"/>
        <v>0.4143646408839779</v>
      </c>
      <c r="H337">
        <f t="shared" si="35"/>
        <v>0.6992481203007519</v>
      </c>
      <c r="I337">
        <f t="shared" si="36"/>
        <v>1.9316246417147792E-3</v>
      </c>
      <c r="J337">
        <f t="shared" si="37"/>
        <v>0.5535714285714286</v>
      </c>
      <c r="K337">
        <f t="shared" si="38"/>
        <v>0.61794019933554822</v>
      </c>
      <c r="L337">
        <f>A337*COUNTIF(data!E:E,$J$2)/data!$M$2</f>
        <v>142.31847133757961</v>
      </c>
      <c r="M337" s="1">
        <f>A337/data!$M$2</f>
        <v>0.53503184713375795</v>
      </c>
      <c r="N337">
        <f t="shared" si="39"/>
        <v>1.3069280343716434</v>
      </c>
    </row>
    <row r="338" spans="1:14" x14ac:dyDescent="0.2">
      <c r="A338">
        <v>337</v>
      </c>
      <c r="B338">
        <f>LARGE(data!G:G,A338)</f>
        <v>0.38287192790000002</v>
      </c>
      <c r="C338">
        <f>COUNTIFS(data!E:E,data!$I$2,data!G:G,"&gt;="&amp;B338)</f>
        <v>186</v>
      </c>
      <c r="D338">
        <f>COUNTIFS(data!E:E,data!$J$2,data!G:G,"&gt;="&amp;B338)</f>
        <v>151</v>
      </c>
      <c r="E338">
        <f>COUNTIFS(data!E:E,data!$J$2,data!G:G,"&lt;"&amp;B338)</f>
        <v>211</v>
      </c>
      <c r="F338">
        <f>COUNTIFS(data!E:E,data!$I$2,data!G:G,"&lt;"&amp;B338)</f>
        <v>80</v>
      </c>
      <c r="G338">
        <f t="shared" si="34"/>
        <v>0.41712707182320441</v>
      </c>
      <c r="H338">
        <f t="shared" si="35"/>
        <v>0.6992481203007519</v>
      </c>
      <c r="I338">
        <f t="shared" si="36"/>
        <v>1.9316246417147792E-3</v>
      </c>
      <c r="J338">
        <f t="shared" si="37"/>
        <v>0.55192878338278928</v>
      </c>
      <c r="K338">
        <f t="shared" si="38"/>
        <v>0.61691542288557211</v>
      </c>
      <c r="L338">
        <f>A338*COUNTIF(data!E:E,$J$2)/data!$M$2</f>
        <v>142.7420382165605</v>
      </c>
      <c r="M338" s="1">
        <f>A338/data!$M$2</f>
        <v>0.5366242038216561</v>
      </c>
      <c r="N338">
        <f t="shared" si="39"/>
        <v>1.3030499096405703</v>
      </c>
    </row>
    <row r="339" spans="1:14" x14ac:dyDescent="0.2">
      <c r="A339">
        <v>338</v>
      </c>
      <c r="B339">
        <f>LARGE(data!G:G,A339)</f>
        <v>0.3828560426</v>
      </c>
      <c r="C339">
        <f>COUNTIFS(data!E:E,data!$I$2,data!G:G,"&gt;="&amp;B339)</f>
        <v>187</v>
      </c>
      <c r="D339">
        <f>COUNTIFS(data!E:E,data!$J$2,data!G:G,"&gt;="&amp;B339)</f>
        <v>151</v>
      </c>
      <c r="E339">
        <f>COUNTIFS(data!E:E,data!$J$2,data!G:G,"&lt;"&amp;B339)</f>
        <v>211</v>
      </c>
      <c r="F339">
        <f>COUNTIFS(data!E:E,data!$I$2,data!G:G,"&lt;"&amp;B339)</f>
        <v>79</v>
      </c>
      <c r="G339">
        <f t="shared" si="34"/>
        <v>0.41712707182320441</v>
      </c>
      <c r="H339">
        <f t="shared" si="35"/>
        <v>0.70300751879699253</v>
      </c>
      <c r="I339">
        <f t="shared" si="36"/>
        <v>0</v>
      </c>
      <c r="J339">
        <f t="shared" si="37"/>
        <v>0.55325443786982254</v>
      </c>
      <c r="K339">
        <f t="shared" si="38"/>
        <v>0.61920529801324509</v>
      </c>
      <c r="L339">
        <f>A339*COUNTIF(data!E:E,$J$2)/data!$M$2</f>
        <v>143.16560509554139</v>
      </c>
      <c r="M339" s="1">
        <f>A339/data!$M$2</f>
        <v>0.53821656050955413</v>
      </c>
      <c r="N339">
        <f t="shared" si="39"/>
        <v>1.3061796503092051</v>
      </c>
    </row>
    <row r="340" spans="1:14" x14ac:dyDescent="0.2">
      <c r="A340">
        <v>339</v>
      </c>
      <c r="B340">
        <f>LARGE(data!G:G,A340)</f>
        <v>0.38255329850000003</v>
      </c>
      <c r="C340">
        <f>COUNTIFS(data!E:E,data!$I$2,data!G:G,"&gt;="&amp;B340)</f>
        <v>187</v>
      </c>
      <c r="D340">
        <f>COUNTIFS(data!E:E,data!$J$2,data!G:G,"&gt;="&amp;B340)</f>
        <v>152</v>
      </c>
      <c r="E340">
        <f>COUNTIFS(data!E:E,data!$J$2,data!G:G,"&lt;"&amp;B340)</f>
        <v>210</v>
      </c>
      <c r="F340">
        <f>COUNTIFS(data!E:E,data!$I$2,data!G:G,"&lt;"&amp;B340)</f>
        <v>79</v>
      </c>
      <c r="G340">
        <f t="shared" si="34"/>
        <v>0.41988950276243092</v>
      </c>
      <c r="H340">
        <f t="shared" si="35"/>
        <v>0.70300751879699253</v>
      </c>
      <c r="I340">
        <f t="shared" si="36"/>
        <v>1.942009720433676E-3</v>
      </c>
      <c r="J340">
        <f t="shared" si="37"/>
        <v>0.55162241887905605</v>
      </c>
      <c r="K340">
        <f t="shared" si="38"/>
        <v>0.61818181818181817</v>
      </c>
      <c r="L340">
        <f>A340*COUNTIF(data!E:E,$J$2)/data!$M$2</f>
        <v>143.58917197452229</v>
      </c>
      <c r="M340" s="1">
        <f>A340/data!$M$2</f>
        <v>0.53980891719745228</v>
      </c>
      <c r="N340">
        <f t="shared" si="39"/>
        <v>1.3023266129926587</v>
      </c>
    </row>
    <row r="341" spans="1:14" x14ac:dyDescent="0.2">
      <c r="A341">
        <v>340</v>
      </c>
      <c r="B341">
        <f>LARGE(data!G:G,A341)</f>
        <v>0.38221318659999998</v>
      </c>
      <c r="C341">
        <f>COUNTIFS(data!E:E,data!$I$2,data!G:G,"&gt;="&amp;B341)</f>
        <v>188</v>
      </c>
      <c r="D341">
        <f>COUNTIFS(data!E:E,data!$J$2,data!G:G,"&gt;="&amp;B341)</f>
        <v>152</v>
      </c>
      <c r="E341">
        <f>COUNTIFS(data!E:E,data!$J$2,data!G:G,"&lt;"&amp;B341)</f>
        <v>210</v>
      </c>
      <c r="F341">
        <f>COUNTIFS(data!E:E,data!$I$2,data!G:G,"&lt;"&amp;B341)</f>
        <v>78</v>
      </c>
      <c r="G341">
        <f t="shared" si="34"/>
        <v>0.41988950276243092</v>
      </c>
      <c r="H341">
        <f t="shared" si="35"/>
        <v>0.70676691729323304</v>
      </c>
      <c r="I341">
        <f t="shared" si="36"/>
        <v>0</v>
      </c>
      <c r="J341">
        <f t="shared" si="37"/>
        <v>0.55294117647058827</v>
      </c>
      <c r="K341">
        <f t="shared" si="38"/>
        <v>0.62046204620462042</v>
      </c>
      <c r="L341">
        <f>A341*COUNTIF(data!E:E,$J$2)/data!$M$2</f>
        <v>144.01273885350318</v>
      </c>
      <c r="M341" s="1">
        <f>A341/data!$M$2</f>
        <v>0.54140127388535031</v>
      </c>
      <c r="N341">
        <f t="shared" si="39"/>
        <v>1.3054400707651481</v>
      </c>
    </row>
    <row r="342" spans="1:14" x14ac:dyDescent="0.2">
      <c r="A342">
        <v>341</v>
      </c>
      <c r="B342">
        <f>LARGE(data!G:G,A342)</f>
        <v>0.3820377902</v>
      </c>
      <c r="C342">
        <f>COUNTIFS(data!E:E,data!$I$2,data!G:G,"&gt;="&amp;B342)</f>
        <v>188</v>
      </c>
      <c r="D342">
        <f>COUNTIFS(data!E:E,data!$J$2,data!G:G,"&gt;="&amp;B342)</f>
        <v>153</v>
      </c>
      <c r="E342">
        <f>COUNTIFS(data!E:E,data!$J$2,data!G:G,"&lt;"&amp;B342)</f>
        <v>209</v>
      </c>
      <c r="F342">
        <f>COUNTIFS(data!E:E,data!$I$2,data!G:G,"&lt;"&amp;B342)</f>
        <v>78</v>
      </c>
      <c r="G342">
        <f t="shared" si="34"/>
        <v>0.42265193370165743</v>
      </c>
      <c r="H342">
        <f t="shared" si="35"/>
        <v>0.70676691729323304</v>
      </c>
      <c r="I342">
        <f t="shared" si="36"/>
        <v>1.9523947991525726E-3</v>
      </c>
      <c r="J342">
        <f t="shared" si="37"/>
        <v>0.5513196480938416</v>
      </c>
      <c r="K342">
        <f t="shared" si="38"/>
        <v>0.61943986820428332</v>
      </c>
      <c r="L342">
        <f>A342*COUNTIF(data!E:E,$J$2)/data!$M$2</f>
        <v>144.43630573248407</v>
      </c>
      <c r="M342" s="1">
        <f>A342/data!$M$2</f>
        <v>0.54299363057324845</v>
      </c>
      <c r="N342">
        <f t="shared" si="39"/>
        <v>1.3016118007629043</v>
      </c>
    </row>
    <row r="343" spans="1:14" x14ac:dyDescent="0.2">
      <c r="A343">
        <v>342</v>
      </c>
      <c r="B343">
        <f>LARGE(data!G:G,A343)</f>
        <v>0.38188259429999999</v>
      </c>
      <c r="C343">
        <f>COUNTIFS(data!E:E,data!$I$2,data!G:G,"&gt;="&amp;B343)</f>
        <v>189</v>
      </c>
      <c r="D343">
        <f>COUNTIFS(data!E:E,data!$J$2,data!G:G,"&gt;="&amp;B343)</f>
        <v>153</v>
      </c>
      <c r="E343">
        <f>COUNTIFS(data!E:E,data!$J$2,data!G:G,"&lt;"&amp;B343)</f>
        <v>209</v>
      </c>
      <c r="F343">
        <f>COUNTIFS(data!E:E,data!$I$2,data!G:G,"&lt;"&amp;B343)</f>
        <v>77</v>
      </c>
      <c r="G343">
        <f t="shared" si="34"/>
        <v>0.42265193370165743</v>
      </c>
      <c r="H343">
        <f t="shared" si="35"/>
        <v>0.71052631578947367</v>
      </c>
      <c r="I343">
        <f t="shared" si="36"/>
        <v>0</v>
      </c>
      <c r="J343">
        <f t="shared" si="37"/>
        <v>0.55263157894736847</v>
      </c>
      <c r="K343">
        <f t="shared" si="38"/>
        <v>0.6217105263157896</v>
      </c>
      <c r="L343">
        <f>A343*COUNTIF(data!E:E,$J$2)/data!$M$2</f>
        <v>144.85987261146497</v>
      </c>
      <c r="M343" s="1">
        <f>A343/data!$M$2</f>
        <v>0.54458598726114649</v>
      </c>
      <c r="N343">
        <f t="shared" si="39"/>
        <v>1.3047091412742382</v>
      </c>
    </row>
    <row r="344" spans="1:14" x14ac:dyDescent="0.2">
      <c r="A344">
        <v>343</v>
      </c>
      <c r="B344">
        <f>LARGE(data!G:G,A344)</f>
        <v>0.38158511249999999</v>
      </c>
      <c r="C344">
        <f>COUNTIFS(data!E:E,data!$I$2,data!G:G,"&gt;="&amp;B344)</f>
        <v>190</v>
      </c>
      <c r="D344">
        <f>COUNTIFS(data!E:E,data!$J$2,data!G:G,"&gt;="&amp;B344)</f>
        <v>153</v>
      </c>
      <c r="E344">
        <f>COUNTIFS(data!E:E,data!$J$2,data!G:G,"&lt;"&amp;B344)</f>
        <v>209</v>
      </c>
      <c r="F344">
        <f>COUNTIFS(data!E:E,data!$I$2,data!G:G,"&lt;"&amp;B344)</f>
        <v>76</v>
      </c>
      <c r="G344">
        <f t="shared" si="34"/>
        <v>0.42265193370165743</v>
      </c>
      <c r="H344">
        <f t="shared" si="35"/>
        <v>0.7142857142857143</v>
      </c>
      <c r="I344">
        <f t="shared" si="36"/>
        <v>0</v>
      </c>
      <c r="J344">
        <f t="shared" si="37"/>
        <v>0.55393586005830908</v>
      </c>
      <c r="K344">
        <f t="shared" si="38"/>
        <v>0.6239737274220033</v>
      </c>
      <c r="L344">
        <f>A344*COUNTIF(data!E:E,$J$2)/data!$M$2</f>
        <v>145.28343949044586</v>
      </c>
      <c r="M344" s="1">
        <f>A344/data!$M$2</f>
        <v>0.54617834394904463</v>
      </c>
      <c r="N344">
        <f t="shared" si="39"/>
        <v>1.3077884214910453</v>
      </c>
    </row>
    <row r="345" spans="1:14" x14ac:dyDescent="0.2">
      <c r="A345">
        <v>344</v>
      </c>
      <c r="B345">
        <f>LARGE(data!G:G,A345)</f>
        <v>0.37907011779999999</v>
      </c>
      <c r="C345">
        <f>COUNTIFS(data!E:E,data!$I$2,data!G:G,"&gt;="&amp;B345)</f>
        <v>190</v>
      </c>
      <c r="D345">
        <f>COUNTIFS(data!E:E,data!$J$2,data!G:G,"&gt;="&amp;B345)</f>
        <v>154</v>
      </c>
      <c r="E345">
        <f>COUNTIFS(data!E:E,data!$J$2,data!G:G,"&lt;"&amp;B345)</f>
        <v>208</v>
      </c>
      <c r="F345">
        <f>COUNTIFS(data!E:E,data!$I$2,data!G:G,"&lt;"&amp;B345)</f>
        <v>76</v>
      </c>
      <c r="G345">
        <f t="shared" si="34"/>
        <v>0.425414364640884</v>
      </c>
      <c r="H345">
        <f t="shared" si="35"/>
        <v>0.7142857142857143</v>
      </c>
      <c r="I345">
        <f t="shared" si="36"/>
        <v>1.9731649565904058E-3</v>
      </c>
      <c r="J345">
        <f t="shared" si="37"/>
        <v>0.55232558139534882</v>
      </c>
      <c r="K345">
        <f t="shared" si="38"/>
        <v>0.62295081967213117</v>
      </c>
      <c r="L345">
        <f>A345*COUNTIF(data!E:E,$J$2)/data!$M$2</f>
        <v>145.70700636942675</v>
      </c>
      <c r="M345" s="1">
        <f>A345/data!$M$2</f>
        <v>0.54777070063694266</v>
      </c>
      <c r="N345">
        <f t="shared" si="39"/>
        <v>1.3039867109634551</v>
      </c>
    </row>
    <row r="346" spans="1:14" x14ac:dyDescent="0.2">
      <c r="A346">
        <v>345</v>
      </c>
      <c r="B346">
        <f>LARGE(data!G:G,A346)</f>
        <v>0.3787487491</v>
      </c>
      <c r="C346">
        <f>COUNTIFS(data!E:E,data!$I$2,data!G:G,"&gt;="&amp;B346)</f>
        <v>191</v>
      </c>
      <c r="D346">
        <f>COUNTIFS(data!E:E,data!$J$2,data!G:G,"&gt;="&amp;B346)</f>
        <v>154</v>
      </c>
      <c r="E346">
        <f>COUNTIFS(data!E:E,data!$J$2,data!G:G,"&lt;"&amp;B346)</f>
        <v>208</v>
      </c>
      <c r="F346">
        <f>COUNTIFS(data!E:E,data!$I$2,data!G:G,"&lt;"&amp;B346)</f>
        <v>75</v>
      </c>
      <c r="G346">
        <f t="shared" si="34"/>
        <v>0.425414364640884</v>
      </c>
      <c r="H346">
        <f t="shared" si="35"/>
        <v>0.71804511278195493</v>
      </c>
      <c r="I346">
        <f t="shared" si="36"/>
        <v>0</v>
      </c>
      <c r="J346">
        <f t="shared" si="37"/>
        <v>0.55362318840579705</v>
      </c>
      <c r="K346">
        <f t="shared" si="38"/>
        <v>0.62520458265139112</v>
      </c>
      <c r="L346">
        <f>A346*COUNTIF(data!E:E,$J$2)/data!$M$2</f>
        <v>146.13057324840764</v>
      </c>
      <c r="M346" s="1">
        <f>A346/data!$M$2</f>
        <v>0.54936305732484081</v>
      </c>
      <c r="N346">
        <f t="shared" si="39"/>
        <v>1.3070502342813555</v>
      </c>
    </row>
    <row r="347" spans="1:14" x14ac:dyDescent="0.2">
      <c r="A347">
        <v>346</v>
      </c>
      <c r="B347">
        <f>LARGE(data!G:G,A347)</f>
        <v>0.37857777819999999</v>
      </c>
      <c r="C347">
        <f>COUNTIFS(data!E:E,data!$I$2,data!G:G,"&gt;="&amp;B347)</f>
        <v>191</v>
      </c>
      <c r="D347">
        <f>COUNTIFS(data!E:E,data!$J$2,data!G:G,"&gt;="&amp;B347)</f>
        <v>155</v>
      </c>
      <c r="E347">
        <f>COUNTIFS(data!E:E,data!$J$2,data!G:G,"&lt;"&amp;B347)</f>
        <v>207</v>
      </c>
      <c r="F347">
        <f>COUNTIFS(data!E:E,data!$I$2,data!G:G,"&lt;"&amp;B347)</f>
        <v>75</v>
      </c>
      <c r="G347">
        <f t="shared" si="34"/>
        <v>0.42817679558011051</v>
      </c>
      <c r="H347">
        <f t="shared" si="35"/>
        <v>0.71804511278195493</v>
      </c>
      <c r="I347">
        <f t="shared" si="36"/>
        <v>1.9835500353092626E-3</v>
      </c>
      <c r="J347">
        <f t="shared" si="37"/>
        <v>0.55202312138728327</v>
      </c>
      <c r="K347">
        <f t="shared" si="38"/>
        <v>0.62418300653594772</v>
      </c>
      <c r="L347">
        <f>A347*COUNTIF(data!E:E,$J$2)/data!$M$2</f>
        <v>146.55414012738854</v>
      </c>
      <c r="M347" s="1">
        <f>A347/data!$M$2</f>
        <v>0.55095541401273884</v>
      </c>
      <c r="N347">
        <f t="shared" si="39"/>
        <v>1.3032726324481725</v>
      </c>
    </row>
    <row r="348" spans="1:14" x14ac:dyDescent="0.2">
      <c r="A348">
        <v>347</v>
      </c>
      <c r="B348">
        <f>LARGE(data!G:G,A348)</f>
        <v>0.37779663749999998</v>
      </c>
      <c r="C348">
        <f>COUNTIFS(data!E:E,data!$I$2,data!G:G,"&gt;="&amp;B348)</f>
        <v>191</v>
      </c>
      <c r="D348">
        <f>COUNTIFS(data!E:E,data!$J$2,data!G:G,"&gt;="&amp;B348)</f>
        <v>156</v>
      </c>
      <c r="E348">
        <f>COUNTIFS(data!E:E,data!$J$2,data!G:G,"&lt;"&amp;B348)</f>
        <v>206</v>
      </c>
      <c r="F348">
        <f>COUNTIFS(data!E:E,data!$I$2,data!G:G,"&lt;"&amp;B348)</f>
        <v>75</v>
      </c>
      <c r="G348">
        <f t="shared" si="34"/>
        <v>0.43093922651933703</v>
      </c>
      <c r="H348">
        <f t="shared" si="35"/>
        <v>0.71804511278195493</v>
      </c>
      <c r="I348">
        <f t="shared" si="36"/>
        <v>1.9835500353092626E-3</v>
      </c>
      <c r="J348">
        <f t="shared" si="37"/>
        <v>0.55043227665706052</v>
      </c>
      <c r="K348">
        <f t="shared" si="38"/>
        <v>0.62316476345840122</v>
      </c>
      <c r="L348">
        <f>A348*COUNTIF(data!E:E,$J$2)/data!$M$2</f>
        <v>146.97770700636943</v>
      </c>
      <c r="M348" s="1">
        <f>A348/data!$M$2</f>
        <v>0.55254777070063699</v>
      </c>
      <c r="N348">
        <f t="shared" si="39"/>
        <v>1.2995168035362181</v>
      </c>
    </row>
    <row r="349" spans="1:14" x14ac:dyDescent="0.2">
      <c r="A349">
        <v>348</v>
      </c>
      <c r="B349">
        <f>LARGE(data!G:G,A349)</f>
        <v>0.3756955797</v>
      </c>
      <c r="C349">
        <f>COUNTIFS(data!E:E,data!$I$2,data!G:G,"&gt;="&amp;B349)</f>
        <v>193</v>
      </c>
      <c r="D349">
        <f>COUNTIFS(data!E:E,data!$J$2,data!G:G,"&gt;="&amp;B349)</f>
        <v>157</v>
      </c>
      <c r="E349">
        <f>COUNTIFS(data!E:E,data!$J$2,data!G:G,"&lt;"&amp;B349)</f>
        <v>205</v>
      </c>
      <c r="F349">
        <f>COUNTIFS(data!E:E,data!$I$2,data!G:G,"&lt;"&amp;B349)</f>
        <v>73</v>
      </c>
      <c r="G349">
        <f t="shared" si="34"/>
        <v>0.43370165745856354</v>
      </c>
      <c r="H349">
        <f t="shared" si="35"/>
        <v>0.72556390977443608</v>
      </c>
      <c r="I349">
        <f t="shared" si="36"/>
        <v>1.9939351140281589E-3</v>
      </c>
      <c r="J349">
        <f t="shared" si="37"/>
        <v>0.55142857142857138</v>
      </c>
      <c r="K349">
        <f t="shared" si="38"/>
        <v>0.62662337662337653</v>
      </c>
      <c r="L349">
        <f>A349*COUNTIF(data!E:E,$J$2)/data!$M$2</f>
        <v>147.40127388535032</v>
      </c>
      <c r="M349" s="1">
        <f>A349/data!$M$2</f>
        <v>0.55414012738853502</v>
      </c>
      <c r="N349">
        <f t="shared" si="39"/>
        <v>1.3093509636159364</v>
      </c>
    </row>
    <row r="350" spans="1:14" x14ac:dyDescent="0.2">
      <c r="A350">
        <v>349</v>
      </c>
      <c r="B350">
        <f>LARGE(data!G:G,A350)</f>
        <v>0.3756955797</v>
      </c>
      <c r="C350">
        <f>COUNTIFS(data!E:E,data!$I$2,data!G:G,"&gt;="&amp;B350)</f>
        <v>193</v>
      </c>
      <c r="D350">
        <f>COUNTIFS(data!E:E,data!$J$2,data!G:G,"&gt;="&amp;B350)</f>
        <v>157</v>
      </c>
      <c r="E350">
        <f>COUNTIFS(data!E:E,data!$J$2,data!G:G,"&lt;"&amp;B350)</f>
        <v>205</v>
      </c>
      <c r="F350">
        <f>COUNTIFS(data!E:E,data!$I$2,data!G:G,"&lt;"&amp;B350)</f>
        <v>73</v>
      </c>
      <c r="G350">
        <f t="shared" si="34"/>
        <v>0.43370165745856354</v>
      </c>
      <c r="H350">
        <f t="shared" si="35"/>
        <v>0.72556390977443608</v>
      </c>
      <c r="I350">
        <f t="shared" si="36"/>
        <v>0</v>
      </c>
      <c r="J350">
        <f t="shared" si="37"/>
        <v>0.55142857142857138</v>
      </c>
      <c r="K350">
        <f t="shared" si="38"/>
        <v>0.62662337662337653</v>
      </c>
      <c r="L350">
        <f>A350*COUNTIF(data!E:E,$J$2)/data!$M$2</f>
        <v>147.82484076433121</v>
      </c>
      <c r="M350" s="1">
        <f>A350/data!$M$2</f>
        <v>0.55573248407643316</v>
      </c>
      <c r="N350">
        <f t="shared" si="39"/>
        <v>1.3055992416571514</v>
      </c>
    </row>
    <row r="351" spans="1:14" x14ac:dyDescent="0.2">
      <c r="A351">
        <v>350</v>
      </c>
      <c r="B351">
        <f>LARGE(data!G:G,A351)</f>
        <v>0.3756955797</v>
      </c>
      <c r="C351">
        <f>COUNTIFS(data!E:E,data!$I$2,data!G:G,"&gt;="&amp;B351)</f>
        <v>193</v>
      </c>
      <c r="D351">
        <f>COUNTIFS(data!E:E,data!$J$2,data!G:G,"&gt;="&amp;B351)</f>
        <v>157</v>
      </c>
      <c r="E351">
        <f>COUNTIFS(data!E:E,data!$J$2,data!G:G,"&lt;"&amp;B351)</f>
        <v>205</v>
      </c>
      <c r="F351">
        <f>COUNTIFS(data!E:E,data!$I$2,data!G:G,"&lt;"&amp;B351)</f>
        <v>73</v>
      </c>
      <c r="G351">
        <f t="shared" si="34"/>
        <v>0.43370165745856354</v>
      </c>
      <c r="H351">
        <f t="shared" si="35"/>
        <v>0.72556390977443608</v>
      </c>
      <c r="I351">
        <f t="shared" si="36"/>
        <v>0</v>
      </c>
      <c r="J351">
        <f t="shared" si="37"/>
        <v>0.55142857142857138</v>
      </c>
      <c r="K351">
        <f t="shared" si="38"/>
        <v>0.62662337662337653</v>
      </c>
      <c r="L351">
        <f>A351*COUNTIF(data!E:E,$J$2)/data!$M$2</f>
        <v>148.24840764331211</v>
      </c>
      <c r="M351" s="1">
        <f>A351/data!$M$2</f>
        <v>0.5573248407643312</v>
      </c>
      <c r="N351">
        <f t="shared" si="39"/>
        <v>1.3018689581095595</v>
      </c>
    </row>
    <row r="352" spans="1:14" x14ac:dyDescent="0.2">
      <c r="A352">
        <v>351</v>
      </c>
      <c r="B352">
        <f>LARGE(data!G:G,A352)</f>
        <v>0.37316463170000003</v>
      </c>
      <c r="C352">
        <f>COUNTIFS(data!E:E,data!$I$2,data!G:G,"&gt;="&amp;B352)</f>
        <v>194</v>
      </c>
      <c r="D352">
        <f>COUNTIFS(data!E:E,data!$J$2,data!G:G,"&gt;="&amp;B352)</f>
        <v>157</v>
      </c>
      <c r="E352">
        <f>COUNTIFS(data!E:E,data!$J$2,data!G:G,"&lt;"&amp;B352)</f>
        <v>205</v>
      </c>
      <c r="F352">
        <f>COUNTIFS(data!E:E,data!$I$2,data!G:G,"&lt;"&amp;B352)</f>
        <v>72</v>
      </c>
      <c r="G352">
        <f t="shared" si="34"/>
        <v>0.43370165745856354</v>
      </c>
      <c r="H352">
        <f t="shared" si="35"/>
        <v>0.72932330827067671</v>
      </c>
      <c r="I352">
        <f t="shared" si="36"/>
        <v>0</v>
      </c>
      <c r="J352">
        <f t="shared" si="37"/>
        <v>0.55270655270655267</v>
      </c>
      <c r="K352">
        <f t="shared" si="38"/>
        <v>0.62884927066450558</v>
      </c>
      <c r="L352">
        <f>A352*COUNTIF(data!E:E,$J$2)/data!$M$2</f>
        <v>148.671974522293</v>
      </c>
      <c r="M352" s="1">
        <f>A352/data!$M$2</f>
        <v>0.55891719745222934</v>
      </c>
      <c r="N352">
        <f t="shared" si="39"/>
        <v>1.3048861469914101</v>
      </c>
    </row>
    <row r="353" spans="1:14" x14ac:dyDescent="0.2">
      <c r="A353">
        <v>352</v>
      </c>
      <c r="B353">
        <f>LARGE(data!G:G,A353)</f>
        <v>0.37266182370000001</v>
      </c>
      <c r="C353">
        <f>COUNTIFS(data!E:E,data!$I$2,data!G:G,"&gt;="&amp;B353)</f>
        <v>194</v>
      </c>
      <c r="D353">
        <f>COUNTIFS(data!E:E,data!$J$2,data!G:G,"&gt;="&amp;B353)</f>
        <v>158</v>
      </c>
      <c r="E353">
        <f>COUNTIFS(data!E:E,data!$J$2,data!G:G,"&lt;"&amp;B353)</f>
        <v>204</v>
      </c>
      <c r="F353">
        <f>COUNTIFS(data!E:E,data!$I$2,data!G:G,"&lt;"&amp;B353)</f>
        <v>72</v>
      </c>
      <c r="G353">
        <f t="shared" si="34"/>
        <v>0.43646408839779005</v>
      </c>
      <c r="H353">
        <f t="shared" si="35"/>
        <v>0.72932330827067671</v>
      </c>
      <c r="I353">
        <f t="shared" si="36"/>
        <v>2.0147052714659525E-3</v>
      </c>
      <c r="J353">
        <f t="shared" si="37"/>
        <v>0.55113636363636365</v>
      </c>
      <c r="K353">
        <f t="shared" si="38"/>
        <v>0.62783171521035608</v>
      </c>
      <c r="L353">
        <f>A353*COUNTIF(data!E:E,$J$2)/data!$M$2</f>
        <v>149.09554140127389</v>
      </c>
      <c r="M353" s="1">
        <f>A353/data!$M$2</f>
        <v>0.56050955414012738</v>
      </c>
      <c r="N353">
        <f t="shared" si="39"/>
        <v>1.3011790840738209</v>
      </c>
    </row>
    <row r="354" spans="1:14" x14ac:dyDescent="0.2">
      <c r="A354">
        <v>353</v>
      </c>
      <c r="B354">
        <f>LARGE(data!G:G,A354)</f>
        <v>0.37219148629999999</v>
      </c>
      <c r="C354">
        <f>COUNTIFS(data!E:E,data!$I$2,data!G:G,"&gt;="&amp;B354)</f>
        <v>195</v>
      </c>
      <c r="D354">
        <f>COUNTIFS(data!E:E,data!$J$2,data!G:G,"&gt;="&amp;B354)</f>
        <v>158</v>
      </c>
      <c r="E354">
        <f>COUNTIFS(data!E:E,data!$J$2,data!G:G,"&lt;"&amp;B354)</f>
        <v>204</v>
      </c>
      <c r="F354">
        <f>COUNTIFS(data!E:E,data!$I$2,data!G:G,"&lt;"&amp;B354)</f>
        <v>71</v>
      </c>
      <c r="G354">
        <f t="shared" si="34"/>
        <v>0.43646408839779005</v>
      </c>
      <c r="H354">
        <f t="shared" si="35"/>
        <v>0.73308270676691734</v>
      </c>
      <c r="I354">
        <f t="shared" si="36"/>
        <v>0</v>
      </c>
      <c r="J354">
        <f t="shared" si="37"/>
        <v>0.55240793201133143</v>
      </c>
      <c r="K354">
        <f t="shared" si="38"/>
        <v>0.630048465266559</v>
      </c>
      <c r="L354">
        <f>A354*COUNTIF(data!E:E,$J$2)/data!$M$2</f>
        <v>149.51910828025478</v>
      </c>
      <c r="M354" s="1">
        <f>A354/data!$M$2</f>
        <v>0.56210191082802552</v>
      </c>
      <c r="N354">
        <f t="shared" si="39"/>
        <v>1.3041811327184818</v>
      </c>
    </row>
    <row r="355" spans="1:14" x14ac:dyDescent="0.2">
      <c r="A355">
        <v>354</v>
      </c>
      <c r="B355">
        <f>LARGE(data!G:G,A355)</f>
        <v>0.37167860539999997</v>
      </c>
      <c r="C355">
        <f>COUNTIFS(data!E:E,data!$I$2,data!G:G,"&gt;="&amp;B355)</f>
        <v>195</v>
      </c>
      <c r="D355">
        <f>COUNTIFS(data!E:E,data!$J$2,data!G:G,"&gt;="&amp;B355)</f>
        <v>159</v>
      </c>
      <c r="E355">
        <f>COUNTIFS(data!E:E,data!$J$2,data!G:G,"&lt;"&amp;B355)</f>
        <v>203</v>
      </c>
      <c r="F355">
        <f>COUNTIFS(data!E:E,data!$I$2,data!G:G,"&lt;"&amp;B355)</f>
        <v>71</v>
      </c>
      <c r="G355">
        <f t="shared" si="34"/>
        <v>0.43922651933701656</v>
      </c>
      <c r="H355">
        <f t="shared" si="35"/>
        <v>0.73308270676691734</v>
      </c>
      <c r="I355">
        <f t="shared" si="36"/>
        <v>2.0250903501848492E-3</v>
      </c>
      <c r="J355">
        <f t="shared" si="37"/>
        <v>0.55084745762711862</v>
      </c>
      <c r="K355">
        <f t="shared" si="38"/>
        <v>0.62903225806451613</v>
      </c>
      <c r="L355">
        <f>A355*COUNTIF(data!E:E,$J$2)/data!$M$2</f>
        <v>149.94267515923568</v>
      </c>
      <c r="M355" s="1">
        <f>A355/data!$M$2</f>
        <v>0.56369426751592355</v>
      </c>
      <c r="N355">
        <f t="shared" si="39"/>
        <v>1.3004970052249267</v>
      </c>
    </row>
    <row r="356" spans="1:14" x14ac:dyDescent="0.2">
      <c r="A356">
        <v>355</v>
      </c>
      <c r="B356">
        <f>LARGE(data!G:G,A356)</f>
        <v>0.37048129590000001</v>
      </c>
      <c r="C356">
        <f>COUNTIFS(data!E:E,data!$I$2,data!G:G,"&gt;="&amp;B356)</f>
        <v>195</v>
      </c>
      <c r="D356">
        <f>COUNTIFS(data!E:E,data!$J$2,data!G:G,"&gt;="&amp;B356)</f>
        <v>160</v>
      </c>
      <c r="E356">
        <f>COUNTIFS(data!E:E,data!$J$2,data!G:G,"&lt;"&amp;B356)</f>
        <v>202</v>
      </c>
      <c r="F356">
        <f>COUNTIFS(data!E:E,data!$I$2,data!G:G,"&lt;"&amp;B356)</f>
        <v>71</v>
      </c>
      <c r="G356">
        <f t="shared" si="34"/>
        <v>0.44198895027624308</v>
      </c>
      <c r="H356">
        <f t="shared" si="35"/>
        <v>0.73308270676691734</v>
      </c>
      <c r="I356">
        <f t="shared" si="36"/>
        <v>2.0250903501848492E-3</v>
      </c>
      <c r="J356">
        <f t="shared" si="37"/>
        <v>0.54929577464788737</v>
      </c>
      <c r="K356">
        <f t="shared" si="38"/>
        <v>0.62801932367149771</v>
      </c>
      <c r="L356">
        <f>A356*COUNTIF(data!E:E,$J$2)/data!$M$2</f>
        <v>150.36624203821657</v>
      </c>
      <c r="M356" s="1">
        <f>A356/data!$M$2</f>
        <v>0.5652866242038217</v>
      </c>
      <c r="N356">
        <f t="shared" si="39"/>
        <v>1.2968336333792225</v>
      </c>
    </row>
    <row r="357" spans="1:14" x14ac:dyDescent="0.2">
      <c r="A357">
        <v>356</v>
      </c>
      <c r="B357">
        <f>LARGE(data!G:G,A357)</f>
        <v>0.36686106499999999</v>
      </c>
      <c r="C357">
        <f>COUNTIFS(data!E:E,data!$I$2,data!G:G,"&gt;="&amp;B357)</f>
        <v>196</v>
      </c>
      <c r="D357">
        <f>COUNTIFS(data!E:E,data!$J$2,data!G:G,"&gt;="&amp;B357)</f>
        <v>160</v>
      </c>
      <c r="E357">
        <f>COUNTIFS(data!E:E,data!$J$2,data!G:G,"&lt;"&amp;B357)</f>
        <v>202</v>
      </c>
      <c r="F357">
        <f>COUNTIFS(data!E:E,data!$I$2,data!G:G,"&lt;"&amp;B357)</f>
        <v>70</v>
      </c>
      <c r="G357">
        <f t="shared" si="34"/>
        <v>0.44198895027624308</v>
      </c>
      <c r="H357">
        <f t="shared" si="35"/>
        <v>0.73684210526315785</v>
      </c>
      <c r="I357">
        <f t="shared" si="36"/>
        <v>0</v>
      </c>
      <c r="J357">
        <f t="shared" si="37"/>
        <v>0.550561797752809</v>
      </c>
      <c r="K357">
        <f t="shared" si="38"/>
        <v>0.63022508038585212</v>
      </c>
      <c r="L357">
        <f>A357*COUNTIF(data!E:E,$J$2)/data!$M$2</f>
        <v>150.78980891719746</v>
      </c>
      <c r="M357" s="1">
        <f>A357/data!$M$2</f>
        <v>0.56687898089171973</v>
      </c>
      <c r="N357">
        <f t="shared" si="39"/>
        <v>1.2998225901833234</v>
      </c>
    </row>
    <row r="358" spans="1:14" x14ac:dyDescent="0.2">
      <c r="A358">
        <v>357</v>
      </c>
      <c r="B358">
        <f>LARGE(data!G:G,A358)</f>
        <v>0.36649796140000002</v>
      </c>
      <c r="C358">
        <f>COUNTIFS(data!E:E,data!$I$2,data!G:G,"&gt;="&amp;B358)</f>
        <v>196</v>
      </c>
      <c r="D358">
        <f>COUNTIFS(data!E:E,data!$J$2,data!G:G,"&gt;="&amp;B358)</f>
        <v>161</v>
      </c>
      <c r="E358">
        <f>COUNTIFS(data!E:E,data!$J$2,data!G:G,"&lt;"&amp;B358)</f>
        <v>201</v>
      </c>
      <c r="F358">
        <f>COUNTIFS(data!E:E,data!$I$2,data!G:G,"&lt;"&amp;B358)</f>
        <v>70</v>
      </c>
      <c r="G358">
        <f t="shared" si="34"/>
        <v>0.44475138121546959</v>
      </c>
      <c r="H358">
        <f t="shared" si="35"/>
        <v>0.73684210526315785</v>
      </c>
      <c r="I358">
        <f t="shared" si="36"/>
        <v>2.035475428903746E-3</v>
      </c>
      <c r="J358">
        <f t="shared" si="37"/>
        <v>0.5490196078431373</v>
      </c>
      <c r="K358">
        <f t="shared" si="38"/>
        <v>0.62921348314606751</v>
      </c>
      <c r="L358">
        <f>A358*COUNTIF(data!E:E,$J$2)/data!$M$2</f>
        <v>151.21337579617835</v>
      </c>
      <c r="M358" s="1">
        <f>A358/data!$M$2</f>
        <v>0.56847133757961787</v>
      </c>
      <c r="N358">
        <f t="shared" si="39"/>
        <v>1.2961816305469556</v>
      </c>
    </row>
    <row r="359" spans="1:14" x14ac:dyDescent="0.2">
      <c r="A359">
        <v>358</v>
      </c>
      <c r="B359">
        <f>LARGE(data!G:G,A359)</f>
        <v>0.36646841769999999</v>
      </c>
      <c r="C359">
        <f>COUNTIFS(data!E:E,data!$I$2,data!G:G,"&gt;="&amp;B359)</f>
        <v>196</v>
      </c>
      <c r="D359">
        <f>COUNTIFS(data!E:E,data!$J$2,data!G:G,"&gt;="&amp;B359)</f>
        <v>162</v>
      </c>
      <c r="E359">
        <f>COUNTIFS(data!E:E,data!$J$2,data!G:G,"&lt;"&amp;B359)</f>
        <v>200</v>
      </c>
      <c r="F359">
        <f>COUNTIFS(data!E:E,data!$I$2,data!G:G,"&lt;"&amp;B359)</f>
        <v>70</v>
      </c>
      <c r="G359">
        <f t="shared" si="34"/>
        <v>0.44751381215469616</v>
      </c>
      <c r="H359">
        <f t="shared" si="35"/>
        <v>0.73684210526315785</v>
      </c>
      <c r="I359">
        <f t="shared" si="36"/>
        <v>2.0354754289037868E-3</v>
      </c>
      <c r="J359">
        <f t="shared" si="37"/>
        <v>0.54748603351955305</v>
      </c>
      <c r="K359">
        <f t="shared" si="38"/>
        <v>0.62820512820512808</v>
      </c>
      <c r="L359">
        <f>A359*COUNTIF(data!E:E,$J$2)/data!$M$2</f>
        <v>151.63694267515925</v>
      </c>
      <c r="M359" s="1">
        <f>A359/data!$M$2</f>
        <v>0.57006369426751591</v>
      </c>
      <c r="N359">
        <f t="shared" si="39"/>
        <v>1.2925610114672155</v>
      </c>
    </row>
    <row r="360" spans="1:14" x14ac:dyDescent="0.2">
      <c r="A360">
        <v>359</v>
      </c>
      <c r="B360">
        <f>LARGE(data!G:G,A360)</f>
        <v>0.36564640510000002</v>
      </c>
      <c r="C360">
        <f>COUNTIFS(data!E:E,data!$I$2,data!G:G,"&gt;="&amp;B360)</f>
        <v>197</v>
      </c>
      <c r="D360">
        <f>COUNTIFS(data!E:E,data!$J$2,data!G:G,"&gt;="&amp;B360)</f>
        <v>162</v>
      </c>
      <c r="E360">
        <f>COUNTIFS(data!E:E,data!$J$2,data!G:G,"&lt;"&amp;B360)</f>
        <v>200</v>
      </c>
      <c r="F360">
        <f>COUNTIFS(data!E:E,data!$I$2,data!G:G,"&lt;"&amp;B360)</f>
        <v>69</v>
      </c>
      <c r="G360">
        <f t="shared" si="34"/>
        <v>0.44751381215469616</v>
      </c>
      <c r="H360">
        <f t="shared" si="35"/>
        <v>0.74060150375939848</v>
      </c>
      <c r="I360">
        <f t="shared" si="36"/>
        <v>0</v>
      </c>
      <c r="J360">
        <f t="shared" si="37"/>
        <v>0.54874651810584962</v>
      </c>
      <c r="K360">
        <f t="shared" si="38"/>
        <v>0.63039999999999996</v>
      </c>
      <c r="L360">
        <f>A360*COUNTIF(data!E:E,$J$2)/data!$M$2</f>
        <v>152.06050955414014</v>
      </c>
      <c r="M360" s="1">
        <f>A360/data!$M$2</f>
        <v>0.57165605095541405</v>
      </c>
      <c r="N360">
        <f t="shared" si="39"/>
        <v>1.2955368923702011</v>
      </c>
    </row>
    <row r="361" spans="1:14" x14ac:dyDescent="0.2">
      <c r="A361">
        <v>360</v>
      </c>
      <c r="B361">
        <f>LARGE(data!G:G,A361)</f>
        <v>0.3654460276</v>
      </c>
      <c r="C361">
        <f>COUNTIFS(data!E:E,data!$I$2,data!G:G,"&gt;="&amp;B361)</f>
        <v>197</v>
      </c>
      <c r="D361">
        <f>COUNTIFS(data!E:E,data!$J$2,data!G:G,"&gt;="&amp;B361)</f>
        <v>163</v>
      </c>
      <c r="E361">
        <f>COUNTIFS(data!E:E,data!$J$2,data!G:G,"&lt;"&amp;B361)</f>
        <v>199</v>
      </c>
      <c r="F361">
        <f>COUNTIFS(data!E:E,data!$I$2,data!G:G,"&lt;"&amp;B361)</f>
        <v>69</v>
      </c>
      <c r="G361">
        <f t="shared" si="34"/>
        <v>0.45027624309392267</v>
      </c>
      <c r="H361">
        <f t="shared" si="35"/>
        <v>0.74060150375939848</v>
      </c>
      <c r="I361">
        <f t="shared" si="36"/>
        <v>2.0458605076226423E-3</v>
      </c>
      <c r="J361">
        <f t="shared" si="37"/>
        <v>0.54722222222222228</v>
      </c>
      <c r="K361">
        <f t="shared" si="38"/>
        <v>0.62939297124600646</v>
      </c>
      <c r="L361">
        <f>A361*COUNTIF(data!E:E,$J$2)/data!$M$2</f>
        <v>152.48407643312103</v>
      </c>
      <c r="M361" s="1">
        <f>A361/data!$M$2</f>
        <v>0.57324840764331209</v>
      </c>
      <c r="N361">
        <f t="shared" si="39"/>
        <v>1.2919381787802839</v>
      </c>
    </row>
    <row r="362" spans="1:14" x14ac:dyDescent="0.2">
      <c r="A362">
        <v>361</v>
      </c>
      <c r="B362">
        <f>LARGE(data!G:G,A362)</f>
        <v>0.3646847211</v>
      </c>
      <c r="C362">
        <f>COUNTIFS(data!E:E,data!$I$2,data!G:G,"&gt;="&amp;B362)</f>
        <v>197</v>
      </c>
      <c r="D362">
        <f>COUNTIFS(data!E:E,data!$J$2,data!G:G,"&gt;="&amp;B362)</f>
        <v>164</v>
      </c>
      <c r="E362">
        <f>COUNTIFS(data!E:E,data!$J$2,data!G:G,"&lt;"&amp;B362)</f>
        <v>198</v>
      </c>
      <c r="F362">
        <f>COUNTIFS(data!E:E,data!$I$2,data!G:G,"&lt;"&amp;B362)</f>
        <v>69</v>
      </c>
      <c r="G362">
        <f t="shared" si="34"/>
        <v>0.45303867403314918</v>
      </c>
      <c r="H362">
        <f t="shared" si="35"/>
        <v>0.74060150375939848</v>
      </c>
      <c r="I362">
        <f t="shared" si="36"/>
        <v>2.0458605076226423E-3</v>
      </c>
      <c r="J362">
        <f t="shared" si="37"/>
        <v>0.54570637119113574</v>
      </c>
      <c r="K362">
        <f t="shared" si="38"/>
        <v>0.62838915470494427</v>
      </c>
      <c r="L362">
        <f>A362*COUNTIF(data!E:E,$J$2)/data!$M$2</f>
        <v>152.90764331210192</v>
      </c>
      <c r="M362" s="1">
        <f>A362/data!$M$2</f>
        <v>0.57484076433121023</v>
      </c>
      <c r="N362">
        <f t="shared" si="39"/>
        <v>1.2883594026617791</v>
      </c>
    </row>
    <row r="363" spans="1:14" x14ac:dyDescent="0.2">
      <c r="A363">
        <v>362</v>
      </c>
      <c r="B363">
        <f>LARGE(data!G:G,A363)</f>
        <v>0.36371568300000001</v>
      </c>
      <c r="C363">
        <f>COUNTIFS(data!E:E,data!$I$2,data!G:G,"&gt;="&amp;B363)</f>
        <v>197</v>
      </c>
      <c r="D363">
        <f>COUNTIFS(data!E:E,data!$J$2,data!G:G,"&gt;="&amp;B363)</f>
        <v>165</v>
      </c>
      <c r="E363">
        <f>COUNTIFS(data!E:E,data!$J$2,data!G:G,"&lt;"&amp;B363)</f>
        <v>197</v>
      </c>
      <c r="F363">
        <f>COUNTIFS(data!E:E,data!$I$2,data!G:G,"&lt;"&amp;B363)</f>
        <v>69</v>
      </c>
      <c r="G363">
        <f t="shared" si="34"/>
        <v>0.45580110497237569</v>
      </c>
      <c r="H363">
        <f t="shared" si="35"/>
        <v>0.74060150375939848</v>
      </c>
      <c r="I363">
        <f t="shared" si="36"/>
        <v>2.0458605076226423E-3</v>
      </c>
      <c r="J363">
        <f t="shared" si="37"/>
        <v>0.54419889502762431</v>
      </c>
      <c r="K363">
        <f t="shared" si="38"/>
        <v>0.62738853503184722</v>
      </c>
      <c r="L363">
        <f>A363*COUNTIF(data!E:E,$J$2)/data!$M$2</f>
        <v>153.33121019108279</v>
      </c>
      <c r="M363" s="1">
        <f>A363/data!$M$2</f>
        <v>0.57643312101910826</v>
      </c>
      <c r="N363">
        <f t="shared" si="39"/>
        <v>1.2848003987870229</v>
      </c>
    </row>
    <row r="364" spans="1:14" x14ac:dyDescent="0.2">
      <c r="A364">
        <v>363</v>
      </c>
      <c r="B364">
        <f>LARGE(data!G:G,A364)</f>
        <v>0.36342944649999998</v>
      </c>
      <c r="C364">
        <f>COUNTIFS(data!E:E,data!$I$2,data!G:G,"&gt;="&amp;B364)</f>
        <v>197</v>
      </c>
      <c r="D364">
        <f>COUNTIFS(data!E:E,data!$J$2,data!G:G,"&gt;="&amp;B364)</f>
        <v>166</v>
      </c>
      <c r="E364">
        <f>COUNTIFS(data!E:E,data!$J$2,data!G:G,"&lt;"&amp;B364)</f>
        <v>196</v>
      </c>
      <c r="F364">
        <f>COUNTIFS(data!E:E,data!$I$2,data!G:G,"&lt;"&amp;B364)</f>
        <v>69</v>
      </c>
      <c r="G364">
        <f t="shared" si="34"/>
        <v>0.4585635359116022</v>
      </c>
      <c r="H364">
        <f t="shared" si="35"/>
        <v>0.74060150375939848</v>
      </c>
      <c r="I364">
        <f t="shared" si="36"/>
        <v>2.0458605076226423E-3</v>
      </c>
      <c r="J364">
        <f t="shared" si="37"/>
        <v>0.54269972451790638</v>
      </c>
      <c r="K364">
        <f t="shared" si="38"/>
        <v>0.62639109697933237</v>
      </c>
      <c r="L364">
        <f>A364*COUNTIF(data!E:E,$J$2)/data!$M$2</f>
        <v>153.75477707006368</v>
      </c>
      <c r="M364" s="1">
        <f>A364/data!$M$2</f>
        <v>0.57802547770700641</v>
      </c>
      <c r="N364">
        <f t="shared" si="39"/>
        <v>1.2812610037490422</v>
      </c>
    </row>
    <row r="365" spans="1:14" x14ac:dyDescent="0.2">
      <c r="A365">
        <v>364</v>
      </c>
      <c r="B365">
        <f>LARGE(data!G:G,A365)</f>
        <v>0.36334323880000002</v>
      </c>
      <c r="C365">
        <f>COUNTIFS(data!E:E,data!$I$2,data!G:G,"&gt;="&amp;B365)</f>
        <v>197</v>
      </c>
      <c r="D365">
        <f>COUNTIFS(data!E:E,data!$J$2,data!G:G,"&gt;="&amp;B365)</f>
        <v>167</v>
      </c>
      <c r="E365">
        <f>COUNTIFS(data!E:E,data!$J$2,data!G:G,"&lt;"&amp;B365)</f>
        <v>195</v>
      </c>
      <c r="F365">
        <f>COUNTIFS(data!E:E,data!$I$2,data!G:G,"&lt;"&amp;B365)</f>
        <v>69</v>
      </c>
      <c r="G365">
        <f t="shared" si="34"/>
        <v>0.46132596685082872</v>
      </c>
      <c r="H365">
        <f t="shared" si="35"/>
        <v>0.74060150375939848</v>
      </c>
      <c r="I365">
        <f t="shared" si="36"/>
        <v>2.0458605076226423E-3</v>
      </c>
      <c r="J365">
        <f t="shared" si="37"/>
        <v>0.54120879120879117</v>
      </c>
      <c r="K365">
        <f t="shared" si="38"/>
        <v>0.6253968253968254</v>
      </c>
      <c r="L365">
        <f>A365*COUNTIF(data!E:E,$J$2)/data!$M$2</f>
        <v>154.17834394904457</v>
      </c>
      <c r="M365" s="1">
        <f>A365/data!$M$2</f>
        <v>0.57961783439490444</v>
      </c>
      <c r="N365">
        <f t="shared" si="39"/>
        <v>1.2777410559365447</v>
      </c>
    </row>
    <row r="366" spans="1:14" x14ac:dyDescent="0.2">
      <c r="A366">
        <v>365</v>
      </c>
      <c r="B366">
        <f>LARGE(data!G:G,A366)</f>
        <v>0.36269977370000001</v>
      </c>
      <c r="C366">
        <f>COUNTIFS(data!E:E,data!$I$2,data!G:G,"&gt;="&amp;B366)</f>
        <v>197</v>
      </c>
      <c r="D366">
        <f>COUNTIFS(data!E:E,data!$J$2,data!G:G,"&gt;="&amp;B366)</f>
        <v>168</v>
      </c>
      <c r="E366">
        <f>COUNTIFS(data!E:E,data!$J$2,data!G:G,"&lt;"&amp;B366)</f>
        <v>194</v>
      </c>
      <c r="F366">
        <f>COUNTIFS(data!E:E,data!$I$2,data!G:G,"&lt;"&amp;B366)</f>
        <v>69</v>
      </c>
      <c r="G366">
        <f t="shared" si="34"/>
        <v>0.46408839779005523</v>
      </c>
      <c r="H366">
        <f t="shared" si="35"/>
        <v>0.74060150375939848</v>
      </c>
      <c r="I366">
        <f t="shared" si="36"/>
        <v>2.0458605076226423E-3</v>
      </c>
      <c r="J366">
        <f t="shared" si="37"/>
        <v>0.53972602739726028</v>
      </c>
      <c r="K366">
        <f t="shared" si="38"/>
        <v>0.62440570522979399</v>
      </c>
      <c r="L366">
        <f>A366*COUNTIF(data!E:E,$J$2)/data!$M$2</f>
        <v>154.60191082802547</v>
      </c>
      <c r="M366" s="1">
        <f>A366/data!$M$2</f>
        <v>0.58121019108280259</v>
      </c>
      <c r="N366">
        <f t="shared" si="39"/>
        <v>1.2742403955093213</v>
      </c>
    </row>
    <row r="367" spans="1:14" x14ac:dyDescent="0.2">
      <c r="A367">
        <v>366</v>
      </c>
      <c r="B367">
        <f>LARGE(data!G:G,A367)</f>
        <v>0.36017732629999999</v>
      </c>
      <c r="C367">
        <f>COUNTIFS(data!E:E,data!$I$2,data!G:G,"&gt;="&amp;B367)</f>
        <v>197</v>
      </c>
      <c r="D367">
        <f>COUNTIFS(data!E:E,data!$J$2,data!G:G,"&gt;="&amp;B367)</f>
        <v>169</v>
      </c>
      <c r="E367">
        <f>COUNTIFS(data!E:E,data!$J$2,data!G:G,"&lt;"&amp;B367)</f>
        <v>193</v>
      </c>
      <c r="F367">
        <f>COUNTIFS(data!E:E,data!$I$2,data!G:G,"&lt;"&amp;B367)</f>
        <v>69</v>
      </c>
      <c r="G367">
        <f t="shared" si="34"/>
        <v>0.46685082872928174</v>
      </c>
      <c r="H367">
        <f t="shared" si="35"/>
        <v>0.74060150375939848</v>
      </c>
      <c r="I367">
        <f t="shared" si="36"/>
        <v>2.0458605076226423E-3</v>
      </c>
      <c r="J367">
        <f t="shared" si="37"/>
        <v>0.53825136612021862</v>
      </c>
      <c r="K367">
        <f t="shared" si="38"/>
        <v>0.62341772151898733</v>
      </c>
      <c r="L367">
        <f>A367*COUNTIF(data!E:E,$J$2)/data!$M$2</f>
        <v>155.02547770700636</v>
      </c>
      <c r="M367" s="1">
        <f>A367/data!$M$2</f>
        <v>0.58280254777070062</v>
      </c>
      <c r="N367">
        <f t="shared" si="39"/>
        <v>1.2707588643740499</v>
      </c>
    </row>
    <row r="368" spans="1:14" x14ac:dyDescent="0.2">
      <c r="A368">
        <v>367</v>
      </c>
      <c r="B368">
        <f>LARGE(data!G:G,A368)</f>
        <v>0.3592609007</v>
      </c>
      <c r="C368">
        <f>COUNTIFS(data!E:E,data!$I$2,data!G:G,"&gt;="&amp;B368)</f>
        <v>198</v>
      </c>
      <c r="D368">
        <f>COUNTIFS(data!E:E,data!$J$2,data!G:G,"&gt;="&amp;B368)</f>
        <v>169</v>
      </c>
      <c r="E368">
        <f>COUNTIFS(data!E:E,data!$J$2,data!G:G,"&lt;"&amp;B368)</f>
        <v>193</v>
      </c>
      <c r="F368">
        <f>COUNTIFS(data!E:E,data!$I$2,data!G:G,"&lt;"&amp;B368)</f>
        <v>68</v>
      </c>
      <c r="G368">
        <f t="shared" si="34"/>
        <v>0.46685082872928174</v>
      </c>
      <c r="H368">
        <f t="shared" si="35"/>
        <v>0.74436090225563911</v>
      </c>
      <c r="I368">
        <f t="shared" si="36"/>
        <v>0</v>
      </c>
      <c r="J368">
        <f t="shared" si="37"/>
        <v>0.53950953678474112</v>
      </c>
      <c r="K368">
        <f t="shared" si="38"/>
        <v>0.62559241706161128</v>
      </c>
      <c r="L368">
        <f>A368*COUNTIF(data!E:E,$J$2)/data!$M$2</f>
        <v>155.44904458598725</v>
      </c>
      <c r="M368" s="1">
        <f>A368/data!$M$2</f>
        <v>0.58439490445859876</v>
      </c>
      <c r="N368">
        <f t="shared" si="39"/>
        <v>1.2737292823339001</v>
      </c>
    </row>
    <row r="369" spans="1:14" x14ac:dyDescent="0.2">
      <c r="A369">
        <v>368</v>
      </c>
      <c r="B369">
        <f>LARGE(data!G:G,A369)</f>
        <v>0.35844408010000001</v>
      </c>
      <c r="C369">
        <f>COUNTIFS(data!E:E,data!$I$2,data!G:G,"&gt;="&amp;B369)</f>
        <v>198</v>
      </c>
      <c r="D369">
        <f>COUNTIFS(data!E:E,data!$J$2,data!G:G,"&gt;="&amp;B369)</f>
        <v>170</v>
      </c>
      <c r="E369">
        <f>COUNTIFS(data!E:E,data!$J$2,data!G:G,"&lt;"&amp;B369)</f>
        <v>192</v>
      </c>
      <c r="F369">
        <f>COUNTIFS(data!E:E,data!$I$2,data!G:G,"&lt;"&amp;B369)</f>
        <v>68</v>
      </c>
      <c r="G369">
        <f t="shared" si="34"/>
        <v>0.46961325966850831</v>
      </c>
      <c r="H369">
        <f t="shared" si="35"/>
        <v>0.74436090225563911</v>
      </c>
      <c r="I369">
        <f t="shared" si="36"/>
        <v>2.0562455863415807E-3</v>
      </c>
      <c r="J369">
        <f t="shared" si="37"/>
        <v>0.53804347826086951</v>
      </c>
      <c r="K369">
        <f t="shared" si="38"/>
        <v>0.62460567823343849</v>
      </c>
      <c r="L369">
        <f>A369*COUNTIF(data!E:E,$J$2)/data!$M$2</f>
        <v>155.87261146496814</v>
      </c>
      <c r="M369" s="1">
        <f>A369/data!$M$2</f>
        <v>0.5859872611464968</v>
      </c>
      <c r="N369">
        <f t="shared" si="39"/>
        <v>1.2702680614579929</v>
      </c>
    </row>
    <row r="370" spans="1:14" x14ac:dyDescent="0.2">
      <c r="A370">
        <v>369</v>
      </c>
      <c r="B370">
        <f>LARGE(data!G:G,A370)</f>
        <v>0.35810140779999999</v>
      </c>
      <c r="C370">
        <f>COUNTIFS(data!E:E,data!$I$2,data!G:G,"&gt;="&amp;B370)</f>
        <v>198</v>
      </c>
      <c r="D370">
        <f>COUNTIFS(data!E:E,data!$J$2,data!G:G,"&gt;="&amp;B370)</f>
        <v>171</v>
      </c>
      <c r="E370">
        <f>COUNTIFS(data!E:E,data!$J$2,data!G:G,"&lt;"&amp;B370)</f>
        <v>191</v>
      </c>
      <c r="F370">
        <f>COUNTIFS(data!E:E,data!$I$2,data!G:G,"&lt;"&amp;B370)</f>
        <v>68</v>
      </c>
      <c r="G370">
        <f t="shared" si="34"/>
        <v>0.47237569060773482</v>
      </c>
      <c r="H370">
        <f t="shared" si="35"/>
        <v>0.74436090225563911</v>
      </c>
      <c r="I370">
        <f t="shared" si="36"/>
        <v>2.0562455863415391E-3</v>
      </c>
      <c r="J370">
        <f t="shared" si="37"/>
        <v>0.53658536585365857</v>
      </c>
      <c r="K370">
        <f t="shared" si="38"/>
        <v>0.62362204724409454</v>
      </c>
      <c r="L370">
        <f>A370*COUNTIF(data!E:E,$J$2)/data!$M$2</f>
        <v>156.29617834394904</v>
      </c>
      <c r="M370" s="1">
        <f>A370/data!$M$2</f>
        <v>0.58757961783439494</v>
      </c>
      <c r="N370">
        <f t="shared" si="39"/>
        <v>1.266825600586833</v>
      </c>
    </row>
    <row r="371" spans="1:14" x14ac:dyDescent="0.2">
      <c r="A371">
        <v>370</v>
      </c>
      <c r="B371">
        <f>LARGE(data!G:G,A371)</f>
        <v>0.35685933359999999</v>
      </c>
      <c r="C371">
        <f>COUNTIFS(data!E:E,data!$I$2,data!G:G,"&gt;="&amp;B371)</f>
        <v>198</v>
      </c>
      <c r="D371">
        <f>COUNTIFS(data!E:E,data!$J$2,data!G:G,"&gt;="&amp;B371)</f>
        <v>172</v>
      </c>
      <c r="E371">
        <f>COUNTIFS(data!E:E,data!$J$2,data!G:G,"&lt;"&amp;B371)</f>
        <v>190</v>
      </c>
      <c r="F371">
        <f>COUNTIFS(data!E:E,data!$I$2,data!G:G,"&lt;"&amp;B371)</f>
        <v>68</v>
      </c>
      <c r="G371">
        <f t="shared" si="34"/>
        <v>0.47513812154696133</v>
      </c>
      <c r="H371">
        <f t="shared" si="35"/>
        <v>0.74436090225563911</v>
      </c>
      <c r="I371">
        <f t="shared" si="36"/>
        <v>2.0562455863415391E-3</v>
      </c>
      <c r="J371">
        <f t="shared" si="37"/>
        <v>0.53513513513513511</v>
      </c>
      <c r="K371">
        <f t="shared" si="38"/>
        <v>0.62264150943396224</v>
      </c>
      <c r="L371">
        <f>A371*COUNTIF(data!E:E,$J$2)/data!$M$2</f>
        <v>156.71974522292993</v>
      </c>
      <c r="M371" s="1">
        <f>A371/data!$M$2</f>
        <v>0.58917197452229297</v>
      </c>
      <c r="N371">
        <f t="shared" si="39"/>
        <v>1.2634017476122741</v>
      </c>
    </row>
    <row r="372" spans="1:14" x14ac:dyDescent="0.2">
      <c r="A372">
        <v>371</v>
      </c>
      <c r="B372">
        <f>LARGE(data!G:G,A372)</f>
        <v>0.35645887570000001</v>
      </c>
      <c r="C372">
        <f>COUNTIFS(data!E:E,data!$I$2,data!G:G,"&gt;="&amp;B372)</f>
        <v>200</v>
      </c>
      <c r="D372">
        <f>COUNTIFS(data!E:E,data!$J$2,data!G:G,"&gt;="&amp;B372)</f>
        <v>172</v>
      </c>
      <c r="E372">
        <f>COUNTIFS(data!E:E,data!$J$2,data!G:G,"&lt;"&amp;B372)</f>
        <v>190</v>
      </c>
      <c r="F372">
        <f>COUNTIFS(data!E:E,data!$I$2,data!G:G,"&lt;"&amp;B372)</f>
        <v>66</v>
      </c>
      <c r="G372">
        <f t="shared" si="34"/>
        <v>0.47513812154696133</v>
      </c>
      <c r="H372">
        <f t="shared" si="35"/>
        <v>0.75187969924812026</v>
      </c>
      <c r="I372">
        <f t="shared" si="36"/>
        <v>0</v>
      </c>
      <c r="J372">
        <f t="shared" si="37"/>
        <v>0.5376344086021505</v>
      </c>
      <c r="K372">
        <f t="shared" si="38"/>
        <v>0.62695924764890276</v>
      </c>
      <c r="L372">
        <f>A372*COUNTIF(data!E:E,$J$2)/data!$M$2</f>
        <v>157.14331210191082</v>
      </c>
      <c r="M372" s="1">
        <f>A372/data!$M$2</f>
        <v>0.59076433121019112</v>
      </c>
      <c r="N372">
        <f t="shared" si="39"/>
        <v>1.2727235879456054</v>
      </c>
    </row>
    <row r="373" spans="1:14" x14ac:dyDescent="0.2">
      <c r="A373">
        <v>372</v>
      </c>
      <c r="B373">
        <f>LARGE(data!G:G,A373)</f>
        <v>0.35645887570000001</v>
      </c>
      <c r="C373">
        <f>COUNTIFS(data!E:E,data!$I$2,data!G:G,"&gt;="&amp;B373)</f>
        <v>200</v>
      </c>
      <c r="D373">
        <f>COUNTIFS(data!E:E,data!$J$2,data!G:G,"&gt;="&amp;B373)</f>
        <v>172</v>
      </c>
      <c r="E373">
        <f>COUNTIFS(data!E:E,data!$J$2,data!G:G,"&lt;"&amp;B373)</f>
        <v>190</v>
      </c>
      <c r="F373">
        <f>COUNTIFS(data!E:E,data!$I$2,data!G:G,"&lt;"&amp;B373)</f>
        <v>66</v>
      </c>
      <c r="G373">
        <f t="shared" si="34"/>
        <v>0.47513812154696133</v>
      </c>
      <c r="H373">
        <f t="shared" si="35"/>
        <v>0.75187969924812026</v>
      </c>
      <c r="I373">
        <f t="shared" si="36"/>
        <v>0</v>
      </c>
      <c r="J373">
        <f t="shared" si="37"/>
        <v>0.5376344086021505</v>
      </c>
      <c r="K373">
        <f t="shared" si="38"/>
        <v>0.62695924764890276</v>
      </c>
      <c r="L373">
        <f>A373*COUNTIF(data!E:E,$J$2)/data!$M$2</f>
        <v>157.56687898089172</v>
      </c>
      <c r="M373" s="1">
        <f>A373/data!$M$2</f>
        <v>0.59235668789808915</v>
      </c>
      <c r="N373">
        <f t="shared" si="39"/>
        <v>1.2693022879780096</v>
      </c>
    </row>
    <row r="374" spans="1:14" x14ac:dyDescent="0.2">
      <c r="A374">
        <v>373</v>
      </c>
      <c r="B374">
        <f>LARGE(data!G:G,A374)</f>
        <v>0.35579891299999999</v>
      </c>
      <c r="C374">
        <f>COUNTIFS(data!E:E,data!$I$2,data!G:G,"&gt;="&amp;B374)</f>
        <v>201</v>
      </c>
      <c r="D374">
        <f>COUNTIFS(data!E:E,data!$J$2,data!G:G,"&gt;="&amp;B374)</f>
        <v>172</v>
      </c>
      <c r="E374">
        <f>COUNTIFS(data!E:E,data!$J$2,data!G:G,"&lt;"&amp;B374)</f>
        <v>190</v>
      </c>
      <c r="F374">
        <f>COUNTIFS(data!E:E,data!$I$2,data!G:G,"&lt;"&amp;B374)</f>
        <v>65</v>
      </c>
      <c r="G374">
        <f t="shared" si="34"/>
        <v>0.47513812154696133</v>
      </c>
      <c r="H374">
        <f t="shared" si="35"/>
        <v>0.75563909774436089</v>
      </c>
      <c r="I374">
        <f t="shared" si="36"/>
        <v>0</v>
      </c>
      <c r="J374">
        <f t="shared" si="37"/>
        <v>0.53887399463806973</v>
      </c>
      <c r="K374">
        <f t="shared" si="38"/>
        <v>0.62910798122065736</v>
      </c>
      <c r="L374">
        <f>A374*COUNTIF(data!E:E,$J$2)/data!$M$2</f>
        <v>157.99044585987261</v>
      </c>
      <c r="M374" s="1">
        <f>A374/data!$M$2</f>
        <v>0.5939490445859873</v>
      </c>
      <c r="N374">
        <f t="shared" si="39"/>
        <v>1.2722288294462698</v>
      </c>
    </row>
    <row r="375" spans="1:14" x14ac:dyDescent="0.2">
      <c r="A375">
        <v>374</v>
      </c>
      <c r="B375">
        <f>LARGE(data!G:G,A375)</f>
        <v>0.35509242060000001</v>
      </c>
      <c r="C375">
        <f>COUNTIFS(data!E:E,data!$I$2,data!G:G,"&gt;="&amp;B375)</f>
        <v>201</v>
      </c>
      <c r="D375">
        <f>COUNTIFS(data!E:E,data!$J$2,data!G:G,"&gt;="&amp;B375)</f>
        <v>173</v>
      </c>
      <c r="E375">
        <f>COUNTIFS(data!E:E,data!$J$2,data!G:G,"&lt;"&amp;B375)</f>
        <v>189</v>
      </c>
      <c r="F375">
        <f>COUNTIFS(data!E:E,data!$I$2,data!G:G,"&lt;"&amp;B375)</f>
        <v>65</v>
      </c>
      <c r="G375">
        <f t="shared" si="34"/>
        <v>0.47790055248618785</v>
      </c>
      <c r="H375">
        <f t="shared" si="35"/>
        <v>0.75563909774436089</v>
      </c>
      <c r="I375">
        <f t="shared" si="36"/>
        <v>2.0874008224982294E-3</v>
      </c>
      <c r="J375">
        <f t="shared" si="37"/>
        <v>0.53743315508021394</v>
      </c>
      <c r="K375">
        <f t="shared" si="38"/>
        <v>0.62812500000000004</v>
      </c>
      <c r="L375">
        <f>A375*COUNTIF(data!E:E,$J$2)/data!$M$2</f>
        <v>158.4140127388535</v>
      </c>
      <c r="M375" s="1">
        <f>A375/data!$M$2</f>
        <v>0.59554140127388533</v>
      </c>
      <c r="N375">
        <f t="shared" si="39"/>
        <v>1.268827148084114</v>
      </c>
    </row>
    <row r="376" spans="1:14" x14ac:dyDescent="0.2">
      <c r="A376">
        <v>375</v>
      </c>
      <c r="B376">
        <f>LARGE(data!G:G,A376)</f>
        <v>0.3548103473</v>
      </c>
      <c r="C376">
        <f>COUNTIFS(data!E:E,data!$I$2,data!G:G,"&gt;="&amp;B376)</f>
        <v>201</v>
      </c>
      <c r="D376">
        <f>COUNTIFS(data!E:E,data!$J$2,data!G:G,"&gt;="&amp;B376)</f>
        <v>174</v>
      </c>
      <c r="E376">
        <f>COUNTIFS(data!E:E,data!$J$2,data!G:G,"&lt;"&amp;B376)</f>
        <v>188</v>
      </c>
      <c r="F376">
        <f>COUNTIFS(data!E:E,data!$I$2,data!G:G,"&lt;"&amp;B376)</f>
        <v>65</v>
      </c>
      <c r="G376">
        <f t="shared" si="34"/>
        <v>0.48066298342541436</v>
      </c>
      <c r="H376">
        <f t="shared" si="35"/>
        <v>0.75563909774436089</v>
      </c>
      <c r="I376">
        <f t="shared" si="36"/>
        <v>2.0874008224982294E-3</v>
      </c>
      <c r="J376">
        <f t="shared" si="37"/>
        <v>0.53600000000000003</v>
      </c>
      <c r="K376">
        <f t="shared" si="38"/>
        <v>0.62714508580343209</v>
      </c>
      <c r="L376">
        <f>A376*COUNTIF(data!E:E,$J$2)/data!$M$2</f>
        <v>158.83757961783439</v>
      </c>
      <c r="M376" s="1">
        <f>A376/data!$M$2</f>
        <v>0.59713375796178347</v>
      </c>
      <c r="N376">
        <f t="shared" si="39"/>
        <v>1.2654436090225565</v>
      </c>
    </row>
    <row r="377" spans="1:14" x14ac:dyDescent="0.2">
      <c r="A377">
        <v>376</v>
      </c>
      <c r="B377">
        <f>LARGE(data!G:G,A377)</f>
        <v>0.35227684939999998</v>
      </c>
      <c r="C377">
        <f>COUNTIFS(data!E:E,data!$I$2,data!G:G,"&gt;="&amp;B377)</f>
        <v>203</v>
      </c>
      <c r="D377">
        <f>COUNTIFS(data!E:E,data!$J$2,data!G:G,"&gt;="&amp;B377)</f>
        <v>174</v>
      </c>
      <c r="E377">
        <f>COUNTIFS(data!E:E,data!$J$2,data!G:G,"&lt;"&amp;B377)</f>
        <v>188</v>
      </c>
      <c r="F377">
        <f>COUNTIFS(data!E:E,data!$I$2,data!G:G,"&lt;"&amp;B377)</f>
        <v>63</v>
      </c>
      <c r="G377">
        <f t="shared" si="34"/>
        <v>0.48066298342541436</v>
      </c>
      <c r="H377">
        <f t="shared" si="35"/>
        <v>0.76315789473684215</v>
      </c>
      <c r="I377">
        <f t="shared" si="36"/>
        <v>0</v>
      </c>
      <c r="J377">
        <f t="shared" si="37"/>
        <v>0.53846153846153844</v>
      </c>
      <c r="K377">
        <f t="shared" si="38"/>
        <v>0.63141524105754276</v>
      </c>
      <c r="L377">
        <f>A377*COUNTIF(data!E:E,$J$2)/data!$M$2</f>
        <v>159.26114649681529</v>
      </c>
      <c r="M377" s="1">
        <f>A377/data!$M$2</f>
        <v>0.59872611464968151</v>
      </c>
      <c r="N377">
        <f t="shared" si="39"/>
        <v>1.274636058230683</v>
      </c>
    </row>
    <row r="378" spans="1:14" x14ac:dyDescent="0.2">
      <c r="A378">
        <v>377</v>
      </c>
      <c r="B378">
        <f>LARGE(data!G:G,A378)</f>
        <v>0.35227684939999998</v>
      </c>
      <c r="C378">
        <f>COUNTIFS(data!E:E,data!$I$2,data!G:G,"&gt;="&amp;B378)</f>
        <v>203</v>
      </c>
      <c r="D378">
        <f>COUNTIFS(data!E:E,data!$J$2,data!G:G,"&gt;="&amp;B378)</f>
        <v>174</v>
      </c>
      <c r="E378">
        <f>COUNTIFS(data!E:E,data!$J$2,data!G:G,"&lt;"&amp;B378)</f>
        <v>188</v>
      </c>
      <c r="F378">
        <f>COUNTIFS(data!E:E,data!$I$2,data!G:G,"&lt;"&amp;B378)</f>
        <v>63</v>
      </c>
      <c r="G378">
        <f t="shared" si="34"/>
        <v>0.48066298342541436</v>
      </c>
      <c r="H378">
        <f t="shared" si="35"/>
        <v>0.76315789473684215</v>
      </c>
      <c r="I378">
        <f t="shared" si="36"/>
        <v>0</v>
      </c>
      <c r="J378">
        <f t="shared" si="37"/>
        <v>0.53846153846153844</v>
      </c>
      <c r="K378">
        <f t="shared" si="38"/>
        <v>0.63141524105754276</v>
      </c>
      <c r="L378">
        <f>A378*COUNTIF(data!E:E,$J$2)/data!$M$2</f>
        <v>159.68471337579618</v>
      </c>
      <c r="M378" s="1">
        <f>A378/data!$M$2</f>
        <v>0.60031847133757965</v>
      </c>
      <c r="N378">
        <f t="shared" si="39"/>
        <v>1.2712550607287449</v>
      </c>
    </row>
    <row r="379" spans="1:14" x14ac:dyDescent="0.2">
      <c r="A379">
        <v>378</v>
      </c>
      <c r="B379">
        <f>LARGE(data!G:G,A379)</f>
        <v>0.3517364321</v>
      </c>
      <c r="C379">
        <f>COUNTIFS(data!E:E,data!$I$2,data!G:G,"&gt;="&amp;B379)</f>
        <v>203</v>
      </c>
      <c r="D379">
        <f>COUNTIFS(data!E:E,data!$J$2,data!G:G,"&gt;="&amp;B379)</f>
        <v>175</v>
      </c>
      <c r="E379">
        <f>COUNTIFS(data!E:E,data!$J$2,data!G:G,"&lt;"&amp;B379)</f>
        <v>187</v>
      </c>
      <c r="F379">
        <f>COUNTIFS(data!E:E,data!$I$2,data!G:G,"&lt;"&amp;B379)</f>
        <v>63</v>
      </c>
      <c r="G379">
        <f t="shared" si="34"/>
        <v>0.48342541436464087</v>
      </c>
      <c r="H379">
        <f t="shared" si="35"/>
        <v>0.76315789473684215</v>
      </c>
      <c r="I379">
        <f t="shared" si="36"/>
        <v>2.1081709799360224E-3</v>
      </c>
      <c r="J379">
        <f t="shared" si="37"/>
        <v>0.53703703703703709</v>
      </c>
      <c r="K379">
        <f t="shared" si="38"/>
        <v>0.63043478260869568</v>
      </c>
      <c r="L379">
        <f>A379*COUNTIF(data!E:E,$J$2)/data!$M$2</f>
        <v>160.10828025477707</v>
      </c>
      <c r="M379" s="1">
        <f>A379/data!$M$2</f>
        <v>0.60191082802547768</v>
      </c>
      <c r="N379">
        <f t="shared" si="39"/>
        <v>1.2678919521024785</v>
      </c>
    </row>
    <row r="380" spans="1:14" x14ac:dyDescent="0.2">
      <c r="A380">
        <v>379</v>
      </c>
      <c r="B380">
        <f>LARGE(data!G:G,A380)</f>
        <v>0.35013204060000003</v>
      </c>
      <c r="C380">
        <f>COUNTIFS(data!E:E,data!$I$2,data!G:G,"&gt;="&amp;B380)</f>
        <v>206</v>
      </c>
      <c r="D380">
        <f>COUNTIFS(data!E:E,data!$J$2,data!G:G,"&gt;="&amp;B380)</f>
        <v>175</v>
      </c>
      <c r="E380">
        <f>COUNTIFS(data!E:E,data!$J$2,data!G:G,"&lt;"&amp;B380)</f>
        <v>187</v>
      </c>
      <c r="F380">
        <f>COUNTIFS(data!E:E,data!$I$2,data!G:G,"&lt;"&amp;B380)</f>
        <v>60</v>
      </c>
      <c r="G380">
        <f t="shared" ref="G380:G443" si="40">D380/(E380+D380)</f>
        <v>0.48342541436464087</v>
      </c>
      <c r="H380">
        <f t="shared" ref="H380:H443" si="41">C380/(C380+F380)</f>
        <v>0.77443609022556392</v>
      </c>
      <c r="I380">
        <f t="shared" ref="I380:I443" si="42">(G380-G379)*(H380+H379)*0.5</f>
        <v>0</v>
      </c>
      <c r="J380">
        <f t="shared" ref="J380:J443" si="43">C380/(C380+D380)</f>
        <v>0.54068241469816269</v>
      </c>
      <c r="K380">
        <f t="shared" ref="K380:K443" si="44">2*J380*H380/(J380+H380)</f>
        <v>0.63678516228748072</v>
      </c>
      <c r="L380">
        <f>A380*COUNTIF(data!E:E,$J$2)/data!$M$2</f>
        <v>160.53184713375796</v>
      </c>
      <c r="M380" s="1">
        <f>A380/data!$M$2</f>
        <v>0.60350318471337583</v>
      </c>
      <c r="N380">
        <f t="shared" ref="N380:N443" si="45">C380/L380</f>
        <v>1.2832344714027812</v>
      </c>
    </row>
    <row r="381" spans="1:14" x14ac:dyDescent="0.2">
      <c r="A381">
        <v>380</v>
      </c>
      <c r="B381">
        <f>LARGE(data!G:G,A381)</f>
        <v>0.35013204060000003</v>
      </c>
      <c r="C381">
        <f>COUNTIFS(data!E:E,data!$I$2,data!G:G,"&gt;="&amp;B381)</f>
        <v>206</v>
      </c>
      <c r="D381">
        <f>COUNTIFS(data!E:E,data!$J$2,data!G:G,"&gt;="&amp;B381)</f>
        <v>175</v>
      </c>
      <c r="E381">
        <f>COUNTIFS(data!E:E,data!$J$2,data!G:G,"&lt;"&amp;B381)</f>
        <v>187</v>
      </c>
      <c r="F381">
        <f>COUNTIFS(data!E:E,data!$I$2,data!G:G,"&lt;"&amp;B381)</f>
        <v>60</v>
      </c>
      <c r="G381">
        <f t="shared" si="40"/>
        <v>0.48342541436464087</v>
      </c>
      <c r="H381">
        <f t="shared" si="41"/>
        <v>0.77443609022556392</v>
      </c>
      <c r="I381">
        <f t="shared" si="42"/>
        <v>0</v>
      </c>
      <c r="J381">
        <f t="shared" si="43"/>
        <v>0.54068241469816269</v>
      </c>
      <c r="K381">
        <f t="shared" si="44"/>
        <v>0.63678516228748072</v>
      </c>
      <c r="L381">
        <f>A381*COUNTIF(data!E:E,$J$2)/data!$M$2</f>
        <v>160.95541401273886</v>
      </c>
      <c r="M381" s="1">
        <f>A381/data!$M$2</f>
        <v>0.60509554140127386</v>
      </c>
      <c r="N381">
        <f t="shared" si="45"/>
        <v>1.2798575385833004</v>
      </c>
    </row>
    <row r="382" spans="1:14" x14ac:dyDescent="0.2">
      <c r="A382">
        <v>381</v>
      </c>
      <c r="B382">
        <f>LARGE(data!G:G,A382)</f>
        <v>0.35013204060000003</v>
      </c>
      <c r="C382">
        <f>COUNTIFS(data!E:E,data!$I$2,data!G:G,"&gt;="&amp;B382)</f>
        <v>206</v>
      </c>
      <c r="D382">
        <f>COUNTIFS(data!E:E,data!$J$2,data!G:G,"&gt;="&amp;B382)</f>
        <v>175</v>
      </c>
      <c r="E382">
        <f>COUNTIFS(data!E:E,data!$J$2,data!G:G,"&lt;"&amp;B382)</f>
        <v>187</v>
      </c>
      <c r="F382">
        <f>COUNTIFS(data!E:E,data!$I$2,data!G:G,"&lt;"&amp;B382)</f>
        <v>60</v>
      </c>
      <c r="G382">
        <f t="shared" si="40"/>
        <v>0.48342541436464087</v>
      </c>
      <c r="H382">
        <f t="shared" si="41"/>
        <v>0.77443609022556392</v>
      </c>
      <c r="I382">
        <f t="shared" si="42"/>
        <v>0</v>
      </c>
      <c r="J382">
        <f t="shared" si="43"/>
        <v>0.54068241469816269</v>
      </c>
      <c r="K382">
        <f t="shared" si="44"/>
        <v>0.63678516228748072</v>
      </c>
      <c r="L382">
        <f>A382*COUNTIF(data!E:E,$J$2)/data!$M$2</f>
        <v>161.37898089171975</v>
      </c>
      <c r="M382" s="1">
        <f>A382/data!$M$2</f>
        <v>0.60668789808917201</v>
      </c>
      <c r="N382">
        <f t="shared" si="45"/>
        <v>1.2764983324452863</v>
      </c>
    </row>
    <row r="383" spans="1:14" x14ac:dyDescent="0.2">
      <c r="A383">
        <v>382</v>
      </c>
      <c r="B383">
        <f>LARGE(data!G:G,A383)</f>
        <v>0.34715381849999999</v>
      </c>
      <c r="C383">
        <f>COUNTIFS(data!E:E,data!$I$2,data!G:G,"&gt;="&amp;B383)</f>
        <v>206</v>
      </c>
      <c r="D383">
        <f>COUNTIFS(data!E:E,data!$J$2,data!G:G,"&gt;="&amp;B383)</f>
        <v>176</v>
      </c>
      <c r="E383">
        <f>COUNTIFS(data!E:E,data!$J$2,data!G:G,"&lt;"&amp;B383)</f>
        <v>186</v>
      </c>
      <c r="F383">
        <f>COUNTIFS(data!E:E,data!$I$2,data!G:G,"&lt;"&amp;B383)</f>
        <v>60</v>
      </c>
      <c r="G383">
        <f t="shared" si="40"/>
        <v>0.48618784530386738</v>
      </c>
      <c r="H383">
        <f t="shared" si="41"/>
        <v>0.77443609022556392</v>
      </c>
      <c r="I383">
        <f t="shared" si="42"/>
        <v>2.1393262160927127E-3</v>
      </c>
      <c r="J383">
        <f t="shared" si="43"/>
        <v>0.53926701570680624</v>
      </c>
      <c r="K383">
        <f t="shared" si="44"/>
        <v>0.63580246913580241</v>
      </c>
      <c r="L383">
        <f>A383*COUNTIF(data!E:E,$J$2)/data!$M$2</f>
        <v>161.80254777070064</v>
      </c>
      <c r="M383" s="1">
        <f>A383/data!$M$2</f>
        <v>0.60828025477707004</v>
      </c>
      <c r="N383">
        <f t="shared" si="45"/>
        <v>1.2731567137739637</v>
      </c>
    </row>
    <row r="384" spans="1:14" x14ac:dyDescent="0.2">
      <c r="A384">
        <v>383</v>
      </c>
      <c r="B384">
        <f>LARGE(data!G:G,A384)</f>
        <v>0.34513026990000001</v>
      </c>
      <c r="C384">
        <f>COUNTIFS(data!E:E,data!$I$2,data!G:G,"&gt;="&amp;B384)</f>
        <v>206</v>
      </c>
      <c r="D384">
        <f>COUNTIFS(data!E:E,data!$J$2,data!G:G,"&gt;="&amp;B384)</f>
        <v>177</v>
      </c>
      <c r="E384">
        <f>COUNTIFS(data!E:E,data!$J$2,data!G:G,"&lt;"&amp;B384)</f>
        <v>185</v>
      </c>
      <c r="F384">
        <f>COUNTIFS(data!E:E,data!$I$2,data!G:G,"&lt;"&amp;B384)</f>
        <v>60</v>
      </c>
      <c r="G384">
        <f t="shared" si="40"/>
        <v>0.4889502762430939</v>
      </c>
      <c r="H384">
        <f t="shared" si="41"/>
        <v>0.77443609022556392</v>
      </c>
      <c r="I384">
        <f t="shared" si="42"/>
        <v>2.1393262160927127E-3</v>
      </c>
      <c r="J384">
        <f t="shared" si="43"/>
        <v>0.53785900783289819</v>
      </c>
      <c r="K384">
        <f t="shared" si="44"/>
        <v>0.6348228043143298</v>
      </c>
      <c r="L384">
        <f>A384*COUNTIF(data!E:E,$J$2)/data!$M$2</f>
        <v>162.22611464968153</v>
      </c>
      <c r="M384" s="1">
        <f>A384/data!$M$2</f>
        <v>0.60987261146496818</v>
      </c>
      <c r="N384">
        <f t="shared" si="45"/>
        <v>1.2698325448084964</v>
      </c>
    </row>
    <row r="385" spans="1:14" x14ac:dyDescent="0.2">
      <c r="A385">
        <v>384</v>
      </c>
      <c r="B385">
        <f>LARGE(data!G:G,A385)</f>
        <v>0.34421212289999997</v>
      </c>
      <c r="C385">
        <f>COUNTIFS(data!E:E,data!$I$2,data!G:G,"&gt;="&amp;B385)</f>
        <v>206</v>
      </c>
      <c r="D385">
        <f>COUNTIFS(data!E:E,data!$J$2,data!G:G,"&gt;="&amp;B385)</f>
        <v>178</v>
      </c>
      <c r="E385">
        <f>COUNTIFS(data!E:E,data!$J$2,data!G:G,"&lt;"&amp;B385)</f>
        <v>184</v>
      </c>
      <c r="F385">
        <f>COUNTIFS(data!E:E,data!$I$2,data!G:G,"&lt;"&amp;B385)</f>
        <v>60</v>
      </c>
      <c r="G385">
        <f t="shared" si="40"/>
        <v>0.49171270718232046</v>
      </c>
      <c r="H385">
        <f t="shared" si="41"/>
        <v>0.77443609022556392</v>
      </c>
      <c r="I385">
        <f t="shared" si="42"/>
        <v>2.1393262160927557E-3</v>
      </c>
      <c r="J385">
        <f t="shared" si="43"/>
        <v>0.53645833333333337</v>
      </c>
      <c r="K385">
        <f t="shared" si="44"/>
        <v>0.63384615384615384</v>
      </c>
      <c r="L385">
        <f>A385*COUNTIF(data!E:E,$J$2)/data!$M$2</f>
        <v>162.64968152866243</v>
      </c>
      <c r="M385" s="1">
        <f>A385/data!$M$2</f>
        <v>0.61146496815286622</v>
      </c>
      <c r="N385">
        <f t="shared" si="45"/>
        <v>1.2665256892230576</v>
      </c>
    </row>
    <row r="386" spans="1:14" x14ac:dyDescent="0.2">
      <c r="A386">
        <v>385</v>
      </c>
      <c r="B386">
        <f>LARGE(data!G:G,A386)</f>
        <v>0.34418287289999999</v>
      </c>
      <c r="C386">
        <f>COUNTIFS(data!E:E,data!$I$2,data!G:G,"&gt;="&amp;B386)</f>
        <v>207</v>
      </c>
      <c r="D386">
        <f>COUNTIFS(data!E:E,data!$J$2,data!G:G,"&gt;="&amp;B386)</f>
        <v>178</v>
      </c>
      <c r="E386">
        <f>COUNTIFS(data!E:E,data!$J$2,data!G:G,"&lt;"&amp;B386)</f>
        <v>184</v>
      </c>
      <c r="F386">
        <f>COUNTIFS(data!E:E,data!$I$2,data!G:G,"&lt;"&amp;B386)</f>
        <v>59</v>
      </c>
      <c r="G386">
        <f t="shared" si="40"/>
        <v>0.49171270718232046</v>
      </c>
      <c r="H386">
        <f t="shared" si="41"/>
        <v>0.77819548872180455</v>
      </c>
      <c r="I386">
        <f t="shared" si="42"/>
        <v>0</v>
      </c>
      <c r="J386">
        <f t="shared" si="43"/>
        <v>0.53766233766233762</v>
      </c>
      <c r="K386">
        <f t="shared" si="44"/>
        <v>0.63594470046082952</v>
      </c>
      <c r="L386">
        <f>A386*COUNTIF(data!E:E,$J$2)/data!$M$2</f>
        <v>163.07324840764332</v>
      </c>
      <c r="M386" s="1">
        <f>A386/data!$M$2</f>
        <v>0.61305732484076436</v>
      </c>
      <c r="N386">
        <f t="shared" si="45"/>
        <v>1.2693682257592032</v>
      </c>
    </row>
    <row r="387" spans="1:14" x14ac:dyDescent="0.2">
      <c r="A387">
        <v>386</v>
      </c>
      <c r="B387">
        <f>LARGE(data!G:G,A387)</f>
        <v>0.33911451209999999</v>
      </c>
      <c r="C387">
        <f>COUNTIFS(data!E:E,data!$I$2,data!G:G,"&gt;="&amp;B387)</f>
        <v>207</v>
      </c>
      <c r="D387">
        <f>COUNTIFS(data!E:E,data!$J$2,data!G:G,"&gt;="&amp;B387)</f>
        <v>179</v>
      </c>
      <c r="E387">
        <f>COUNTIFS(data!E:E,data!$J$2,data!G:G,"&lt;"&amp;B387)</f>
        <v>183</v>
      </c>
      <c r="F387">
        <f>COUNTIFS(data!E:E,data!$I$2,data!G:G,"&lt;"&amp;B387)</f>
        <v>59</v>
      </c>
      <c r="G387">
        <f t="shared" si="40"/>
        <v>0.49447513812154698</v>
      </c>
      <c r="H387">
        <f t="shared" si="41"/>
        <v>0.77819548872180455</v>
      </c>
      <c r="I387">
        <f t="shared" si="42"/>
        <v>2.1497112948116095E-3</v>
      </c>
      <c r="J387">
        <f t="shared" si="43"/>
        <v>0.53626943005181349</v>
      </c>
      <c r="K387">
        <f t="shared" si="44"/>
        <v>0.63496932515337423</v>
      </c>
      <c r="L387">
        <f>A387*COUNTIF(data!E:E,$J$2)/data!$M$2</f>
        <v>163.49681528662421</v>
      </c>
      <c r="M387" s="1">
        <f>A387/data!$M$2</f>
        <v>0.61464968152866239</v>
      </c>
      <c r="N387">
        <f t="shared" si="45"/>
        <v>1.2660797070396197</v>
      </c>
    </row>
    <row r="388" spans="1:14" x14ac:dyDescent="0.2">
      <c r="A388">
        <v>387</v>
      </c>
      <c r="B388">
        <f>LARGE(data!G:G,A388)</f>
        <v>0.33812139829999999</v>
      </c>
      <c r="C388">
        <f>COUNTIFS(data!E:E,data!$I$2,data!G:G,"&gt;="&amp;B388)</f>
        <v>207</v>
      </c>
      <c r="D388">
        <f>COUNTIFS(data!E:E,data!$J$2,data!G:G,"&gt;="&amp;B388)</f>
        <v>180</v>
      </c>
      <c r="E388">
        <f>COUNTIFS(data!E:E,data!$J$2,data!G:G,"&lt;"&amp;B388)</f>
        <v>182</v>
      </c>
      <c r="F388">
        <f>COUNTIFS(data!E:E,data!$I$2,data!G:G,"&lt;"&amp;B388)</f>
        <v>59</v>
      </c>
      <c r="G388">
        <f t="shared" si="40"/>
        <v>0.49723756906077349</v>
      </c>
      <c r="H388">
        <f t="shared" si="41"/>
        <v>0.77819548872180455</v>
      </c>
      <c r="I388">
        <f t="shared" si="42"/>
        <v>2.1497112948116095E-3</v>
      </c>
      <c r="J388">
        <f t="shared" si="43"/>
        <v>0.53488372093023251</v>
      </c>
      <c r="K388">
        <f t="shared" si="44"/>
        <v>0.63399693721286365</v>
      </c>
      <c r="L388">
        <f>A388*COUNTIF(data!E:E,$J$2)/data!$M$2</f>
        <v>163.9203821656051</v>
      </c>
      <c r="M388" s="1">
        <f>A388/data!$M$2</f>
        <v>0.61624203821656054</v>
      </c>
      <c r="N388">
        <f t="shared" si="45"/>
        <v>1.2628081832488196</v>
      </c>
    </row>
    <row r="389" spans="1:14" x14ac:dyDescent="0.2">
      <c r="A389">
        <v>388</v>
      </c>
      <c r="B389">
        <f>LARGE(data!G:G,A389)</f>
        <v>0.33689081669999998</v>
      </c>
      <c r="C389">
        <f>COUNTIFS(data!E:E,data!$I$2,data!G:G,"&gt;="&amp;B389)</f>
        <v>207</v>
      </c>
      <c r="D389">
        <f>COUNTIFS(data!E:E,data!$J$2,data!G:G,"&gt;="&amp;B389)</f>
        <v>181</v>
      </c>
      <c r="E389">
        <f>COUNTIFS(data!E:E,data!$J$2,data!G:G,"&lt;"&amp;B389)</f>
        <v>181</v>
      </c>
      <c r="F389">
        <f>COUNTIFS(data!E:E,data!$I$2,data!G:G,"&lt;"&amp;B389)</f>
        <v>59</v>
      </c>
      <c r="G389">
        <f t="shared" si="40"/>
        <v>0.5</v>
      </c>
      <c r="H389">
        <f t="shared" si="41"/>
        <v>0.77819548872180455</v>
      </c>
      <c r="I389">
        <f t="shared" si="42"/>
        <v>2.1497112948116095E-3</v>
      </c>
      <c r="J389">
        <f t="shared" si="43"/>
        <v>0.53350515463917525</v>
      </c>
      <c r="K389">
        <f t="shared" si="44"/>
        <v>0.6330275229357798</v>
      </c>
      <c r="L389">
        <f>A389*COUNTIF(data!E:E,$J$2)/data!$M$2</f>
        <v>164.343949044586</v>
      </c>
      <c r="M389" s="1">
        <f>A389/data!$M$2</f>
        <v>0.61783439490445857</v>
      </c>
      <c r="N389">
        <f t="shared" si="45"/>
        <v>1.2595535229827144</v>
      </c>
    </row>
    <row r="390" spans="1:14" x14ac:dyDescent="0.2">
      <c r="A390">
        <v>389</v>
      </c>
      <c r="B390">
        <f>LARGE(data!G:G,A390)</f>
        <v>0.33672927359999999</v>
      </c>
      <c r="C390">
        <f>COUNTIFS(data!E:E,data!$I$2,data!G:G,"&gt;="&amp;B390)</f>
        <v>207</v>
      </c>
      <c r="D390">
        <f>COUNTIFS(data!E:E,data!$J$2,data!G:G,"&gt;="&amp;B390)</f>
        <v>182</v>
      </c>
      <c r="E390">
        <f>COUNTIFS(data!E:E,data!$J$2,data!G:G,"&lt;"&amp;B390)</f>
        <v>180</v>
      </c>
      <c r="F390">
        <f>COUNTIFS(data!E:E,data!$I$2,data!G:G,"&lt;"&amp;B390)</f>
        <v>59</v>
      </c>
      <c r="G390">
        <f t="shared" si="40"/>
        <v>0.50276243093922657</v>
      </c>
      <c r="H390">
        <f t="shared" si="41"/>
        <v>0.77819548872180455</v>
      </c>
      <c r="I390">
        <f t="shared" si="42"/>
        <v>2.1497112948116524E-3</v>
      </c>
      <c r="J390">
        <f t="shared" si="43"/>
        <v>0.53213367609254503</v>
      </c>
      <c r="K390">
        <f t="shared" si="44"/>
        <v>0.63206106870229006</v>
      </c>
      <c r="L390">
        <f>A390*COUNTIF(data!E:E,$J$2)/data!$M$2</f>
        <v>164.76751592356689</v>
      </c>
      <c r="M390" s="1">
        <f>A390/data!$M$2</f>
        <v>0.61942675159235672</v>
      </c>
      <c r="N390">
        <f t="shared" si="45"/>
        <v>1.2563155961884145</v>
      </c>
    </row>
    <row r="391" spans="1:14" x14ac:dyDescent="0.2">
      <c r="A391">
        <v>390</v>
      </c>
      <c r="B391">
        <f>LARGE(data!G:G,A391)</f>
        <v>0.33506023229999998</v>
      </c>
      <c r="C391">
        <f>COUNTIFS(data!E:E,data!$I$2,data!G:G,"&gt;="&amp;B391)</f>
        <v>207</v>
      </c>
      <c r="D391">
        <f>COUNTIFS(data!E:E,data!$J$2,data!G:G,"&gt;="&amp;B391)</f>
        <v>183</v>
      </c>
      <c r="E391">
        <f>COUNTIFS(data!E:E,data!$J$2,data!G:G,"&lt;"&amp;B391)</f>
        <v>179</v>
      </c>
      <c r="F391">
        <f>COUNTIFS(data!E:E,data!$I$2,data!G:G,"&lt;"&amp;B391)</f>
        <v>59</v>
      </c>
      <c r="G391">
        <f t="shared" si="40"/>
        <v>0.50552486187845302</v>
      </c>
      <c r="H391">
        <f t="shared" si="41"/>
        <v>0.77819548872180455</v>
      </c>
      <c r="I391">
        <f t="shared" si="42"/>
        <v>2.1497112948115661E-3</v>
      </c>
      <c r="J391">
        <f t="shared" si="43"/>
        <v>0.53076923076923077</v>
      </c>
      <c r="K391">
        <f t="shared" si="44"/>
        <v>0.63109756097560987</v>
      </c>
      <c r="L391">
        <f>A391*COUNTIF(data!E:E,$J$2)/data!$M$2</f>
        <v>165.19108280254778</v>
      </c>
      <c r="M391" s="1">
        <f>A391/data!$M$2</f>
        <v>0.62101910828025475</v>
      </c>
      <c r="N391">
        <f t="shared" si="45"/>
        <v>1.2530942741469056</v>
      </c>
    </row>
    <row r="392" spans="1:14" x14ac:dyDescent="0.2">
      <c r="A392">
        <v>391</v>
      </c>
      <c r="B392">
        <f>LARGE(data!G:G,A392)</f>
        <v>0.33425203079999999</v>
      </c>
      <c r="C392">
        <f>COUNTIFS(data!E:E,data!$I$2,data!G:G,"&gt;="&amp;B392)</f>
        <v>207</v>
      </c>
      <c r="D392">
        <f>COUNTIFS(data!E:E,data!$J$2,data!G:G,"&gt;="&amp;B392)</f>
        <v>184</v>
      </c>
      <c r="E392">
        <f>COUNTIFS(data!E:E,data!$J$2,data!G:G,"&lt;"&amp;B392)</f>
        <v>178</v>
      </c>
      <c r="F392">
        <f>COUNTIFS(data!E:E,data!$I$2,data!G:G,"&lt;"&amp;B392)</f>
        <v>59</v>
      </c>
      <c r="G392">
        <f t="shared" si="40"/>
        <v>0.50828729281767959</v>
      </c>
      <c r="H392">
        <f t="shared" si="41"/>
        <v>0.77819548872180455</v>
      </c>
      <c r="I392">
        <f t="shared" si="42"/>
        <v>2.1497112948116524E-3</v>
      </c>
      <c r="J392">
        <f t="shared" si="43"/>
        <v>0.52941176470588236</v>
      </c>
      <c r="K392">
        <f t="shared" si="44"/>
        <v>0.63013698630136994</v>
      </c>
      <c r="L392">
        <f>A392*COUNTIF(data!E:E,$J$2)/data!$M$2</f>
        <v>165.61464968152868</v>
      </c>
      <c r="M392" s="1">
        <f>A392/data!$M$2</f>
        <v>0.62261146496815289</v>
      </c>
      <c r="N392">
        <f t="shared" si="45"/>
        <v>1.2498894294559928</v>
      </c>
    </row>
    <row r="393" spans="1:14" x14ac:dyDescent="0.2">
      <c r="A393">
        <v>392</v>
      </c>
      <c r="B393">
        <f>LARGE(data!G:G,A393)</f>
        <v>0.33327691209999999</v>
      </c>
      <c r="C393">
        <f>COUNTIFS(data!E:E,data!$I$2,data!G:G,"&gt;="&amp;B393)</f>
        <v>207</v>
      </c>
      <c r="D393">
        <f>COUNTIFS(data!E:E,data!$J$2,data!G:G,"&gt;="&amp;B393)</f>
        <v>185</v>
      </c>
      <c r="E393">
        <f>COUNTIFS(data!E:E,data!$J$2,data!G:G,"&lt;"&amp;B393)</f>
        <v>177</v>
      </c>
      <c r="F393">
        <f>COUNTIFS(data!E:E,data!$I$2,data!G:G,"&lt;"&amp;B393)</f>
        <v>59</v>
      </c>
      <c r="G393">
        <f t="shared" si="40"/>
        <v>0.51104972375690605</v>
      </c>
      <c r="H393">
        <f t="shared" si="41"/>
        <v>0.77819548872180455</v>
      </c>
      <c r="I393">
        <f t="shared" si="42"/>
        <v>2.1497112948115661E-3</v>
      </c>
      <c r="J393">
        <f t="shared" si="43"/>
        <v>0.52806122448979587</v>
      </c>
      <c r="K393">
        <f t="shared" si="44"/>
        <v>0.62917933130699089</v>
      </c>
      <c r="L393">
        <f>A393*COUNTIF(data!E:E,$J$2)/data!$M$2</f>
        <v>166.03821656050957</v>
      </c>
      <c r="M393" s="1">
        <f>A393/data!$M$2</f>
        <v>0.62420382165605093</v>
      </c>
      <c r="N393">
        <f t="shared" si="45"/>
        <v>1.2467009360135031</v>
      </c>
    </row>
    <row r="394" spans="1:14" x14ac:dyDescent="0.2">
      <c r="A394">
        <v>393</v>
      </c>
      <c r="B394">
        <f>LARGE(data!G:G,A394)</f>
        <v>0.32817677070000001</v>
      </c>
      <c r="C394">
        <f>COUNTIFS(data!E:E,data!$I$2,data!G:G,"&gt;="&amp;B394)</f>
        <v>207</v>
      </c>
      <c r="D394">
        <f>COUNTIFS(data!E:E,data!$J$2,data!G:G,"&gt;="&amp;B394)</f>
        <v>186</v>
      </c>
      <c r="E394">
        <f>COUNTIFS(data!E:E,data!$J$2,data!G:G,"&lt;"&amp;B394)</f>
        <v>176</v>
      </c>
      <c r="F394">
        <f>COUNTIFS(data!E:E,data!$I$2,data!G:G,"&lt;"&amp;B394)</f>
        <v>59</v>
      </c>
      <c r="G394">
        <f t="shared" si="40"/>
        <v>0.51381215469613262</v>
      </c>
      <c r="H394">
        <f t="shared" si="41"/>
        <v>0.77819548872180455</v>
      </c>
      <c r="I394">
        <f t="shared" si="42"/>
        <v>2.1497112948116524E-3</v>
      </c>
      <c r="J394">
        <f t="shared" si="43"/>
        <v>0.52671755725190839</v>
      </c>
      <c r="K394">
        <f t="shared" si="44"/>
        <v>0.6282245827010623</v>
      </c>
      <c r="L394">
        <f>A394*COUNTIF(data!E:E,$J$2)/data!$M$2</f>
        <v>166.46178343949043</v>
      </c>
      <c r="M394" s="1">
        <f>A394/data!$M$2</f>
        <v>0.62579617834394907</v>
      </c>
      <c r="N394">
        <f t="shared" si="45"/>
        <v>1.2435286690007463</v>
      </c>
    </row>
    <row r="395" spans="1:14" x14ac:dyDescent="0.2">
      <c r="A395">
        <v>394</v>
      </c>
      <c r="B395">
        <f>LARGE(data!G:G,A395)</f>
        <v>0.32721386400000002</v>
      </c>
      <c r="C395">
        <f>COUNTIFS(data!E:E,data!$I$2,data!G:G,"&gt;="&amp;B395)</f>
        <v>207</v>
      </c>
      <c r="D395">
        <f>COUNTIFS(data!E:E,data!$J$2,data!G:G,"&gt;="&amp;B395)</f>
        <v>187</v>
      </c>
      <c r="E395">
        <f>COUNTIFS(data!E:E,data!$J$2,data!G:G,"&lt;"&amp;B395)</f>
        <v>175</v>
      </c>
      <c r="F395">
        <f>COUNTIFS(data!E:E,data!$I$2,data!G:G,"&lt;"&amp;B395)</f>
        <v>59</v>
      </c>
      <c r="G395">
        <f t="shared" si="40"/>
        <v>0.51657458563535907</v>
      </c>
      <c r="H395">
        <f t="shared" si="41"/>
        <v>0.77819548872180455</v>
      </c>
      <c r="I395">
        <f t="shared" si="42"/>
        <v>2.1497112948115661E-3</v>
      </c>
      <c r="J395">
        <f t="shared" si="43"/>
        <v>0.52538071065989844</v>
      </c>
      <c r="K395">
        <f t="shared" si="44"/>
        <v>0.62727272727272732</v>
      </c>
      <c r="L395">
        <f>A395*COUNTIF(data!E:E,$J$2)/data!$M$2</f>
        <v>166.88535031847132</v>
      </c>
      <c r="M395" s="1">
        <f>A395/data!$M$2</f>
        <v>0.62738853503184711</v>
      </c>
      <c r="N395">
        <f t="shared" si="45"/>
        <v>1.2403725048662266</v>
      </c>
    </row>
    <row r="396" spans="1:14" x14ac:dyDescent="0.2">
      <c r="A396">
        <v>395</v>
      </c>
      <c r="B396">
        <f>LARGE(data!G:G,A396)</f>
        <v>0.32509615580000001</v>
      </c>
      <c r="C396">
        <f>COUNTIFS(data!E:E,data!$I$2,data!G:G,"&gt;="&amp;B396)</f>
        <v>209</v>
      </c>
      <c r="D396">
        <f>COUNTIFS(data!E:E,data!$J$2,data!G:G,"&gt;="&amp;B396)</f>
        <v>187</v>
      </c>
      <c r="E396">
        <f>COUNTIFS(data!E:E,data!$J$2,data!G:G,"&lt;"&amp;B396)</f>
        <v>175</v>
      </c>
      <c r="F396">
        <f>COUNTIFS(data!E:E,data!$I$2,data!G:G,"&lt;"&amp;B396)</f>
        <v>57</v>
      </c>
      <c r="G396">
        <f t="shared" si="40"/>
        <v>0.51657458563535907</v>
      </c>
      <c r="H396">
        <f t="shared" si="41"/>
        <v>0.7857142857142857</v>
      </c>
      <c r="I396">
        <f t="shared" si="42"/>
        <v>0</v>
      </c>
      <c r="J396">
        <f t="shared" si="43"/>
        <v>0.52777777777777779</v>
      </c>
      <c r="K396">
        <f t="shared" si="44"/>
        <v>0.63141993957703935</v>
      </c>
      <c r="L396">
        <f>A396*COUNTIF(data!E:E,$J$2)/data!$M$2</f>
        <v>167.30891719745222</v>
      </c>
      <c r="M396" s="1">
        <f>A396/data!$M$2</f>
        <v>0.62898089171974525</v>
      </c>
      <c r="N396">
        <f t="shared" si="45"/>
        <v>1.2491862567811935</v>
      </c>
    </row>
    <row r="397" spans="1:14" x14ac:dyDescent="0.2">
      <c r="A397">
        <v>396</v>
      </c>
      <c r="B397">
        <f>LARGE(data!G:G,A397)</f>
        <v>0.32509615580000001</v>
      </c>
      <c r="C397">
        <f>COUNTIFS(data!E:E,data!$I$2,data!G:G,"&gt;="&amp;B397)</f>
        <v>209</v>
      </c>
      <c r="D397">
        <f>COUNTIFS(data!E:E,data!$J$2,data!G:G,"&gt;="&amp;B397)</f>
        <v>187</v>
      </c>
      <c r="E397">
        <f>COUNTIFS(data!E:E,data!$J$2,data!G:G,"&lt;"&amp;B397)</f>
        <v>175</v>
      </c>
      <c r="F397">
        <f>COUNTIFS(data!E:E,data!$I$2,data!G:G,"&lt;"&amp;B397)</f>
        <v>57</v>
      </c>
      <c r="G397">
        <f t="shared" si="40"/>
        <v>0.51657458563535907</v>
      </c>
      <c r="H397">
        <f t="shared" si="41"/>
        <v>0.7857142857142857</v>
      </c>
      <c r="I397">
        <f t="shared" si="42"/>
        <v>0</v>
      </c>
      <c r="J397">
        <f t="shared" si="43"/>
        <v>0.52777777777777779</v>
      </c>
      <c r="K397">
        <f t="shared" si="44"/>
        <v>0.63141993957703935</v>
      </c>
      <c r="L397">
        <f>A397*COUNTIF(data!E:E,$J$2)/data!$M$2</f>
        <v>167.73248407643311</v>
      </c>
      <c r="M397" s="1">
        <f>A397/data!$M$2</f>
        <v>0.63057324840764328</v>
      </c>
      <c r="N397">
        <f t="shared" si="45"/>
        <v>1.246031746031746</v>
      </c>
    </row>
    <row r="398" spans="1:14" x14ac:dyDescent="0.2">
      <c r="A398">
        <v>397</v>
      </c>
      <c r="B398">
        <f>LARGE(data!G:G,A398)</f>
        <v>0.32388724499999999</v>
      </c>
      <c r="C398">
        <f>COUNTIFS(data!E:E,data!$I$2,data!G:G,"&gt;="&amp;B398)</f>
        <v>209</v>
      </c>
      <c r="D398">
        <f>COUNTIFS(data!E:E,data!$J$2,data!G:G,"&gt;="&amp;B398)</f>
        <v>188</v>
      </c>
      <c r="E398">
        <f>COUNTIFS(data!E:E,data!$J$2,data!G:G,"&lt;"&amp;B398)</f>
        <v>174</v>
      </c>
      <c r="F398">
        <f>COUNTIFS(data!E:E,data!$I$2,data!G:G,"&lt;"&amp;B398)</f>
        <v>57</v>
      </c>
      <c r="G398">
        <f t="shared" si="40"/>
        <v>0.51933701657458564</v>
      </c>
      <c r="H398">
        <f t="shared" si="41"/>
        <v>0.7857142857142857</v>
      </c>
      <c r="I398">
        <f t="shared" si="42"/>
        <v>2.1704814522494459E-3</v>
      </c>
      <c r="J398">
        <f t="shared" si="43"/>
        <v>0.52644836272040307</v>
      </c>
      <c r="K398">
        <f t="shared" si="44"/>
        <v>0.63046757164404221</v>
      </c>
      <c r="L398">
        <f>A398*COUNTIF(data!E:E,$J$2)/data!$M$2</f>
        <v>168.156050955414</v>
      </c>
      <c r="M398" s="1">
        <f>A398/data!$M$2</f>
        <v>0.63216560509554143</v>
      </c>
      <c r="N398">
        <f t="shared" si="45"/>
        <v>1.2428931270241095</v>
      </c>
    </row>
    <row r="399" spans="1:14" x14ac:dyDescent="0.2">
      <c r="A399">
        <v>398</v>
      </c>
      <c r="B399">
        <f>LARGE(data!G:G,A399)</f>
        <v>0.32358662189999998</v>
      </c>
      <c r="C399">
        <f>COUNTIFS(data!E:E,data!$I$2,data!G:G,"&gt;="&amp;B399)</f>
        <v>209</v>
      </c>
      <c r="D399">
        <f>COUNTIFS(data!E:E,data!$J$2,data!G:G,"&gt;="&amp;B399)</f>
        <v>189</v>
      </c>
      <c r="E399">
        <f>COUNTIFS(data!E:E,data!$J$2,data!G:G,"&lt;"&amp;B399)</f>
        <v>173</v>
      </c>
      <c r="F399">
        <f>COUNTIFS(data!E:E,data!$I$2,data!G:G,"&lt;"&amp;B399)</f>
        <v>57</v>
      </c>
      <c r="G399">
        <f t="shared" si="40"/>
        <v>0.52209944751381221</v>
      </c>
      <c r="H399">
        <f t="shared" si="41"/>
        <v>0.7857142857142857</v>
      </c>
      <c r="I399">
        <f t="shared" si="42"/>
        <v>2.1704814522494459E-3</v>
      </c>
      <c r="J399">
        <f t="shared" si="43"/>
        <v>0.52512562814070352</v>
      </c>
      <c r="K399">
        <f t="shared" si="44"/>
        <v>0.62951807228915668</v>
      </c>
      <c r="L399">
        <f>A399*COUNTIF(data!E:E,$J$2)/data!$M$2</f>
        <v>168.5796178343949</v>
      </c>
      <c r="M399" s="1">
        <f>A399/data!$M$2</f>
        <v>0.63375796178343946</v>
      </c>
      <c r="N399">
        <f t="shared" si="45"/>
        <v>1.2397702799712851</v>
      </c>
    </row>
    <row r="400" spans="1:14" x14ac:dyDescent="0.2">
      <c r="A400">
        <v>399</v>
      </c>
      <c r="B400">
        <f>LARGE(data!G:G,A400)</f>
        <v>0.32263623730000002</v>
      </c>
      <c r="C400">
        <f>COUNTIFS(data!E:E,data!$I$2,data!G:G,"&gt;="&amp;B400)</f>
        <v>209</v>
      </c>
      <c r="D400">
        <f>COUNTIFS(data!E:E,data!$J$2,data!G:G,"&gt;="&amp;B400)</f>
        <v>190</v>
      </c>
      <c r="E400">
        <f>COUNTIFS(data!E:E,data!$J$2,data!G:G,"&lt;"&amp;B400)</f>
        <v>172</v>
      </c>
      <c r="F400">
        <f>COUNTIFS(data!E:E,data!$I$2,data!G:G,"&lt;"&amp;B400)</f>
        <v>57</v>
      </c>
      <c r="G400">
        <f t="shared" si="40"/>
        <v>0.52486187845303867</v>
      </c>
      <c r="H400">
        <f t="shared" si="41"/>
        <v>0.7857142857142857</v>
      </c>
      <c r="I400">
        <f t="shared" si="42"/>
        <v>2.1704814522493588E-3</v>
      </c>
      <c r="J400">
        <f t="shared" si="43"/>
        <v>0.52380952380952384</v>
      </c>
      <c r="K400">
        <f t="shared" si="44"/>
        <v>0.62857142857142856</v>
      </c>
      <c r="L400">
        <f>A400*COUNTIF(data!E:E,$J$2)/data!$M$2</f>
        <v>169.00318471337579</v>
      </c>
      <c r="M400" s="1">
        <f>A400/data!$M$2</f>
        <v>0.63535031847133761</v>
      </c>
      <c r="N400">
        <f t="shared" si="45"/>
        <v>1.2366630862871466</v>
      </c>
    </row>
    <row r="401" spans="1:14" x14ac:dyDescent="0.2">
      <c r="A401">
        <v>400</v>
      </c>
      <c r="B401">
        <f>LARGE(data!G:G,A401)</f>
        <v>0.32171241039999998</v>
      </c>
      <c r="C401">
        <f>COUNTIFS(data!E:E,data!$I$2,data!G:G,"&gt;="&amp;B401)</f>
        <v>209</v>
      </c>
      <c r="D401">
        <f>COUNTIFS(data!E:E,data!$J$2,data!G:G,"&gt;="&amp;B401)</f>
        <v>191</v>
      </c>
      <c r="E401">
        <f>COUNTIFS(data!E:E,data!$J$2,data!G:G,"&lt;"&amp;B401)</f>
        <v>171</v>
      </c>
      <c r="F401">
        <f>COUNTIFS(data!E:E,data!$I$2,data!G:G,"&lt;"&amp;B401)</f>
        <v>57</v>
      </c>
      <c r="G401">
        <f t="shared" si="40"/>
        <v>0.52762430939226523</v>
      </c>
      <c r="H401">
        <f t="shared" si="41"/>
        <v>0.7857142857142857</v>
      </c>
      <c r="I401">
        <f t="shared" si="42"/>
        <v>2.1704814522494459E-3</v>
      </c>
      <c r="J401">
        <f t="shared" si="43"/>
        <v>0.52249999999999996</v>
      </c>
      <c r="K401">
        <f t="shared" si="44"/>
        <v>0.62762762762762758</v>
      </c>
      <c r="L401">
        <f>A401*COUNTIF(data!E:E,$J$2)/data!$M$2</f>
        <v>169.42675159235668</v>
      </c>
      <c r="M401" s="1">
        <f>A401/data!$M$2</f>
        <v>0.63694267515923564</v>
      </c>
      <c r="N401">
        <f t="shared" si="45"/>
        <v>1.2335714285714285</v>
      </c>
    </row>
    <row r="402" spans="1:14" x14ac:dyDescent="0.2">
      <c r="A402">
        <v>401</v>
      </c>
      <c r="B402">
        <f>LARGE(data!G:G,A402)</f>
        <v>0.32155092410000002</v>
      </c>
      <c r="C402">
        <f>COUNTIFS(data!E:E,data!$I$2,data!G:G,"&gt;="&amp;B402)</f>
        <v>209</v>
      </c>
      <c r="D402">
        <f>COUNTIFS(data!E:E,data!$J$2,data!G:G,"&gt;="&amp;B402)</f>
        <v>192</v>
      </c>
      <c r="E402">
        <f>COUNTIFS(data!E:E,data!$J$2,data!G:G,"&lt;"&amp;B402)</f>
        <v>170</v>
      </c>
      <c r="F402">
        <f>COUNTIFS(data!E:E,data!$I$2,data!G:G,"&lt;"&amp;B402)</f>
        <v>57</v>
      </c>
      <c r="G402">
        <f t="shared" si="40"/>
        <v>0.53038674033149169</v>
      </c>
      <c r="H402">
        <f t="shared" si="41"/>
        <v>0.7857142857142857</v>
      </c>
      <c r="I402">
        <f t="shared" si="42"/>
        <v>2.1704814522493588E-3</v>
      </c>
      <c r="J402">
        <f t="shared" si="43"/>
        <v>0.52119700748129671</v>
      </c>
      <c r="K402">
        <f t="shared" si="44"/>
        <v>0.62668665667166412</v>
      </c>
      <c r="L402">
        <f>A402*COUNTIF(data!E:E,$J$2)/data!$M$2</f>
        <v>169.85031847133757</v>
      </c>
      <c r="M402" s="1">
        <f>A402/data!$M$2</f>
        <v>0.63853503184713378</v>
      </c>
      <c r="N402">
        <f t="shared" si="45"/>
        <v>1.2304951905949413</v>
      </c>
    </row>
    <row r="403" spans="1:14" x14ac:dyDescent="0.2">
      <c r="A403">
        <v>402</v>
      </c>
      <c r="B403">
        <f>LARGE(data!G:G,A403)</f>
        <v>0.32138497129999999</v>
      </c>
      <c r="C403">
        <f>COUNTIFS(data!E:E,data!$I$2,data!G:G,"&gt;="&amp;B403)</f>
        <v>209</v>
      </c>
      <c r="D403">
        <f>COUNTIFS(data!E:E,data!$J$2,data!G:G,"&gt;="&amp;B403)</f>
        <v>193</v>
      </c>
      <c r="E403">
        <f>COUNTIFS(data!E:E,data!$J$2,data!G:G,"&lt;"&amp;B403)</f>
        <v>169</v>
      </c>
      <c r="F403">
        <f>COUNTIFS(data!E:E,data!$I$2,data!G:G,"&lt;"&amp;B403)</f>
        <v>57</v>
      </c>
      <c r="G403">
        <f t="shared" si="40"/>
        <v>0.53314917127071826</v>
      </c>
      <c r="H403">
        <f t="shared" si="41"/>
        <v>0.7857142857142857</v>
      </c>
      <c r="I403">
        <f t="shared" si="42"/>
        <v>2.1704814522494459E-3</v>
      </c>
      <c r="J403">
        <f t="shared" si="43"/>
        <v>0.51990049751243783</v>
      </c>
      <c r="K403">
        <f t="shared" si="44"/>
        <v>0.62574850299401197</v>
      </c>
      <c r="L403">
        <f>A403*COUNTIF(data!E:E,$J$2)/data!$M$2</f>
        <v>170.27388535031847</v>
      </c>
      <c r="M403" s="1">
        <f>A403/data!$M$2</f>
        <v>0.64012738853503182</v>
      </c>
      <c r="N403">
        <f t="shared" si="45"/>
        <v>1.2274342572850037</v>
      </c>
    </row>
    <row r="404" spans="1:14" x14ac:dyDescent="0.2">
      <c r="A404">
        <v>403</v>
      </c>
      <c r="B404">
        <f>LARGE(data!G:G,A404)</f>
        <v>0.32075891249999999</v>
      </c>
      <c r="C404">
        <f>COUNTIFS(data!E:E,data!$I$2,data!G:G,"&gt;="&amp;B404)</f>
        <v>209</v>
      </c>
      <c r="D404">
        <f>COUNTIFS(data!E:E,data!$J$2,data!G:G,"&gt;="&amp;B404)</f>
        <v>194</v>
      </c>
      <c r="E404">
        <f>COUNTIFS(data!E:E,data!$J$2,data!G:G,"&lt;"&amp;B404)</f>
        <v>168</v>
      </c>
      <c r="F404">
        <f>COUNTIFS(data!E:E,data!$I$2,data!G:G,"&lt;"&amp;B404)</f>
        <v>57</v>
      </c>
      <c r="G404">
        <f t="shared" si="40"/>
        <v>0.53591160220994472</v>
      </c>
      <c r="H404">
        <f t="shared" si="41"/>
        <v>0.7857142857142857</v>
      </c>
      <c r="I404">
        <f t="shared" si="42"/>
        <v>2.1704814522493588E-3</v>
      </c>
      <c r="J404">
        <f t="shared" si="43"/>
        <v>0.5186104218362283</v>
      </c>
      <c r="K404">
        <f t="shared" si="44"/>
        <v>0.62481315396113601</v>
      </c>
      <c r="L404">
        <f>A404*COUNTIF(data!E:E,$J$2)/data!$M$2</f>
        <v>170.69745222929936</v>
      </c>
      <c r="M404" s="1">
        <f>A404/data!$M$2</f>
        <v>0.64171974522292996</v>
      </c>
      <c r="N404">
        <f t="shared" si="45"/>
        <v>1.2243885147110953</v>
      </c>
    </row>
    <row r="405" spans="1:14" x14ac:dyDescent="0.2">
      <c r="A405">
        <v>404</v>
      </c>
      <c r="B405">
        <f>LARGE(data!G:G,A405)</f>
        <v>0.32053204400000002</v>
      </c>
      <c r="C405">
        <f>COUNTIFS(data!E:E,data!$I$2,data!G:G,"&gt;="&amp;B405)</f>
        <v>210</v>
      </c>
      <c r="D405">
        <f>COUNTIFS(data!E:E,data!$J$2,data!G:G,"&gt;="&amp;B405)</f>
        <v>194</v>
      </c>
      <c r="E405">
        <f>COUNTIFS(data!E:E,data!$J$2,data!G:G,"&lt;"&amp;B405)</f>
        <v>168</v>
      </c>
      <c r="F405">
        <f>COUNTIFS(data!E:E,data!$I$2,data!G:G,"&lt;"&amp;B405)</f>
        <v>56</v>
      </c>
      <c r="G405">
        <f t="shared" si="40"/>
        <v>0.53591160220994472</v>
      </c>
      <c r="H405">
        <f t="shared" si="41"/>
        <v>0.78947368421052633</v>
      </c>
      <c r="I405">
        <f t="shared" si="42"/>
        <v>0</v>
      </c>
      <c r="J405">
        <f t="shared" si="43"/>
        <v>0.51980198019801982</v>
      </c>
      <c r="K405">
        <f t="shared" si="44"/>
        <v>0.62686567164179097</v>
      </c>
      <c r="L405">
        <f>A405*COUNTIF(data!E:E,$J$2)/data!$M$2</f>
        <v>171.12101910828025</v>
      </c>
      <c r="M405" s="1">
        <f>A405/data!$M$2</f>
        <v>0.64331210191082799</v>
      </c>
      <c r="N405">
        <f t="shared" si="45"/>
        <v>1.2272016675351747</v>
      </c>
    </row>
    <row r="406" spans="1:14" x14ac:dyDescent="0.2">
      <c r="A406">
        <v>405</v>
      </c>
      <c r="B406">
        <f>LARGE(data!G:G,A406)</f>
        <v>0.31759798789999999</v>
      </c>
      <c r="C406">
        <f>COUNTIFS(data!E:E,data!$I$2,data!G:G,"&gt;="&amp;B406)</f>
        <v>211</v>
      </c>
      <c r="D406">
        <f>COUNTIFS(data!E:E,data!$J$2,data!G:G,"&gt;="&amp;B406)</f>
        <v>194</v>
      </c>
      <c r="E406">
        <f>COUNTIFS(data!E:E,data!$J$2,data!G:G,"&lt;"&amp;B406)</f>
        <v>168</v>
      </c>
      <c r="F406">
        <f>COUNTIFS(data!E:E,data!$I$2,data!G:G,"&lt;"&amp;B406)</f>
        <v>55</v>
      </c>
      <c r="G406">
        <f t="shared" si="40"/>
        <v>0.53591160220994472</v>
      </c>
      <c r="H406">
        <f t="shared" si="41"/>
        <v>0.79323308270676696</v>
      </c>
      <c r="I406">
        <f t="shared" si="42"/>
        <v>0</v>
      </c>
      <c r="J406">
        <f t="shared" si="43"/>
        <v>0.5209876543209877</v>
      </c>
      <c r="K406">
        <f t="shared" si="44"/>
        <v>0.62891207153502249</v>
      </c>
      <c r="L406">
        <f>A406*COUNTIF(data!E:E,$J$2)/data!$M$2</f>
        <v>171.54458598726114</v>
      </c>
      <c r="M406" s="1">
        <f>A406/data!$M$2</f>
        <v>0.64490445859872614</v>
      </c>
      <c r="N406">
        <f t="shared" si="45"/>
        <v>1.2300009282465423</v>
      </c>
    </row>
    <row r="407" spans="1:14" x14ac:dyDescent="0.2">
      <c r="A407">
        <v>406</v>
      </c>
      <c r="B407">
        <f>LARGE(data!G:G,A407)</f>
        <v>0.31751042419999997</v>
      </c>
      <c r="C407">
        <f>COUNTIFS(data!E:E,data!$I$2,data!G:G,"&gt;="&amp;B407)</f>
        <v>211</v>
      </c>
      <c r="D407">
        <f>COUNTIFS(data!E:E,data!$J$2,data!G:G,"&gt;="&amp;B407)</f>
        <v>195</v>
      </c>
      <c r="E407">
        <f>COUNTIFS(data!E:E,data!$J$2,data!G:G,"&lt;"&amp;B407)</f>
        <v>167</v>
      </c>
      <c r="F407">
        <f>COUNTIFS(data!E:E,data!$I$2,data!G:G,"&lt;"&amp;B407)</f>
        <v>55</v>
      </c>
      <c r="G407">
        <f t="shared" si="40"/>
        <v>0.53867403314917128</v>
      </c>
      <c r="H407">
        <f t="shared" si="41"/>
        <v>0.79323308270676696</v>
      </c>
      <c r="I407">
        <f t="shared" si="42"/>
        <v>2.1912516096872399E-3</v>
      </c>
      <c r="J407">
        <f t="shared" si="43"/>
        <v>0.51970443349753692</v>
      </c>
      <c r="K407">
        <f t="shared" si="44"/>
        <v>0.62797619047619047</v>
      </c>
      <c r="L407">
        <f>A407*COUNTIF(data!E:E,$J$2)/data!$M$2</f>
        <v>171.96815286624204</v>
      </c>
      <c r="M407" s="1">
        <f>A407/data!$M$2</f>
        <v>0.64649681528662417</v>
      </c>
      <c r="N407">
        <f t="shared" si="45"/>
        <v>1.2269713693099744</v>
      </c>
    </row>
    <row r="408" spans="1:14" x14ac:dyDescent="0.2">
      <c r="A408">
        <v>407</v>
      </c>
      <c r="B408">
        <f>LARGE(data!G:G,A408)</f>
        <v>0.31523209889999998</v>
      </c>
      <c r="C408">
        <f>COUNTIFS(data!E:E,data!$I$2,data!G:G,"&gt;="&amp;B408)</f>
        <v>211</v>
      </c>
      <c r="D408">
        <f>COUNTIFS(data!E:E,data!$J$2,data!G:G,"&gt;="&amp;B408)</f>
        <v>196</v>
      </c>
      <c r="E408">
        <f>COUNTIFS(data!E:E,data!$J$2,data!G:G,"&lt;"&amp;B408)</f>
        <v>166</v>
      </c>
      <c r="F408">
        <f>COUNTIFS(data!E:E,data!$I$2,data!G:G,"&lt;"&amp;B408)</f>
        <v>55</v>
      </c>
      <c r="G408">
        <f t="shared" si="40"/>
        <v>0.54143646408839774</v>
      </c>
      <c r="H408">
        <f t="shared" si="41"/>
        <v>0.79323308270676696</v>
      </c>
      <c r="I408">
        <f t="shared" si="42"/>
        <v>2.1912516096871519E-3</v>
      </c>
      <c r="J408">
        <f t="shared" si="43"/>
        <v>0.51842751842751844</v>
      </c>
      <c r="K408">
        <f t="shared" si="44"/>
        <v>0.62704309063893027</v>
      </c>
      <c r="L408">
        <f>A408*COUNTIF(data!E:E,$J$2)/data!$M$2</f>
        <v>172.39171974522293</v>
      </c>
      <c r="M408" s="1">
        <f>A408/data!$M$2</f>
        <v>0.64808917197452232</v>
      </c>
      <c r="N408">
        <f t="shared" si="45"/>
        <v>1.2239566976409082</v>
      </c>
    </row>
    <row r="409" spans="1:14" x14ac:dyDescent="0.2">
      <c r="A409">
        <v>408</v>
      </c>
      <c r="B409">
        <f>LARGE(data!G:G,A409)</f>
        <v>0.31346335419999999</v>
      </c>
      <c r="C409">
        <f>COUNTIFS(data!E:E,data!$I$2,data!G:G,"&gt;="&amp;B409)</f>
        <v>211</v>
      </c>
      <c r="D409">
        <f>COUNTIFS(data!E:E,data!$J$2,data!G:G,"&gt;="&amp;B409)</f>
        <v>197</v>
      </c>
      <c r="E409">
        <f>COUNTIFS(data!E:E,data!$J$2,data!G:G,"&lt;"&amp;B409)</f>
        <v>165</v>
      </c>
      <c r="F409">
        <f>COUNTIFS(data!E:E,data!$I$2,data!G:G,"&lt;"&amp;B409)</f>
        <v>55</v>
      </c>
      <c r="G409">
        <f t="shared" si="40"/>
        <v>0.54419889502762431</v>
      </c>
      <c r="H409">
        <f t="shared" si="41"/>
        <v>0.79323308270676696</v>
      </c>
      <c r="I409">
        <f t="shared" si="42"/>
        <v>2.1912516096872399E-3</v>
      </c>
      <c r="J409">
        <f t="shared" si="43"/>
        <v>0.51715686274509809</v>
      </c>
      <c r="K409">
        <f t="shared" si="44"/>
        <v>0.62611275964391699</v>
      </c>
      <c r="L409">
        <f>A409*COUNTIF(data!E:E,$J$2)/data!$M$2</f>
        <v>172.81528662420382</v>
      </c>
      <c r="M409" s="1">
        <f>A409/data!$M$2</f>
        <v>0.64968152866242035</v>
      </c>
      <c r="N409">
        <f t="shared" si="45"/>
        <v>1.2209568037741412</v>
      </c>
    </row>
    <row r="410" spans="1:14" x14ac:dyDescent="0.2">
      <c r="A410">
        <v>409</v>
      </c>
      <c r="B410">
        <f>LARGE(data!G:G,A410)</f>
        <v>0.31228839759999999</v>
      </c>
      <c r="C410">
        <f>COUNTIFS(data!E:E,data!$I$2,data!G:G,"&gt;="&amp;B410)</f>
        <v>211</v>
      </c>
      <c r="D410">
        <f>COUNTIFS(data!E:E,data!$J$2,data!G:G,"&gt;="&amp;B410)</f>
        <v>198</v>
      </c>
      <c r="E410">
        <f>COUNTIFS(data!E:E,data!$J$2,data!G:G,"&lt;"&amp;B410)</f>
        <v>164</v>
      </c>
      <c r="F410">
        <f>COUNTIFS(data!E:E,data!$I$2,data!G:G,"&lt;"&amp;B410)</f>
        <v>55</v>
      </c>
      <c r="G410">
        <f t="shared" si="40"/>
        <v>0.54696132596685088</v>
      </c>
      <c r="H410">
        <f t="shared" si="41"/>
        <v>0.79323308270676696</v>
      </c>
      <c r="I410">
        <f t="shared" si="42"/>
        <v>2.1912516096872399E-3</v>
      </c>
      <c r="J410">
        <f t="shared" si="43"/>
        <v>0.5158924205378973</v>
      </c>
      <c r="K410">
        <f t="shared" si="44"/>
        <v>0.62518518518518518</v>
      </c>
      <c r="L410">
        <f>A410*COUNTIF(data!E:E,$J$2)/data!$M$2</f>
        <v>173.23885350318471</v>
      </c>
      <c r="M410" s="1">
        <f>A410/data!$M$2</f>
        <v>0.65127388535031849</v>
      </c>
      <c r="N410">
        <f t="shared" si="45"/>
        <v>1.2179715793150359</v>
      </c>
    </row>
    <row r="411" spans="1:14" x14ac:dyDescent="0.2">
      <c r="A411">
        <v>410</v>
      </c>
      <c r="B411">
        <f>LARGE(data!G:G,A411)</f>
        <v>0.31140516699999998</v>
      </c>
      <c r="C411">
        <f>COUNTIFS(data!E:E,data!$I$2,data!G:G,"&gt;="&amp;B411)</f>
        <v>211</v>
      </c>
      <c r="D411">
        <f>COUNTIFS(data!E:E,data!$J$2,data!G:G,"&gt;="&amp;B411)</f>
        <v>199</v>
      </c>
      <c r="E411">
        <f>COUNTIFS(data!E:E,data!$J$2,data!G:G,"&lt;"&amp;B411)</f>
        <v>163</v>
      </c>
      <c r="F411">
        <f>COUNTIFS(data!E:E,data!$I$2,data!G:G,"&lt;"&amp;B411)</f>
        <v>55</v>
      </c>
      <c r="G411">
        <f t="shared" si="40"/>
        <v>0.54972375690607733</v>
      </c>
      <c r="H411">
        <f t="shared" si="41"/>
        <v>0.79323308270676696</v>
      </c>
      <c r="I411">
        <f t="shared" si="42"/>
        <v>2.1912516096871519E-3</v>
      </c>
      <c r="J411">
        <f t="shared" si="43"/>
        <v>0.51463414634146343</v>
      </c>
      <c r="K411">
        <f t="shared" si="44"/>
        <v>0.62426035502958577</v>
      </c>
      <c r="L411">
        <f>A411*COUNTIF(data!E:E,$J$2)/data!$M$2</f>
        <v>173.66242038216561</v>
      </c>
      <c r="M411" s="1">
        <f>A411/data!$M$2</f>
        <v>0.65286624203821653</v>
      </c>
      <c r="N411">
        <f t="shared" si="45"/>
        <v>1.2150009169264624</v>
      </c>
    </row>
    <row r="412" spans="1:14" x14ac:dyDescent="0.2">
      <c r="A412">
        <v>411</v>
      </c>
      <c r="B412">
        <f>LARGE(data!G:G,A412)</f>
        <v>0.30936782439999999</v>
      </c>
      <c r="C412">
        <f>COUNTIFS(data!E:E,data!$I$2,data!G:G,"&gt;="&amp;B412)</f>
        <v>212</v>
      </c>
      <c r="D412">
        <f>COUNTIFS(data!E:E,data!$J$2,data!G:G,"&gt;="&amp;B412)</f>
        <v>199</v>
      </c>
      <c r="E412">
        <f>COUNTIFS(data!E:E,data!$J$2,data!G:G,"&lt;"&amp;B412)</f>
        <v>163</v>
      </c>
      <c r="F412">
        <f>COUNTIFS(data!E:E,data!$I$2,data!G:G,"&lt;"&amp;B412)</f>
        <v>54</v>
      </c>
      <c r="G412">
        <f t="shared" si="40"/>
        <v>0.54972375690607733</v>
      </c>
      <c r="H412">
        <f t="shared" si="41"/>
        <v>0.79699248120300747</v>
      </c>
      <c r="I412">
        <f t="shared" si="42"/>
        <v>0</v>
      </c>
      <c r="J412">
        <f t="shared" si="43"/>
        <v>0.51581508515815089</v>
      </c>
      <c r="K412">
        <f t="shared" si="44"/>
        <v>0.62629246676514039</v>
      </c>
      <c r="L412">
        <f>A412*COUNTIF(data!E:E,$J$2)/data!$M$2</f>
        <v>174.0859872611465</v>
      </c>
      <c r="M412" s="1">
        <f>A412/data!$M$2</f>
        <v>0.65445859872611467</v>
      </c>
      <c r="N412">
        <f t="shared" si="45"/>
        <v>1.2177889980425516</v>
      </c>
    </row>
    <row r="413" spans="1:14" x14ac:dyDescent="0.2">
      <c r="A413">
        <v>412</v>
      </c>
      <c r="B413">
        <f>LARGE(data!G:G,A413)</f>
        <v>0.30879861619999999</v>
      </c>
      <c r="C413">
        <f>COUNTIFS(data!E:E,data!$I$2,data!G:G,"&gt;="&amp;B413)</f>
        <v>215</v>
      </c>
      <c r="D413">
        <f>COUNTIFS(data!E:E,data!$J$2,data!G:G,"&gt;="&amp;B413)</f>
        <v>199</v>
      </c>
      <c r="E413">
        <f>COUNTIFS(data!E:E,data!$J$2,data!G:G,"&lt;"&amp;B413)</f>
        <v>163</v>
      </c>
      <c r="F413">
        <f>COUNTIFS(data!E:E,data!$I$2,data!G:G,"&lt;"&amp;B413)</f>
        <v>51</v>
      </c>
      <c r="G413">
        <f t="shared" si="40"/>
        <v>0.54972375690607733</v>
      </c>
      <c r="H413">
        <f t="shared" si="41"/>
        <v>0.80827067669172936</v>
      </c>
      <c r="I413">
        <f t="shared" si="42"/>
        <v>0</v>
      </c>
      <c r="J413">
        <f t="shared" si="43"/>
        <v>0.51932367149758452</v>
      </c>
      <c r="K413">
        <f t="shared" si="44"/>
        <v>0.63235294117647056</v>
      </c>
      <c r="L413">
        <f>A413*COUNTIF(data!E:E,$J$2)/data!$M$2</f>
        <v>174.50955414012739</v>
      </c>
      <c r="M413" s="1">
        <f>A413/data!$M$2</f>
        <v>0.6560509554140127</v>
      </c>
      <c r="N413">
        <f t="shared" si="45"/>
        <v>1.2320242353456456</v>
      </c>
    </row>
    <row r="414" spans="1:14" x14ac:dyDescent="0.2">
      <c r="A414">
        <v>413</v>
      </c>
      <c r="B414">
        <f>LARGE(data!G:G,A414)</f>
        <v>0.30879861619999999</v>
      </c>
      <c r="C414">
        <f>COUNTIFS(data!E:E,data!$I$2,data!G:G,"&gt;="&amp;B414)</f>
        <v>215</v>
      </c>
      <c r="D414">
        <f>COUNTIFS(data!E:E,data!$J$2,data!G:G,"&gt;="&amp;B414)</f>
        <v>199</v>
      </c>
      <c r="E414">
        <f>COUNTIFS(data!E:E,data!$J$2,data!G:G,"&lt;"&amp;B414)</f>
        <v>163</v>
      </c>
      <c r="F414">
        <f>COUNTIFS(data!E:E,data!$I$2,data!G:G,"&lt;"&amp;B414)</f>
        <v>51</v>
      </c>
      <c r="G414">
        <f t="shared" si="40"/>
        <v>0.54972375690607733</v>
      </c>
      <c r="H414">
        <f t="shared" si="41"/>
        <v>0.80827067669172936</v>
      </c>
      <c r="I414">
        <f t="shared" si="42"/>
        <v>0</v>
      </c>
      <c r="J414">
        <f t="shared" si="43"/>
        <v>0.51932367149758452</v>
      </c>
      <c r="K414">
        <f t="shared" si="44"/>
        <v>0.63235294117647056</v>
      </c>
      <c r="L414">
        <f>A414*COUNTIF(data!E:E,$J$2)/data!$M$2</f>
        <v>174.93312101910828</v>
      </c>
      <c r="M414" s="1">
        <f>A414/data!$M$2</f>
        <v>0.65764331210191085</v>
      </c>
      <c r="N414">
        <f t="shared" si="45"/>
        <v>1.2290411258169638</v>
      </c>
    </row>
    <row r="415" spans="1:14" x14ac:dyDescent="0.2">
      <c r="A415">
        <v>414</v>
      </c>
      <c r="B415">
        <f>LARGE(data!G:G,A415)</f>
        <v>0.30879861619999999</v>
      </c>
      <c r="C415">
        <f>COUNTIFS(data!E:E,data!$I$2,data!G:G,"&gt;="&amp;B415)</f>
        <v>215</v>
      </c>
      <c r="D415">
        <f>COUNTIFS(data!E:E,data!$J$2,data!G:G,"&gt;="&amp;B415)</f>
        <v>199</v>
      </c>
      <c r="E415">
        <f>COUNTIFS(data!E:E,data!$J$2,data!G:G,"&lt;"&amp;B415)</f>
        <v>163</v>
      </c>
      <c r="F415">
        <f>COUNTIFS(data!E:E,data!$I$2,data!G:G,"&lt;"&amp;B415)</f>
        <v>51</v>
      </c>
      <c r="G415">
        <f t="shared" si="40"/>
        <v>0.54972375690607733</v>
      </c>
      <c r="H415">
        <f t="shared" si="41"/>
        <v>0.80827067669172936</v>
      </c>
      <c r="I415">
        <f t="shared" si="42"/>
        <v>0</v>
      </c>
      <c r="J415">
        <f t="shared" si="43"/>
        <v>0.51932367149758452</v>
      </c>
      <c r="K415">
        <f t="shared" si="44"/>
        <v>0.63235294117647056</v>
      </c>
      <c r="L415">
        <f>A415*COUNTIF(data!E:E,$J$2)/data!$M$2</f>
        <v>175.35668789808918</v>
      </c>
      <c r="M415" s="1">
        <f>A415/data!$M$2</f>
        <v>0.65923566878980888</v>
      </c>
      <c r="N415">
        <f t="shared" si="45"/>
        <v>1.2260724274454251</v>
      </c>
    </row>
    <row r="416" spans="1:14" x14ac:dyDescent="0.2">
      <c r="A416">
        <v>415</v>
      </c>
      <c r="B416">
        <f>LARGE(data!G:G,A416)</f>
        <v>0.30864321220000002</v>
      </c>
      <c r="C416">
        <f>COUNTIFS(data!E:E,data!$I$2,data!G:G,"&gt;="&amp;B416)</f>
        <v>215</v>
      </c>
      <c r="D416">
        <f>COUNTIFS(data!E:E,data!$J$2,data!G:G,"&gt;="&amp;B416)</f>
        <v>200</v>
      </c>
      <c r="E416">
        <f>COUNTIFS(data!E:E,data!$J$2,data!G:G,"&lt;"&amp;B416)</f>
        <v>162</v>
      </c>
      <c r="F416">
        <f>COUNTIFS(data!E:E,data!$I$2,data!G:G,"&lt;"&amp;B416)</f>
        <v>51</v>
      </c>
      <c r="G416">
        <f t="shared" si="40"/>
        <v>0.5524861878453039</v>
      </c>
      <c r="H416">
        <f t="shared" si="41"/>
        <v>0.80827067669172936</v>
      </c>
      <c r="I416">
        <f t="shared" si="42"/>
        <v>2.2327919245628274E-3</v>
      </c>
      <c r="J416">
        <f t="shared" si="43"/>
        <v>0.51807228915662651</v>
      </c>
      <c r="K416">
        <f t="shared" si="44"/>
        <v>0.63142437591776801</v>
      </c>
      <c r="L416">
        <f>A416*COUNTIF(data!E:E,$J$2)/data!$M$2</f>
        <v>175.78025477707007</v>
      </c>
      <c r="M416" s="1">
        <f>A416/data!$M$2</f>
        <v>0.66082802547770703</v>
      </c>
      <c r="N416">
        <f t="shared" si="45"/>
        <v>1.2231180360539904</v>
      </c>
    </row>
    <row r="417" spans="1:14" x14ac:dyDescent="0.2">
      <c r="A417">
        <v>416</v>
      </c>
      <c r="B417">
        <f>LARGE(data!G:G,A417)</f>
        <v>0.3068564204</v>
      </c>
      <c r="C417">
        <f>COUNTIFS(data!E:E,data!$I$2,data!G:G,"&gt;="&amp;B417)</f>
        <v>216</v>
      </c>
      <c r="D417">
        <f>COUNTIFS(data!E:E,data!$J$2,data!G:G,"&gt;="&amp;B417)</f>
        <v>200</v>
      </c>
      <c r="E417">
        <f>COUNTIFS(data!E:E,data!$J$2,data!G:G,"&lt;"&amp;B417)</f>
        <v>162</v>
      </c>
      <c r="F417">
        <f>COUNTIFS(data!E:E,data!$I$2,data!G:G,"&lt;"&amp;B417)</f>
        <v>50</v>
      </c>
      <c r="G417">
        <f t="shared" si="40"/>
        <v>0.5524861878453039</v>
      </c>
      <c r="H417">
        <f t="shared" si="41"/>
        <v>0.81203007518796988</v>
      </c>
      <c r="I417">
        <f t="shared" si="42"/>
        <v>0</v>
      </c>
      <c r="J417">
        <f t="shared" si="43"/>
        <v>0.51923076923076927</v>
      </c>
      <c r="K417">
        <f t="shared" si="44"/>
        <v>0.63343108504398826</v>
      </c>
      <c r="L417">
        <f>A417*COUNTIF(data!E:E,$J$2)/data!$M$2</f>
        <v>176.20382165605096</v>
      </c>
      <c r="M417" s="1">
        <f>A417/data!$M$2</f>
        <v>0.66242038216560506</v>
      </c>
      <c r="N417">
        <f t="shared" si="45"/>
        <v>1.2258530942741468</v>
      </c>
    </row>
    <row r="418" spans="1:14" x14ac:dyDescent="0.2">
      <c r="A418">
        <v>417</v>
      </c>
      <c r="B418">
        <f>LARGE(data!G:G,A418)</f>
        <v>0.30427971679999999</v>
      </c>
      <c r="C418">
        <f>COUNTIFS(data!E:E,data!$I$2,data!G:G,"&gt;="&amp;B418)</f>
        <v>216</v>
      </c>
      <c r="D418">
        <f>COUNTIFS(data!E:E,data!$J$2,data!G:G,"&gt;="&amp;B418)</f>
        <v>201</v>
      </c>
      <c r="E418">
        <f>COUNTIFS(data!E:E,data!$J$2,data!G:G,"&lt;"&amp;B418)</f>
        <v>161</v>
      </c>
      <c r="F418">
        <f>COUNTIFS(data!E:E,data!$I$2,data!G:G,"&lt;"&amp;B418)</f>
        <v>50</v>
      </c>
      <c r="G418">
        <f t="shared" si="40"/>
        <v>0.55524861878453036</v>
      </c>
      <c r="H418">
        <f t="shared" si="41"/>
        <v>0.81203007518796988</v>
      </c>
      <c r="I418">
        <f t="shared" si="42"/>
        <v>2.2431770032816339E-3</v>
      </c>
      <c r="J418">
        <f t="shared" si="43"/>
        <v>0.51798561151079137</v>
      </c>
      <c r="K418">
        <f t="shared" si="44"/>
        <v>0.63250366032210825</v>
      </c>
      <c r="L418">
        <f>A418*COUNTIF(data!E:E,$J$2)/data!$M$2</f>
        <v>176.62738853503186</v>
      </c>
      <c r="M418" s="1">
        <f>A418/data!$M$2</f>
        <v>0.6640127388535032</v>
      </c>
      <c r="N418">
        <f t="shared" si="45"/>
        <v>1.2229133986044247</v>
      </c>
    </row>
    <row r="419" spans="1:14" x14ac:dyDescent="0.2">
      <c r="A419">
        <v>418</v>
      </c>
      <c r="B419">
        <f>LARGE(data!G:G,A419)</f>
        <v>0.30344967160000003</v>
      </c>
      <c r="C419">
        <f>COUNTIFS(data!E:E,data!$I$2,data!G:G,"&gt;="&amp;B419)</f>
        <v>216</v>
      </c>
      <c r="D419">
        <f>COUNTIFS(data!E:E,data!$J$2,data!G:G,"&gt;="&amp;B419)</f>
        <v>202</v>
      </c>
      <c r="E419">
        <f>COUNTIFS(data!E:E,data!$J$2,data!G:G,"&lt;"&amp;B419)</f>
        <v>160</v>
      </c>
      <c r="F419">
        <f>COUNTIFS(data!E:E,data!$I$2,data!G:G,"&lt;"&amp;B419)</f>
        <v>50</v>
      </c>
      <c r="G419">
        <f t="shared" si="40"/>
        <v>0.55801104972375692</v>
      </c>
      <c r="H419">
        <f t="shared" si="41"/>
        <v>0.81203007518796988</v>
      </c>
      <c r="I419">
        <f t="shared" si="42"/>
        <v>2.2431770032817241E-3</v>
      </c>
      <c r="J419">
        <f t="shared" si="43"/>
        <v>0.51674641148325362</v>
      </c>
      <c r="K419">
        <f t="shared" si="44"/>
        <v>0.63157894736842113</v>
      </c>
      <c r="L419">
        <f>A419*COUNTIF(data!E:E,$J$2)/data!$M$2</f>
        <v>177.05095541401275</v>
      </c>
      <c r="M419" s="1">
        <f>A419/data!$M$2</f>
        <v>0.66560509554140124</v>
      </c>
      <c r="N419">
        <f t="shared" si="45"/>
        <v>1.2199877684642226</v>
      </c>
    </row>
    <row r="420" spans="1:14" x14ac:dyDescent="0.2">
      <c r="A420">
        <v>419</v>
      </c>
      <c r="B420">
        <f>LARGE(data!G:G,A420)</f>
        <v>0.3024260674</v>
      </c>
      <c r="C420">
        <f>COUNTIFS(data!E:E,data!$I$2,data!G:G,"&gt;="&amp;B420)</f>
        <v>216</v>
      </c>
      <c r="D420">
        <f>COUNTIFS(data!E:E,data!$J$2,data!G:G,"&gt;="&amp;B420)</f>
        <v>203</v>
      </c>
      <c r="E420">
        <f>COUNTIFS(data!E:E,data!$J$2,data!G:G,"&lt;"&amp;B420)</f>
        <v>159</v>
      </c>
      <c r="F420">
        <f>COUNTIFS(data!E:E,data!$I$2,data!G:G,"&lt;"&amp;B420)</f>
        <v>50</v>
      </c>
      <c r="G420">
        <f t="shared" si="40"/>
        <v>0.56077348066298338</v>
      </c>
      <c r="H420">
        <f t="shared" si="41"/>
        <v>0.81203007518796988</v>
      </c>
      <c r="I420">
        <f t="shared" si="42"/>
        <v>2.2431770032816339E-3</v>
      </c>
      <c r="J420">
        <f t="shared" si="43"/>
        <v>0.51551312649164682</v>
      </c>
      <c r="K420">
        <f t="shared" si="44"/>
        <v>0.63065693430656933</v>
      </c>
      <c r="L420">
        <f>A420*COUNTIF(data!E:E,$J$2)/data!$M$2</f>
        <v>177.47452229299364</v>
      </c>
      <c r="M420" s="1">
        <f>A420/data!$M$2</f>
        <v>0.66719745222929938</v>
      </c>
      <c r="N420">
        <f t="shared" si="45"/>
        <v>1.2170761031456923</v>
      </c>
    </row>
    <row r="421" spans="1:14" x14ac:dyDescent="0.2">
      <c r="A421">
        <v>420</v>
      </c>
      <c r="B421">
        <f>LARGE(data!G:G,A421)</f>
        <v>0.30238412710000001</v>
      </c>
      <c r="C421">
        <f>COUNTIFS(data!E:E,data!$I$2,data!G:G,"&gt;="&amp;B421)</f>
        <v>216</v>
      </c>
      <c r="D421">
        <f>COUNTIFS(data!E:E,data!$J$2,data!G:G,"&gt;="&amp;B421)</f>
        <v>204</v>
      </c>
      <c r="E421">
        <f>COUNTIFS(data!E:E,data!$J$2,data!G:G,"&lt;"&amp;B421)</f>
        <v>158</v>
      </c>
      <c r="F421">
        <f>COUNTIFS(data!E:E,data!$I$2,data!G:G,"&lt;"&amp;B421)</f>
        <v>50</v>
      </c>
      <c r="G421">
        <f t="shared" si="40"/>
        <v>0.56353591160220995</v>
      </c>
      <c r="H421">
        <f t="shared" si="41"/>
        <v>0.81203007518796988</v>
      </c>
      <c r="I421">
        <f t="shared" si="42"/>
        <v>2.2431770032817241E-3</v>
      </c>
      <c r="J421">
        <f t="shared" si="43"/>
        <v>0.51428571428571423</v>
      </c>
      <c r="K421">
        <f t="shared" si="44"/>
        <v>0.629737609329446</v>
      </c>
      <c r="L421">
        <f>A421*COUNTIF(data!E:E,$J$2)/data!$M$2</f>
        <v>177.89808917197453</v>
      </c>
      <c r="M421" s="1">
        <f>A421/data!$M$2</f>
        <v>0.66878980891719741</v>
      </c>
      <c r="N421">
        <f t="shared" si="45"/>
        <v>1.2141783029001074</v>
      </c>
    </row>
    <row r="422" spans="1:14" x14ac:dyDescent="0.2">
      <c r="A422">
        <v>421</v>
      </c>
      <c r="B422">
        <f>LARGE(data!G:G,A422)</f>
        <v>0.30119376609999998</v>
      </c>
      <c r="C422">
        <f>COUNTIFS(data!E:E,data!$I$2,data!G:G,"&gt;="&amp;B422)</f>
        <v>216</v>
      </c>
      <c r="D422">
        <f>COUNTIFS(data!E:E,data!$J$2,data!G:G,"&gt;="&amp;B422)</f>
        <v>205</v>
      </c>
      <c r="E422">
        <f>COUNTIFS(data!E:E,data!$J$2,data!G:G,"&lt;"&amp;B422)</f>
        <v>157</v>
      </c>
      <c r="F422">
        <f>COUNTIFS(data!E:E,data!$I$2,data!G:G,"&lt;"&amp;B422)</f>
        <v>50</v>
      </c>
      <c r="G422">
        <f t="shared" si="40"/>
        <v>0.56629834254143652</v>
      </c>
      <c r="H422">
        <f t="shared" si="41"/>
        <v>0.81203007518796988</v>
      </c>
      <c r="I422">
        <f t="shared" si="42"/>
        <v>2.2431770032817241E-3</v>
      </c>
      <c r="J422">
        <f t="shared" si="43"/>
        <v>0.51306413301662712</v>
      </c>
      <c r="K422">
        <f t="shared" si="44"/>
        <v>0.62882096069868987</v>
      </c>
      <c r="L422">
        <f>A422*COUNTIF(data!E:E,$J$2)/data!$M$2</f>
        <v>178.32165605095543</v>
      </c>
      <c r="M422" s="1">
        <f>A422/data!$M$2</f>
        <v>0.67038216560509556</v>
      </c>
      <c r="N422">
        <f t="shared" si="45"/>
        <v>1.211294268926473</v>
      </c>
    </row>
    <row r="423" spans="1:14" x14ac:dyDescent="0.2">
      <c r="A423">
        <v>422</v>
      </c>
      <c r="B423">
        <f>LARGE(data!G:G,A423)</f>
        <v>0.2972829125</v>
      </c>
      <c r="C423">
        <f>COUNTIFS(data!E:E,data!$I$2,data!G:G,"&gt;="&amp;B423)</f>
        <v>217</v>
      </c>
      <c r="D423">
        <f>COUNTIFS(data!E:E,data!$J$2,data!G:G,"&gt;="&amp;B423)</f>
        <v>205</v>
      </c>
      <c r="E423">
        <f>COUNTIFS(data!E:E,data!$J$2,data!G:G,"&lt;"&amp;B423)</f>
        <v>157</v>
      </c>
      <c r="F423">
        <f>COUNTIFS(data!E:E,data!$I$2,data!G:G,"&lt;"&amp;B423)</f>
        <v>49</v>
      </c>
      <c r="G423">
        <f t="shared" si="40"/>
        <v>0.56629834254143652</v>
      </c>
      <c r="H423">
        <f t="shared" si="41"/>
        <v>0.81578947368421051</v>
      </c>
      <c r="I423">
        <f t="shared" si="42"/>
        <v>0</v>
      </c>
      <c r="J423">
        <f t="shared" si="43"/>
        <v>0.51421800947867302</v>
      </c>
      <c r="K423">
        <f t="shared" si="44"/>
        <v>0.6308139534883721</v>
      </c>
      <c r="L423">
        <f>A423*COUNTIF(data!E:E,$J$2)/data!$M$2</f>
        <v>178.74522292993632</v>
      </c>
      <c r="M423" s="1">
        <f>A423/data!$M$2</f>
        <v>0.67197452229299359</v>
      </c>
      <c r="N423">
        <f t="shared" si="45"/>
        <v>1.2140184584684459</v>
      </c>
    </row>
    <row r="424" spans="1:14" x14ac:dyDescent="0.2">
      <c r="A424">
        <v>423</v>
      </c>
      <c r="B424">
        <f>LARGE(data!G:G,A424)</f>
        <v>0.29704779419999999</v>
      </c>
      <c r="C424">
        <f>COUNTIFS(data!E:E,data!$I$2,data!G:G,"&gt;="&amp;B424)</f>
        <v>217</v>
      </c>
      <c r="D424">
        <f>COUNTIFS(data!E:E,data!$J$2,data!G:G,"&gt;="&amp;B424)</f>
        <v>206</v>
      </c>
      <c r="E424">
        <f>COUNTIFS(data!E:E,data!$J$2,data!G:G,"&lt;"&amp;B424)</f>
        <v>156</v>
      </c>
      <c r="F424">
        <f>COUNTIFS(data!E:E,data!$I$2,data!G:G,"&lt;"&amp;B424)</f>
        <v>49</v>
      </c>
      <c r="G424">
        <f t="shared" si="40"/>
        <v>0.56906077348066297</v>
      </c>
      <c r="H424">
        <f t="shared" si="41"/>
        <v>0.81578947368421051</v>
      </c>
      <c r="I424">
        <f t="shared" si="42"/>
        <v>2.2535620820005307E-3</v>
      </c>
      <c r="J424">
        <f t="shared" si="43"/>
        <v>0.51300236406619382</v>
      </c>
      <c r="K424">
        <f t="shared" si="44"/>
        <v>0.62989840348330906</v>
      </c>
      <c r="L424">
        <f>A424*COUNTIF(data!E:E,$J$2)/data!$M$2</f>
        <v>179.16878980891721</v>
      </c>
      <c r="M424" s="1">
        <f>A424/data!$M$2</f>
        <v>0.67356687898089174</v>
      </c>
      <c r="N424">
        <f t="shared" si="45"/>
        <v>1.2111484384720665</v>
      </c>
    </row>
    <row r="425" spans="1:14" x14ac:dyDescent="0.2">
      <c r="A425">
        <v>424</v>
      </c>
      <c r="B425">
        <f>LARGE(data!G:G,A425)</f>
        <v>0.29206903899999997</v>
      </c>
      <c r="C425">
        <f>COUNTIFS(data!E:E,data!$I$2,data!G:G,"&gt;="&amp;B425)</f>
        <v>217</v>
      </c>
      <c r="D425">
        <f>COUNTIFS(data!E:E,data!$J$2,data!G:G,"&gt;="&amp;B425)</f>
        <v>207</v>
      </c>
      <c r="E425">
        <f>COUNTIFS(data!E:E,data!$J$2,data!G:G,"&lt;"&amp;B425)</f>
        <v>155</v>
      </c>
      <c r="F425">
        <f>COUNTIFS(data!E:E,data!$I$2,data!G:G,"&lt;"&amp;B425)</f>
        <v>49</v>
      </c>
      <c r="G425">
        <f t="shared" si="40"/>
        <v>0.57182320441988954</v>
      </c>
      <c r="H425">
        <f t="shared" si="41"/>
        <v>0.81578947368421051</v>
      </c>
      <c r="I425">
        <f t="shared" si="42"/>
        <v>2.2535620820006209E-3</v>
      </c>
      <c r="J425">
        <f t="shared" si="43"/>
        <v>0.5117924528301887</v>
      </c>
      <c r="K425">
        <f t="shared" si="44"/>
        <v>0.6289855072463767</v>
      </c>
      <c r="L425">
        <f>A425*COUNTIF(data!E:E,$J$2)/data!$M$2</f>
        <v>179.59235668789808</v>
      </c>
      <c r="M425" s="1">
        <f>A425/data!$M$2</f>
        <v>0.67515923566878977</v>
      </c>
      <c r="N425">
        <f t="shared" si="45"/>
        <v>1.2082919563058592</v>
      </c>
    </row>
    <row r="426" spans="1:14" x14ac:dyDescent="0.2">
      <c r="A426">
        <v>425</v>
      </c>
      <c r="B426">
        <f>LARGE(data!G:G,A426)</f>
        <v>0.29196068590000002</v>
      </c>
      <c r="C426">
        <f>COUNTIFS(data!E:E,data!$I$2,data!G:G,"&gt;="&amp;B426)</f>
        <v>218</v>
      </c>
      <c r="D426">
        <f>COUNTIFS(data!E:E,data!$J$2,data!G:G,"&gt;="&amp;B426)</f>
        <v>207</v>
      </c>
      <c r="E426">
        <f>COUNTIFS(data!E:E,data!$J$2,data!G:G,"&lt;"&amp;B426)</f>
        <v>155</v>
      </c>
      <c r="F426">
        <f>COUNTIFS(data!E:E,data!$I$2,data!G:G,"&lt;"&amp;B426)</f>
        <v>48</v>
      </c>
      <c r="G426">
        <f t="shared" si="40"/>
        <v>0.57182320441988954</v>
      </c>
      <c r="H426">
        <f t="shared" si="41"/>
        <v>0.81954887218045114</v>
      </c>
      <c r="I426">
        <f t="shared" si="42"/>
        <v>0</v>
      </c>
      <c r="J426">
        <f t="shared" si="43"/>
        <v>0.51294117647058823</v>
      </c>
      <c r="K426">
        <f t="shared" si="44"/>
        <v>0.63096960926193923</v>
      </c>
      <c r="L426">
        <f>A426*COUNTIF(data!E:E,$J$2)/data!$M$2</f>
        <v>180.01592356687897</v>
      </c>
      <c r="M426" s="1">
        <f>A426/data!$M$2</f>
        <v>0.67675159235668791</v>
      </c>
      <c r="N426">
        <f t="shared" si="45"/>
        <v>1.2110039805395842</v>
      </c>
    </row>
    <row r="427" spans="1:14" x14ac:dyDescent="0.2">
      <c r="A427">
        <v>426</v>
      </c>
      <c r="B427">
        <f>LARGE(data!G:G,A427)</f>
        <v>0.29164386329999997</v>
      </c>
      <c r="C427">
        <f>COUNTIFS(data!E:E,data!$I$2,data!G:G,"&gt;="&amp;B427)</f>
        <v>218</v>
      </c>
      <c r="D427">
        <f>COUNTIFS(data!E:E,data!$J$2,data!G:G,"&gt;="&amp;B427)</f>
        <v>208</v>
      </c>
      <c r="E427">
        <f>COUNTIFS(data!E:E,data!$J$2,data!G:G,"&lt;"&amp;B427)</f>
        <v>154</v>
      </c>
      <c r="F427">
        <f>COUNTIFS(data!E:E,data!$I$2,data!G:G,"&lt;"&amp;B427)</f>
        <v>48</v>
      </c>
      <c r="G427">
        <f t="shared" si="40"/>
        <v>0.574585635359116</v>
      </c>
      <c r="H427">
        <f t="shared" si="41"/>
        <v>0.81954887218045114</v>
      </c>
      <c r="I427">
        <f t="shared" si="42"/>
        <v>2.263947160719427E-3</v>
      </c>
      <c r="J427">
        <f t="shared" si="43"/>
        <v>0.51173708920187788</v>
      </c>
      <c r="K427">
        <f t="shared" si="44"/>
        <v>0.63005780346820806</v>
      </c>
      <c r="L427">
        <f>A427*COUNTIF(data!E:E,$J$2)/data!$M$2</f>
        <v>180.43949044585986</v>
      </c>
      <c r="M427" s="1">
        <f>A427/data!$M$2</f>
        <v>0.67834394904458595</v>
      </c>
      <c r="N427">
        <f t="shared" si="45"/>
        <v>1.2081612481908999</v>
      </c>
    </row>
    <row r="428" spans="1:14" x14ac:dyDescent="0.2">
      <c r="A428">
        <v>427</v>
      </c>
      <c r="B428">
        <f>LARGE(data!G:G,A428)</f>
        <v>0.28988367809999999</v>
      </c>
      <c r="C428">
        <f>COUNTIFS(data!E:E,data!$I$2,data!G:G,"&gt;="&amp;B428)</f>
        <v>218</v>
      </c>
      <c r="D428">
        <f>COUNTIFS(data!E:E,data!$J$2,data!G:G,"&gt;="&amp;B428)</f>
        <v>209</v>
      </c>
      <c r="E428">
        <f>COUNTIFS(data!E:E,data!$J$2,data!G:G,"&lt;"&amp;B428)</f>
        <v>153</v>
      </c>
      <c r="F428">
        <f>COUNTIFS(data!E:E,data!$I$2,data!G:G,"&lt;"&amp;B428)</f>
        <v>48</v>
      </c>
      <c r="G428">
        <f t="shared" si="40"/>
        <v>0.57734806629834257</v>
      </c>
      <c r="H428">
        <f t="shared" si="41"/>
        <v>0.81954887218045114</v>
      </c>
      <c r="I428">
        <f t="shared" si="42"/>
        <v>2.2639471607195181E-3</v>
      </c>
      <c r="J428">
        <f t="shared" si="43"/>
        <v>0.51053864168618268</v>
      </c>
      <c r="K428">
        <f t="shared" si="44"/>
        <v>0.62914862914862912</v>
      </c>
      <c r="L428">
        <f>A428*COUNTIF(data!E:E,$J$2)/data!$M$2</f>
        <v>180.86305732484075</v>
      </c>
      <c r="M428" s="1">
        <f>A428/data!$M$2</f>
        <v>0.67993630573248409</v>
      </c>
      <c r="N428">
        <f t="shared" si="45"/>
        <v>1.2053318307478298</v>
      </c>
    </row>
    <row r="429" spans="1:14" x14ac:dyDescent="0.2">
      <c r="A429">
        <v>428</v>
      </c>
      <c r="B429">
        <f>LARGE(data!G:G,A429)</f>
        <v>0.28774308609999999</v>
      </c>
      <c r="C429">
        <f>COUNTIFS(data!E:E,data!$I$2,data!G:G,"&gt;="&amp;B429)</f>
        <v>219</v>
      </c>
      <c r="D429">
        <f>COUNTIFS(data!E:E,data!$J$2,data!G:G,"&gt;="&amp;B429)</f>
        <v>209</v>
      </c>
      <c r="E429">
        <f>COUNTIFS(data!E:E,data!$J$2,data!G:G,"&lt;"&amp;B429)</f>
        <v>153</v>
      </c>
      <c r="F429">
        <f>COUNTIFS(data!E:E,data!$I$2,data!G:G,"&lt;"&amp;B429)</f>
        <v>47</v>
      </c>
      <c r="G429">
        <f t="shared" si="40"/>
        <v>0.57734806629834257</v>
      </c>
      <c r="H429">
        <f t="shared" si="41"/>
        <v>0.82330827067669177</v>
      </c>
      <c r="I429">
        <f t="shared" si="42"/>
        <v>0</v>
      </c>
      <c r="J429">
        <f t="shared" si="43"/>
        <v>0.51168224299065423</v>
      </c>
      <c r="K429">
        <f t="shared" si="44"/>
        <v>0.63112391930835743</v>
      </c>
      <c r="L429">
        <f>A429*COUNTIF(data!E:E,$J$2)/data!$M$2</f>
        <v>181.28662420382165</v>
      </c>
      <c r="M429" s="1">
        <f>A429/data!$M$2</f>
        <v>0.68152866242038213</v>
      </c>
      <c r="N429">
        <f t="shared" si="45"/>
        <v>1.2080317616471086</v>
      </c>
    </row>
    <row r="430" spans="1:14" x14ac:dyDescent="0.2">
      <c r="A430">
        <v>429</v>
      </c>
      <c r="B430">
        <f>LARGE(data!G:G,A430)</f>
        <v>0.2867151409</v>
      </c>
      <c r="C430">
        <f>COUNTIFS(data!E:E,data!$I$2,data!G:G,"&gt;="&amp;B430)</f>
        <v>219</v>
      </c>
      <c r="D430">
        <f>COUNTIFS(data!E:E,data!$J$2,data!G:G,"&gt;="&amp;B430)</f>
        <v>210</v>
      </c>
      <c r="E430">
        <f>COUNTIFS(data!E:E,data!$J$2,data!G:G,"&lt;"&amp;B430)</f>
        <v>152</v>
      </c>
      <c r="F430">
        <f>COUNTIFS(data!E:E,data!$I$2,data!G:G,"&lt;"&amp;B430)</f>
        <v>47</v>
      </c>
      <c r="G430">
        <f t="shared" si="40"/>
        <v>0.58011049723756902</v>
      </c>
      <c r="H430">
        <f t="shared" si="41"/>
        <v>0.82330827067669177</v>
      </c>
      <c r="I430">
        <f t="shared" si="42"/>
        <v>2.2743322394383233E-3</v>
      </c>
      <c r="J430">
        <f t="shared" si="43"/>
        <v>0.51048951048951052</v>
      </c>
      <c r="K430">
        <f t="shared" si="44"/>
        <v>0.63021582733812953</v>
      </c>
      <c r="L430">
        <f>A430*COUNTIF(data!E:E,$J$2)/data!$M$2</f>
        <v>181.71019108280254</v>
      </c>
      <c r="M430" s="1">
        <f>A430/data!$M$2</f>
        <v>0.68312101910828027</v>
      </c>
      <c r="N430">
        <f t="shared" si="45"/>
        <v>1.2052158367947843</v>
      </c>
    </row>
    <row r="431" spans="1:14" x14ac:dyDescent="0.2">
      <c r="A431">
        <v>430</v>
      </c>
      <c r="B431">
        <f>LARGE(data!G:G,A431)</f>
        <v>0.28473283240000002</v>
      </c>
      <c r="C431">
        <f>COUNTIFS(data!E:E,data!$I$2,data!G:G,"&gt;="&amp;B431)</f>
        <v>219</v>
      </c>
      <c r="D431">
        <f>COUNTIFS(data!E:E,data!$J$2,data!G:G,"&gt;="&amp;B431)</f>
        <v>211</v>
      </c>
      <c r="E431">
        <f>COUNTIFS(data!E:E,data!$J$2,data!G:G,"&lt;"&amp;B431)</f>
        <v>151</v>
      </c>
      <c r="F431">
        <f>COUNTIFS(data!E:E,data!$I$2,data!G:G,"&lt;"&amp;B431)</f>
        <v>47</v>
      </c>
      <c r="G431">
        <f t="shared" si="40"/>
        <v>0.58287292817679559</v>
      </c>
      <c r="H431">
        <f t="shared" si="41"/>
        <v>0.82330827067669177</v>
      </c>
      <c r="I431">
        <f t="shared" si="42"/>
        <v>2.2743322394384148E-3</v>
      </c>
      <c r="J431">
        <f t="shared" si="43"/>
        <v>0.50930232558139532</v>
      </c>
      <c r="K431">
        <f t="shared" si="44"/>
        <v>0.62931034482758608</v>
      </c>
      <c r="L431">
        <f>A431*COUNTIF(data!E:E,$J$2)/data!$M$2</f>
        <v>182.13375796178343</v>
      </c>
      <c r="M431" s="1">
        <f>A431/data!$M$2</f>
        <v>0.6847133757961783</v>
      </c>
      <c r="N431">
        <f t="shared" si="45"/>
        <v>1.2024130092673544</v>
      </c>
    </row>
    <row r="432" spans="1:14" x14ac:dyDescent="0.2">
      <c r="A432">
        <v>431</v>
      </c>
      <c r="B432">
        <f>LARGE(data!G:G,A432)</f>
        <v>0.2834080558</v>
      </c>
      <c r="C432">
        <f>COUNTIFS(data!E:E,data!$I$2,data!G:G,"&gt;="&amp;B432)</f>
        <v>219</v>
      </c>
      <c r="D432">
        <f>COUNTIFS(data!E:E,data!$J$2,data!G:G,"&gt;="&amp;B432)</f>
        <v>212</v>
      </c>
      <c r="E432">
        <f>COUNTIFS(data!E:E,data!$J$2,data!G:G,"&lt;"&amp;B432)</f>
        <v>150</v>
      </c>
      <c r="F432">
        <f>COUNTIFS(data!E:E,data!$I$2,data!G:G,"&lt;"&amp;B432)</f>
        <v>47</v>
      </c>
      <c r="G432">
        <f t="shared" si="40"/>
        <v>0.58563535911602205</v>
      </c>
      <c r="H432">
        <f t="shared" si="41"/>
        <v>0.82330827067669177</v>
      </c>
      <c r="I432">
        <f t="shared" si="42"/>
        <v>2.2743322394383233E-3</v>
      </c>
      <c r="J432">
        <f t="shared" si="43"/>
        <v>0.50812064965197212</v>
      </c>
      <c r="K432">
        <f t="shared" si="44"/>
        <v>0.62840746054519381</v>
      </c>
      <c r="L432">
        <f>A432*COUNTIF(data!E:E,$J$2)/data!$M$2</f>
        <v>182.55732484076432</v>
      </c>
      <c r="M432" s="1">
        <f>A432/data!$M$2</f>
        <v>0.68630573248407645</v>
      </c>
      <c r="N432">
        <f t="shared" si="45"/>
        <v>1.1996231879001449</v>
      </c>
    </row>
    <row r="433" spans="1:14" x14ac:dyDescent="0.2">
      <c r="A433">
        <v>432</v>
      </c>
      <c r="B433">
        <f>LARGE(data!G:G,A433)</f>
        <v>0.28324478600000003</v>
      </c>
      <c r="C433">
        <f>COUNTIFS(data!E:E,data!$I$2,data!G:G,"&gt;="&amp;B433)</f>
        <v>219</v>
      </c>
      <c r="D433">
        <f>COUNTIFS(data!E:E,data!$J$2,data!G:G,"&gt;="&amp;B433)</f>
        <v>213</v>
      </c>
      <c r="E433">
        <f>COUNTIFS(data!E:E,data!$J$2,data!G:G,"&lt;"&amp;B433)</f>
        <v>149</v>
      </c>
      <c r="F433">
        <f>COUNTIFS(data!E:E,data!$I$2,data!G:G,"&lt;"&amp;B433)</f>
        <v>47</v>
      </c>
      <c r="G433">
        <f t="shared" si="40"/>
        <v>0.58839779005524862</v>
      </c>
      <c r="H433">
        <f t="shared" si="41"/>
        <v>0.82330827067669177</v>
      </c>
      <c r="I433">
        <f t="shared" si="42"/>
        <v>2.2743322394384148E-3</v>
      </c>
      <c r="J433">
        <f t="shared" si="43"/>
        <v>0.50694444444444442</v>
      </c>
      <c r="K433">
        <f t="shared" si="44"/>
        <v>0.62750716332378209</v>
      </c>
      <c r="L433">
        <f>A433*COUNTIF(data!E:E,$J$2)/data!$M$2</f>
        <v>182.98089171974522</v>
      </c>
      <c r="M433" s="1">
        <f>A433/data!$M$2</f>
        <v>0.68789808917197448</v>
      </c>
      <c r="N433">
        <f t="shared" si="45"/>
        <v>1.1968462823725983</v>
      </c>
    </row>
    <row r="434" spans="1:14" x14ac:dyDescent="0.2">
      <c r="A434">
        <v>433</v>
      </c>
      <c r="B434">
        <f>LARGE(data!G:G,A434)</f>
        <v>0.28238620650000001</v>
      </c>
      <c r="C434">
        <f>COUNTIFS(data!E:E,data!$I$2,data!G:G,"&gt;="&amp;B434)</f>
        <v>220</v>
      </c>
      <c r="D434">
        <f>COUNTIFS(data!E:E,data!$J$2,data!G:G,"&gt;="&amp;B434)</f>
        <v>213</v>
      </c>
      <c r="E434">
        <f>COUNTIFS(data!E:E,data!$J$2,data!G:G,"&lt;"&amp;B434)</f>
        <v>149</v>
      </c>
      <c r="F434">
        <f>COUNTIFS(data!E:E,data!$I$2,data!G:G,"&lt;"&amp;B434)</f>
        <v>46</v>
      </c>
      <c r="G434">
        <f t="shared" si="40"/>
        <v>0.58839779005524862</v>
      </c>
      <c r="H434">
        <f t="shared" si="41"/>
        <v>0.82706766917293228</v>
      </c>
      <c r="I434">
        <f t="shared" si="42"/>
        <v>0</v>
      </c>
      <c r="J434">
        <f t="shared" si="43"/>
        <v>0.5080831408775982</v>
      </c>
      <c r="K434">
        <f t="shared" si="44"/>
        <v>0.62947067238912735</v>
      </c>
      <c r="L434">
        <f>A434*COUNTIF(data!E:E,$J$2)/data!$M$2</f>
        <v>183.40445859872611</v>
      </c>
      <c r="M434" s="1">
        <f>A434/data!$M$2</f>
        <v>0.68949044585987262</v>
      </c>
      <c r="N434">
        <f t="shared" si="45"/>
        <v>1.1995346333501189</v>
      </c>
    </row>
    <row r="435" spans="1:14" x14ac:dyDescent="0.2">
      <c r="A435">
        <v>434</v>
      </c>
      <c r="B435">
        <f>LARGE(data!G:G,A435)</f>
        <v>0.28131994380000003</v>
      </c>
      <c r="C435">
        <f>COUNTIFS(data!E:E,data!$I$2,data!G:G,"&gt;="&amp;B435)</f>
        <v>221</v>
      </c>
      <c r="D435">
        <f>COUNTIFS(data!E:E,data!$J$2,data!G:G,"&gt;="&amp;B435)</f>
        <v>213</v>
      </c>
      <c r="E435">
        <f>COUNTIFS(data!E:E,data!$J$2,data!G:G,"&lt;"&amp;B435)</f>
        <v>149</v>
      </c>
      <c r="F435">
        <f>COUNTIFS(data!E:E,data!$I$2,data!G:G,"&lt;"&amp;B435)</f>
        <v>45</v>
      </c>
      <c r="G435">
        <f t="shared" si="40"/>
        <v>0.58839779005524862</v>
      </c>
      <c r="H435">
        <f t="shared" si="41"/>
        <v>0.83082706766917291</v>
      </c>
      <c r="I435">
        <f t="shared" si="42"/>
        <v>0</v>
      </c>
      <c r="J435">
        <f t="shared" si="43"/>
        <v>0.50921658986175111</v>
      </c>
      <c r="K435">
        <f t="shared" si="44"/>
        <v>0.63142857142857145</v>
      </c>
      <c r="L435">
        <f>A435*COUNTIF(data!E:E,$J$2)/data!$M$2</f>
        <v>183.828025477707</v>
      </c>
      <c r="M435" s="1">
        <f>A435/data!$M$2</f>
        <v>0.69108280254777066</v>
      </c>
      <c r="N435">
        <f t="shared" si="45"/>
        <v>1.2022105956134577</v>
      </c>
    </row>
    <row r="436" spans="1:14" x14ac:dyDescent="0.2">
      <c r="A436">
        <v>435</v>
      </c>
      <c r="B436">
        <f>LARGE(data!G:G,A436)</f>
        <v>0.28101672550000001</v>
      </c>
      <c r="C436">
        <f>COUNTIFS(data!E:E,data!$I$2,data!G:G,"&gt;="&amp;B436)</f>
        <v>221</v>
      </c>
      <c r="D436">
        <f>COUNTIFS(data!E:E,data!$J$2,data!G:G,"&gt;="&amp;B436)</f>
        <v>214</v>
      </c>
      <c r="E436">
        <f>COUNTIFS(data!E:E,data!$J$2,data!G:G,"&lt;"&amp;B436)</f>
        <v>148</v>
      </c>
      <c r="F436">
        <f>COUNTIFS(data!E:E,data!$I$2,data!G:G,"&lt;"&amp;B436)</f>
        <v>45</v>
      </c>
      <c r="G436">
        <f t="shared" si="40"/>
        <v>0.59116022099447518</v>
      </c>
      <c r="H436">
        <f t="shared" si="41"/>
        <v>0.83082706766917291</v>
      </c>
      <c r="I436">
        <f t="shared" si="42"/>
        <v>2.2951023968762084E-3</v>
      </c>
      <c r="J436">
        <f t="shared" si="43"/>
        <v>0.50804597701149423</v>
      </c>
      <c r="K436">
        <f t="shared" si="44"/>
        <v>0.630527817403709</v>
      </c>
      <c r="L436">
        <f>A436*COUNTIF(data!E:E,$J$2)/data!$M$2</f>
        <v>184.25159235668789</v>
      </c>
      <c r="M436" s="1">
        <f>A436/data!$M$2</f>
        <v>0.6926751592356688</v>
      </c>
      <c r="N436">
        <f t="shared" si="45"/>
        <v>1.1994468930948059</v>
      </c>
    </row>
    <row r="437" spans="1:14" x14ac:dyDescent="0.2">
      <c r="A437">
        <v>436</v>
      </c>
      <c r="B437">
        <f>LARGE(data!G:G,A437)</f>
        <v>0.28078910169999999</v>
      </c>
      <c r="C437">
        <f>COUNTIFS(data!E:E,data!$I$2,data!G:G,"&gt;="&amp;B437)</f>
        <v>221</v>
      </c>
      <c r="D437">
        <f>COUNTIFS(data!E:E,data!$J$2,data!G:G,"&gt;="&amp;B437)</f>
        <v>215</v>
      </c>
      <c r="E437">
        <f>COUNTIFS(data!E:E,data!$J$2,data!G:G,"&lt;"&amp;B437)</f>
        <v>147</v>
      </c>
      <c r="F437">
        <f>COUNTIFS(data!E:E,data!$I$2,data!G:G,"&lt;"&amp;B437)</f>
        <v>45</v>
      </c>
      <c r="G437">
        <f t="shared" si="40"/>
        <v>0.59392265193370164</v>
      </c>
      <c r="H437">
        <f t="shared" si="41"/>
        <v>0.83082706766917291</v>
      </c>
      <c r="I437">
        <f t="shared" si="42"/>
        <v>2.2951023968761164E-3</v>
      </c>
      <c r="J437">
        <f t="shared" si="43"/>
        <v>0.50688073394495414</v>
      </c>
      <c r="K437">
        <f t="shared" si="44"/>
        <v>0.62962962962962965</v>
      </c>
      <c r="L437">
        <f>A437*COUNTIF(data!E:E,$J$2)/data!$M$2</f>
        <v>184.67515923566879</v>
      </c>
      <c r="M437" s="1">
        <f>A437/data!$M$2</f>
        <v>0.69426751592356684</v>
      </c>
      <c r="N437">
        <f t="shared" si="45"/>
        <v>1.1966958681106437</v>
      </c>
    </row>
    <row r="438" spans="1:14" x14ac:dyDescent="0.2">
      <c r="A438">
        <v>437</v>
      </c>
      <c r="B438">
        <f>LARGE(data!G:G,A438)</f>
        <v>0.28004818079999999</v>
      </c>
      <c r="C438">
        <f>COUNTIFS(data!E:E,data!$I$2,data!G:G,"&gt;="&amp;B438)</f>
        <v>221</v>
      </c>
      <c r="D438">
        <f>COUNTIFS(data!E:E,data!$J$2,data!G:G,"&gt;="&amp;B438)</f>
        <v>216</v>
      </c>
      <c r="E438">
        <f>COUNTIFS(data!E:E,data!$J$2,data!G:G,"&lt;"&amp;B438)</f>
        <v>146</v>
      </c>
      <c r="F438">
        <f>COUNTIFS(data!E:E,data!$I$2,data!G:G,"&lt;"&amp;B438)</f>
        <v>45</v>
      </c>
      <c r="G438">
        <f t="shared" si="40"/>
        <v>0.59668508287292821</v>
      </c>
      <c r="H438">
        <f t="shared" si="41"/>
        <v>0.83082706766917291</v>
      </c>
      <c r="I438">
        <f t="shared" si="42"/>
        <v>2.2951023968762084E-3</v>
      </c>
      <c r="J438">
        <f t="shared" si="43"/>
        <v>0.50572082379862704</v>
      </c>
      <c r="K438">
        <f t="shared" si="44"/>
        <v>0.62873399715504985</v>
      </c>
      <c r="L438">
        <f>A438*COUNTIF(data!E:E,$J$2)/data!$M$2</f>
        <v>185.09872611464968</v>
      </c>
      <c r="M438" s="1">
        <f>A438/data!$M$2</f>
        <v>0.69585987261146498</v>
      </c>
      <c r="N438">
        <f t="shared" si="45"/>
        <v>1.1939574336298413</v>
      </c>
    </row>
    <row r="439" spans="1:14" x14ac:dyDescent="0.2">
      <c r="A439">
        <v>438</v>
      </c>
      <c r="B439">
        <f>LARGE(data!G:G,A439)</f>
        <v>0.27881755270000003</v>
      </c>
      <c r="C439">
        <f>COUNTIFS(data!E:E,data!$I$2,data!G:G,"&gt;="&amp;B439)</f>
        <v>221</v>
      </c>
      <c r="D439">
        <f>COUNTIFS(data!E:E,data!$J$2,data!G:G,"&gt;="&amp;B439)</f>
        <v>217</v>
      </c>
      <c r="E439">
        <f>COUNTIFS(data!E:E,data!$J$2,data!G:G,"&lt;"&amp;B439)</f>
        <v>145</v>
      </c>
      <c r="F439">
        <f>COUNTIFS(data!E:E,data!$I$2,data!G:G,"&lt;"&amp;B439)</f>
        <v>45</v>
      </c>
      <c r="G439">
        <f t="shared" si="40"/>
        <v>0.59944751381215466</v>
      </c>
      <c r="H439">
        <f t="shared" si="41"/>
        <v>0.83082706766917291</v>
      </c>
      <c r="I439">
        <f t="shared" si="42"/>
        <v>2.2951023968761164E-3</v>
      </c>
      <c r="J439">
        <f t="shared" si="43"/>
        <v>0.50456621004566216</v>
      </c>
      <c r="K439">
        <f t="shared" si="44"/>
        <v>0.62784090909090917</v>
      </c>
      <c r="L439">
        <f>A439*COUNTIF(data!E:E,$J$2)/data!$M$2</f>
        <v>185.52229299363057</v>
      </c>
      <c r="M439" s="1">
        <f>A439/data!$M$2</f>
        <v>0.69745222929936301</v>
      </c>
      <c r="N439">
        <f t="shared" si="45"/>
        <v>1.1912315034160745</v>
      </c>
    </row>
    <row r="440" spans="1:14" x14ac:dyDescent="0.2">
      <c r="A440">
        <v>439</v>
      </c>
      <c r="B440">
        <f>LARGE(data!G:G,A440)</f>
        <v>0.2775074937</v>
      </c>
      <c r="C440">
        <f>COUNTIFS(data!E:E,data!$I$2,data!G:G,"&gt;="&amp;B440)</f>
        <v>222</v>
      </c>
      <c r="D440">
        <f>COUNTIFS(data!E:E,data!$J$2,data!G:G,"&gt;="&amp;B440)</f>
        <v>217</v>
      </c>
      <c r="E440">
        <f>COUNTIFS(data!E:E,data!$J$2,data!G:G,"&lt;"&amp;B440)</f>
        <v>145</v>
      </c>
      <c r="F440">
        <f>COUNTIFS(data!E:E,data!$I$2,data!G:G,"&lt;"&amp;B440)</f>
        <v>44</v>
      </c>
      <c r="G440">
        <f t="shared" si="40"/>
        <v>0.59944751381215466</v>
      </c>
      <c r="H440">
        <f t="shared" si="41"/>
        <v>0.83458646616541354</v>
      </c>
      <c r="I440">
        <f t="shared" si="42"/>
        <v>0</v>
      </c>
      <c r="J440">
        <f t="shared" si="43"/>
        <v>0.50569476082004561</v>
      </c>
      <c r="K440">
        <f t="shared" si="44"/>
        <v>0.62978723404255321</v>
      </c>
      <c r="L440">
        <f>A440*COUNTIF(data!E:E,$J$2)/data!$M$2</f>
        <v>185.94585987261146</v>
      </c>
      <c r="M440" s="1">
        <f>A440/data!$M$2</f>
        <v>0.69904458598726116</v>
      </c>
      <c r="N440">
        <f t="shared" si="45"/>
        <v>1.1938959014849195</v>
      </c>
    </row>
    <row r="441" spans="1:14" x14ac:dyDescent="0.2">
      <c r="A441">
        <v>440</v>
      </c>
      <c r="B441">
        <f>LARGE(data!G:G,A441)</f>
        <v>0.27628339439999999</v>
      </c>
      <c r="C441">
        <f>COUNTIFS(data!E:E,data!$I$2,data!G:G,"&gt;="&amp;B441)</f>
        <v>223</v>
      </c>
      <c r="D441">
        <f>COUNTIFS(data!E:E,data!$J$2,data!G:G,"&gt;="&amp;B441)</f>
        <v>217</v>
      </c>
      <c r="E441">
        <f>COUNTIFS(data!E:E,data!$J$2,data!G:G,"&lt;"&amp;B441)</f>
        <v>145</v>
      </c>
      <c r="F441">
        <f>COUNTIFS(data!E:E,data!$I$2,data!G:G,"&lt;"&amp;B441)</f>
        <v>43</v>
      </c>
      <c r="G441">
        <f t="shared" si="40"/>
        <v>0.59944751381215466</v>
      </c>
      <c r="H441">
        <f t="shared" si="41"/>
        <v>0.83834586466165417</v>
      </c>
      <c r="I441">
        <f t="shared" si="42"/>
        <v>0</v>
      </c>
      <c r="J441">
        <f t="shared" si="43"/>
        <v>0.50681818181818183</v>
      </c>
      <c r="K441">
        <f t="shared" si="44"/>
        <v>0.63172804532577909</v>
      </c>
      <c r="L441">
        <f>A441*COUNTIF(data!E:E,$J$2)/data!$M$2</f>
        <v>186.36942675159236</v>
      </c>
      <c r="M441" s="1">
        <f>A441/data!$M$2</f>
        <v>0.70063694267515919</v>
      </c>
      <c r="N441">
        <f t="shared" si="45"/>
        <v>1.1965481886534519</v>
      </c>
    </row>
    <row r="442" spans="1:14" x14ac:dyDescent="0.2">
      <c r="A442">
        <v>441</v>
      </c>
      <c r="B442">
        <f>LARGE(data!G:G,A442)</f>
        <v>0.27461683510000001</v>
      </c>
      <c r="C442">
        <f>COUNTIFS(data!E:E,data!$I$2,data!G:G,"&gt;="&amp;B442)</f>
        <v>223</v>
      </c>
      <c r="D442">
        <f>COUNTIFS(data!E:E,data!$J$2,data!G:G,"&gt;="&amp;B442)</f>
        <v>218</v>
      </c>
      <c r="E442">
        <f>COUNTIFS(data!E:E,data!$J$2,data!G:G,"&lt;"&amp;B442)</f>
        <v>144</v>
      </c>
      <c r="F442">
        <f>COUNTIFS(data!E:E,data!$I$2,data!G:G,"&lt;"&amp;B442)</f>
        <v>43</v>
      </c>
      <c r="G442">
        <f t="shared" si="40"/>
        <v>0.60220994475138123</v>
      </c>
      <c r="H442">
        <f t="shared" si="41"/>
        <v>0.83834586466165417</v>
      </c>
      <c r="I442">
        <f t="shared" si="42"/>
        <v>2.3158725543140023E-3</v>
      </c>
      <c r="J442">
        <f t="shared" si="43"/>
        <v>0.50566893424036286</v>
      </c>
      <c r="K442">
        <f t="shared" si="44"/>
        <v>0.63083451202263086</v>
      </c>
      <c r="L442">
        <f>A442*COUNTIF(data!E:E,$J$2)/data!$M$2</f>
        <v>186.79299363057325</v>
      </c>
      <c r="M442" s="1">
        <f>A442/data!$M$2</f>
        <v>0.70222929936305734</v>
      </c>
      <c r="N442">
        <f t="shared" si="45"/>
        <v>1.1938349274546911</v>
      </c>
    </row>
    <row r="443" spans="1:14" x14ac:dyDescent="0.2">
      <c r="A443">
        <v>442</v>
      </c>
      <c r="B443">
        <f>LARGE(data!G:G,A443)</f>
        <v>0.27440395049999999</v>
      </c>
      <c r="C443">
        <f>COUNTIFS(data!E:E,data!$I$2,data!G:G,"&gt;="&amp;B443)</f>
        <v>223</v>
      </c>
      <c r="D443">
        <f>COUNTIFS(data!E:E,data!$J$2,data!G:G,"&gt;="&amp;B443)</f>
        <v>219</v>
      </c>
      <c r="E443">
        <f>COUNTIFS(data!E:E,data!$J$2,data!G:G,"&lt;"&amp;B443)</f>
        <v>143</v>
      </c>
      <c r="F443">
        <f>COUNTIFS(data!E:E,data!$I$2,data!G:G,"&lt;"&amp;B443)</f>
        <v>43</v>
      </c>
      <c r="G443">
        <f t="shared" si="40"/>
        <v>0.60497237569060769</v>
      </c>
      <c r="H443">
        <f t="shared" si="41"/>
        <v>0.83834586466165417</v>
      </c>
      <c r="I443">
        <f t="shared" si="42"/>
        <v>2.3158725543139095E-3</v>
      </c>
      <c r="J443">
        <f t="shared" si="43"/>
        <v>0.50452488687782804</v>
      </c>
      <c r="K443">
        <f t="shared" si="44"/>
        <v>0.62994350282485867</v>
      </c>
      <c r="L443">
        <f>A443*COUNTIF(data!E:E,$J$2)/data!$M$2</f>
        <v>187.21656050955414</v>
      </c>
      <c r="M443" s="1">
        <f>A443/data!$M$2</f>
        <v>0.70382165605095537</v>
      </c>
      <c r="N443">
        <f t="shared" si="45"/>
        <v>1.1911339434559249</v>
      </c>
    </row>
    <row r="444" spans="1:14" x14ac:dyDescent="0.2">
      <c r="A444">
        <v>443</v>
      </c>
      <c r="B444">
        <f>LARGE(data!G:G,A444)</f>
        <v>0.27302161200000002</v>
      </c>
      <c r="C444">
        <f>COUNTIFS(data!E:E,data!$I$2,data!G:G,"&gt;="&amp;B444)</f>
        <v>224</v>
      </c>
      <c r="D444">
        <f>COUNTIFS(data!E:E,data!$J$2,data!G:G,"&gt;="&amp;B444)</f>
        <v>219</v>
      </c>
      <c r="E444">
        <f>COUNTIFS(data!E:E,data!$J$2,data!G:G,"&lt;"&amp;B444)</f>
        <v>143</v>
      </c>
      <c r="F444">
        <f>COUNTIFS(data!E:E,data!$I$2,data!G:G,"&lt;"&amp;B444)</f>
        <v>42</v>
      </c>
      <c r="G444">
        <f t="shared" ref="G444:G507" si="46">D444/(E444+D444)</f>
        <v>0.60497237569060769</v>
      </c>
      <c r="H444">
        <f t="shared" ref="H444:H507" si="47">C444/(C444+F444)</f>
        <v>0.84210526315789469</v>
      </c>
      <c r="I444">
        <f t="shared" ref="I444:I507" si="48">(G444-G443)*(H444+H443)*0.5</f>
        <v>0</v>
      </c>
      <c r="J444">
        <f t="shared" ref="J444:J507" si="49">C444/(C444+D444)</f>
        <v>0.50564334085778784</v>
      </c>
      <c r="K444">
        <f t="shared" ref="K444:K507" si="50">2*J444*H444/(J444+H444)</f>
        <v>0.63187588152327223</v>
      </c>
      <c r="L444">
        <f>A444*COUNTIF(data!E:E,$J$2)/data!$M$2</f>
        <v>187.64012738853503</v>
      </c>
      <c r="M444" s="1">
        <f>A444/data!$M$2</f>
        <v>0.70541401273885351</v>
      </c>
      <c r="N444">
        <f t="shared" ref="N444:N507" si="51">C444/L444</f>
        <v>1.1937745039800405</v>
      </c>
    </row>
    <row r="445" spans="1:14" x14ac:dyDescent="0.2">
      <c r="A445">
        <v>444</v>
      </c>
      <c r="B445">
        <f>LARGE(data!G:G,A445)</f>
        <v>0.27253556639999998</v>
      </c>
      <c r="C445">
        <f>COUNTIFS(data!E:E,data!$I$2,data!G:G,"&gt;="&amp;B445)</f>
        <v>225</v>
      </c>
      <c r="D445">
        <f>COUNTIFS(data!E:E,data!$J$2,data!G:G,"&gt;="&amp;B445)</f>
        <v>219</v>
      </c>
      <c r="E445">
        <f>COUNTIFS(data!E:E,data!$J$2,data!G:G,"&lt;"&amp;B445)</f>
        <v>143</v>
      </c>
      <c r="F445">
        <f>COUNTIFS(data!E:E,data!$I$2,data!G:G,"&lt;"&amp;B445)</f>
        <v>41</v>
      </c>
      <c r="G445">
        <f t="shared" si="46"/>
        <v>0.60497237569060769</v>
      </c>
      <c r="H445">
        <f t="shared" si="47"/>
        <v>0.84586466165413532</v>
      </c>
      <c r="I445">
        <f t="shared" si="48"/>
        <v>0</v>
      </c>
      <c r="J445">
        <f t="shared" si="49"/>
        <v>0.5067567567567568</v>
      </c>
      <c r="K445">
        <f t="shared" si="50"/>
        <v>0.63380281690140838</v>
      </c>
      <c r="L445">
        <f>A445*COUNTIF(data!E:E,$J$2)/data!$M$2</f>
        <v>188.06369426751593</v>
      </c>
      <c r="M445" s="1">
        <f>A445/data!$M$2</f>
        <v>0.70700636942675155</v>
      </c>
      <c r="N445">
        <f t="shared" si="51"/>
        <v>1.1964031700873805</v>
      </c>
    </row>
    <row r="446" spans="1:14" x14ac:dyDescent="0.2">
      <c r="A446">
        <v>445</v>
      </c>
      <c r="B446">
        <f>LARGE(data!G:G,A446)</f>
        <v>0.27234307530000001</v>
      </c>
      <c r="C446">
        <f>COUNTIFS(data!E:E,data!$I$2,data!G:G,"&gt;="&amp;B446)</f>
        <v>225</v>
      </c>
      <c r="D446">
        <f>COUNTIFS(data!E:E,data!$J$2,data!G:G,"&gt;="&amp;B446)</f>
        <v>220</v>
      </c>
      <c r="E446">
        <f>COUNTIFS(data!E:E,data!$J$2,data!G:G,"&lt;"&amp;B446)</f>
        <v>142</v>
      </c>
      <c r="F446">
        <f>COUNTIFS(data!E:E,data!$I$2,data!G:G,"&lt;"&amp;B446)</f>
        <v>41</v>
      </c>
      <c r="G446">
        <f t="shared" si="46"/>
        <v>0.60773480662983426</v>
      </c>
      <c r="H446">
        <f t="shared" si="47"/>
        <v>0.84586466165413532</v>
      </c>
      <c r="I446">
        <f t="shared" si="48"/>
        <v>2.3366427117517958E-3</v>
      </c>
      <c r="J446">
        <f t="shared" si="49"/>
        <v>0.5056179775280899</v>
      </c>
      <c r="K446">
        <f t="shared" si="50"/>
        <v>0.63291139240506322</v>
      </c>
      <c r="L446">
        <f>A446*COUNTIF(data!E:E,$J$2)/data!$M$2</f>
        <v>188.48726114649682</v>
      </c>
      <c r="M446" s="1">
        <f>A446/data!$M$2</f>
        <v>0.70859872611464969</v>
      </c>
      <c r="N446">
        <f t="shared" si="51"/>
        <v>1.1937146236377461</v>
      </c>
    </row>
    <row r="447" spans="1:14" x14ac:dyDescent="0.2">
      <c r="A447">
        <v>446</v>
      </c>
      <c r="B447">
        <f>LARGE(data!G:G,A447)</f>
        <v>0.27216035750000001</v>
      </c>
      <c r="C447">
        <f>COUNTIFS(data!E:E,data!$I$2,data!G:G,"&gt;="&amp;B447)</f>
        <v>225</v>
      </c>
      <c r="D447">
        <f>COUNTIFS(data!E:E,data!$J$2,data!G:G,"&gt;="&amp;B447)</f>
        <v>221</v>
      </c>
      <c r="E447">
        <f>COUNTIFS(data!E:E,data!$J$2,data!G:G,"&lt;"&amp;B447)</f>
        <v>141</v>
      </c>
      <c r="F447">
        <f>COUNTIFS(data!E:E,data!$I$2,data!G:G,"&lt;"&amp;B447)</f>
        <v>41</v>
      </c>
      <c r="G447">
        <f t="shared" si="46"/>
        <v>0.61049723756906082</v>
      </c>
      <c r="H447">
        <f t="shared" si="47"/>
        <v>0.84586466165413532</v>
      </c>
      <c r="I447">
        <f t="shared" si="48"/>
        <v>2.3366427117517958E-3</v>
      </c>
      <c r="J447">
        <f t="shared" si="49"/>
        <v>0.50448430493273544</v>
      </c>
      <c r="K447">
        <f t="shared" si="50"/>
        <v>0.63202247191011229</v>
      </c>
      <c r="L447">
        <f>A447*COUNTIF(data!E:E,$J$2)/data!$M$2</f>
        <v>188.91082802547771</v>
      </c>
      <c r="M447" s="1">
        <f>A447/data!$M$2</f>
        <v>0.71019108280254772</v>
      </c>
      <c r="N447">
        <f t="shared" si="51"/>
        <v>1.1910381334502174</v>
      </c>
    </row>
    <row r="448" spans="1:14" x14ac:dyDescent="0.2">
      <c r="A448">
        <v>447</v>
      </c>
      <c r="B448">
        <f>LARGE(data!G:G,A448)</f>
        <v>0.27087982840000002</v>
      </c>
      <c r="C448">
        <f>COUNTIFS(data!E:E,data!$I$2,data!G:G,"&gt;="&amp;B448)</f>
        <v>225</v>
      </c>
      <c r="D448">
        <f>COUNTIFS(data!E:E,data!$J$2,data!G:G,"&gt;="&amp;B448)</f>
        <v>222</v>
      </c>
      <c r="E448">
        <f>COUNTIFS(data!E:E,data!$J$2,data!G:G,"&lt;"&amp;B448)</f>
        <v>140</v>
      </c>
      <c r="F448">
        <f>COUNTIFS(data!E:E,data!$I$2,data!G:G,"&lt;"&amp;B448)</f>
        <v>41</v>
      </c>
      <c r="G448">
        <f t="shared" si="46"/>
        <v>0.61325966850828728</v>
      </c>
      <c r="H448">
        <f t="shared" si="47"/>
        <v>0.84586466165413532</v>
      </c>
      <c r="I448">
        <f t="shared" si="48"/>
        <v>2.3366427117517022E-3</v>
      </c>
      <c r="J448">
        <f t="shared" si="49"/>
        <v>0.50335570469798663</v>
      </c>
      <c r="K448">
        <f t="shared" si="50"/>
        <v>0.63113604488078545</v>
      </c>
      <c r="L448">
        <f>A448*COUNTIF(data!E:E,$J$2)/data!$M$2</f>
        <v>189.33439490445861</v>
      </c>
      <c r="M448" s="1">
        <f>A448/data!$M$2</f>
        <v>0.71178343949044587</v>
      </c>
      <c r="N448">
        <f t="shared" si="51"/>
        <v>1.188373618610284</v>
      </c>
    </row>
    <row r="449" spans="1:14" x14ac:dyDescent="0.2">
      <c r="A449">
        <v>448</v>
      </c>
      <c r="B449">
        <f>LARGE(data!G:G,A449)</f>
        <v>0.27068515879999999</v>
      </c>
      <c r="C449">
        <f>COUNTIFS(data!E:E,data!$I$2,data!G:G,"&gt;="&amp;B449)</f>
        <v>225</v>
      </c>
      <c r="D449">
        <f>COUNTIFS(data!E:E,data!$J$2,data!G:G,"&gt;="&amp;B449)</f>
        <v>223</v>
      </c>
      <c r="E449">
        <f>COUNTIFS(data!E:E,data!$J$2,data!G:G,"&lt;"&amp;B449)</f>
        <v>139</v>
      </c>
      <c r="F449">
        <f>COUNTIFS(data!E:E,data!$I$2,data!G:G,"&lt;"&amp;B449)</f>
        <v>41</v>
      </c>
      <c r="G449">
        <f t="shared" si="46"/>
        <v>0.61602209944751385</v>
      </c>
      <c r="H449">
        <f t="shared" si="47"/>
        <v>0.84586466165413532</v>
      </c>
      <c r="I449">
        <f t="shared" si="48"/>
        <v>2.3366427117517958E-3</v>
      </c>
      <c r="J449">
        <f t="shared" si="49"/>
        <v>0.5022321428571429</v>
      </c>
      <c r="K449">
        <f t="shared" si="50"/>
        <v>0.63025210084033612</v>
      </c>
      <c r="L449">
        <f>A449*COUNTIF(data!E:E,$J$2)/data!$M$2</f>
        <v>189.7579617834395</v>
      </c>
      <c r="M449" s="1">
        <f>A449/data!$M$2</f>
        <v>0.7133757961783439</v>
      </c>
      <c r="N449">
        <f t="shared" si="51"/>
        <v>1.1857209989258861</v>
      </c>
    </row>
    <row r="450" spans="1:14" x14ac:dyDescent="0.2">
      <c r="A450">
        <v>449</v>
      </c>
      <c r="B450">
        <f>LARGE(data!G:G,A450)</f>
        <v>0.2706551391</v>
      </c>
      <c r="C450">
        <f>COUNTIFS(data!E:E,data!$I$2,data!G:G,"&gt;="&amp;B450)</f>
        <v>225</v>
      </c>
      <c r="D450">
        <f>COUNTIFS(data!E:E,data!$J$2,data!G:G,"&gt;="&amp;B450)</f>
        <v>224</v>
      </c>
      <c r="E450">
        <f>COUNTIFS(data!E:E,data!$J$2,data!G:G,"&lt;"&amp;B450)</f>
        <v>138</v>
      </c>
      <c r="F450">
        <f>COUNTIFS(data!E:E,data!$I$2,data!G:G,"&lt;"&amp;B450)</f>
        <v>41</v>
      </c>
      <c r="G450">
        <f t="shared" si="46"/>
        <v>0.61878453038674031</v>
      </c>
      <c r="H450">
        <f t="shared" si="47"/>
        <v>0.84586466165413532</v>
      </c>
      <c r="I450">
        <f t="shared" si="48"/>
        <v>2.3366427117517022E-3</v>
      </c>
      <c r="J450">
        <f t="shared" si="49"/>
        <v>0.50111358574610243</v>
      </c>
      <c r="K450">
        <f t="shared" si="50"/>
        <v>0.62937062937062938</v>
      </c>
      <c r="L450">
        <f>A450*COUNTIF(data!E:E,$J$2)/data!$M$2</f>
        <v>190.18152866242039</v>
      </c>
      <c r="M450" s="1">
        <f>A450/data!$M$2</f>
        <v>0.71496815286624205</v>
      </c>
      <c r="N450">
        <f t="shared" si="51"/>
        <v>1.1830801949193697</v>
      </c>
    </row>
    <row r="451" spans="1:14" x14ac:dyDescent="0.2">
      <c r="A451">
        <v>450</v>
      </c>
      <c r="B451">
        <f>LARGE(data!G:G,A451)</f>
        <v>0.2703627998</v>
      </c>
      <c r="C451">
        <f>COUNTIFS(data!E:E,data!$I$2,data!G:G,"&gt;="&amp;B451)</f>
        <v>225</v>
      </c>
      <c r="D451">
        <f>COUNTIFS(data!E:E,data!$J$2,data!G:G,"&gt;="&amp;B451)</f>
        <v>225</v>
      </c>
      <c r="E451">
        <f>COUNTIFS(data!E:E,data!$J$2,data!G:G,"&lt;"&amp;B451)</f>
        <v>137</v>
      </c>
      <c r="F451">
        <f>COUNTIFS(data!E:E,data!$I$2,data!G:G,"&lt;"&amp;B451)</f>
        <v>41</v>
      </c>
      <c r="G451">
        <f t="shared" si="46"/>
        <v>0.62154696132596687</v>
      </c>
      <c r="H451">
        <f t="shared" si="47"/>
        <v>0.84586466165413532</v>
      </c>
      <c r="I451">
        <f t="shared" si="48"/>
        <v>2.3366427117517958E-3</v>
      </c>
      <c r="J451">
        <f t="shared" si="49"/>
        <v>0.5</v>
      </c>
      <c r="K451">
        <f t="shared" si="50"/>
        <v>0.62849162011173187</v>
      </c>
      <c r="L451">
        <f>A451*COUNTIF(data!E:E,$J$2)/data!$M$2</f>
        <v>190.60509554140128</v>
      </c>
      <c r="M451" s="1">
        <f>A451/data!$M$2</f>
        <v>0.71656050955414008</v>
      </c>
      <c r="N451">
        <f t="shared" si="51"/>
        <v>1.1804511278195489</v>
      </c>
    </row>
    <row r="452" spans="1:14" x14ac:dyDescent="0.2">
      <c r="A452">
        <v>451</v>
      </c>
      <c r="B452">
        <f>LARGE(data!G:G,A452)</f>
        <v>0.26812955500000002</v>
      </c>
      <c r="C452">
        <f>COUNTIFS(data!E:E,data!$I$2,data!G:G,"&gt;="&amp;B452)</f>
        <v>226</v>
      </c>
      <c r="D452">
        <f>COUNTIFS(data!E:E,data!$J$2,data!G:G,"&gt;="&amp;B452)</f>
        <v>225</v>
      </c>
      <c r="E452">
        <f>COUNTIFS(data!E:E,data!$J$2,data!G:G,"&lt;"&amp;B452)</f>
        <v>137</v>
      </c>
      <c r="F452">
        <f>COUNTIFS(data!E:E,data!$I$2,data!G:G,"&lt;"&amp;B452)</f>
        <v>40</v>
      </c>
      <c r="G452">
        <f t="shared" si="46"/>
        <v>0.62154696132596687</v>
      </c>
      <c r="H452">
        <f t="shared" si="47"/>
        <v>0.84962406015037595</v>
      </c>
      <c r="I452">
        <f t="shared" si="48"/>
        <v>0</v>
      </c>
      <c r="J452">
        <f t="shared" si="49"/>
        <v>0.50110864745011086</v>
      </c>
      <c r="K452">
        <f t="shared" si="50"/>
        <v>0.63040446304044628</v>
      </c>
      <c r="L452">
        <f>A452*COUNTIF(data!E:E,$J$2)/data!$M$2</f>
        <v>191.02866242038218</v>
      </c>
      <c r="M452" s="1">
        <f>A452/data!$M$2</f>
        <v>0.71815286624203822</v>
      </c>
      <c r="N452">
        <f t="shared" si="51"/>
        <v>1.183068536085224</v>
      </c>
    </row>
    <row r="453" spans="1:14" x14ac:dyDescent="0.2">
      <c r="A453">
        <v>452</v>
      </c>
      <c r="B453">
        <f>LARGE(data!G:G,A453)</f>
        <v>0.26540982730000001</v>
      </c>
      <c r="C453">
        <f>COUNTIFS(data!E:E,data!$I$2,data!G:G,"&gt;="&amp;B453)</f>
        <v>227</v>
      </c>
      <c r="D453">
        <f>COUNTIFS(data!E:E,data!$J$2,data!G:G,"&gt;="&amp;B453)</f>
        <v>225</v>
      </c>
      <c r="E453">
        <f>COUNTIFS(data!E:E,data!$J$2,data!G:G,"&lt;"&amp;B453)</f>
        <v>137</v>
      </c>
      <c r="F453">
        <f>COUNTIFS(data!E:E,data!$I$2,data!G:G,"&lt;"&amp;B453)</f>
        <v>39</v>
      </c>
      <c r="G453">
        <f t="shared" si="46"/>
        <v>0.62154696132596687</v>
      </c>
      <c r="H453">
        <f t="shared" si="47"/>
        <v>0.85338345864661658</v>
      </c>
      <c r="I453">
        <f t="shared" si="48"/>
        <v>0</v>
      </c>
      <c r="J453">
        <f t="shared" si="49"/>
        <v>0.50221238938053092</v>
      </c>
      <c r="K453">
        <f t="shared" si="50"/>
        <v>0.63231197771587733</v>
      </c>
      <c r="L453">
        <f>A453*COUNTIF(data!E:E,$J$2)/data!$M$2</f>
        <v>191.45222929936307</v>
      </c>
      <c r="M453" s="1">
        <f>A453/data!$M$2</f>
        <v>0.71974522292993626</v>
      </c>
      <c r="N453">
        <f t="shared" si="51"/>
        <v>1.1856743628983963</v>
      </c>
    </row>
    <row r="454" spans="1:14" x14ac:dyDescent="0.2">
      <c r="A454">
        <v>453</v>
      </c>
      <c r="B454">
        <f>LARGE(data!G:G,A454)</f>
        <v>0.2637200428</v>
      </c>
      <c r="C454">
        <f>COUNTIFS(data!E:E,data!$I$2,data!G:G,"&gt;="&amp;B454)</f>
        <v>229</v>
      </c>
      <c r="D454">
        <f>COUNTIFS(data!E:E,data!$J$2,data!G:G,"&gt;="&amp;B454)</f>
        <v>225</v>
      </c>
      <c r="E454">
        <f>COUNTIFS(data!E:E,data!$J$2,data!G:G,"&lt;"&amp;B454)</f>
        <v>137</v>
      </c>
      <c r="F454">
        <f>COUNTIFS(data!E:E,data!$I$2,data!G:G,"&lt;"&amp;B454)</f>
        <v>37</v>
      </c>
      <c r="G454">
        <f t="shared" si="46"/>
        <v>0.62154696132596687</v>
      </c>
      <c r="H454">
        <f t="shared" si="47"/>
        <v>0.86090225563909772</v>
      </c>
      <c r="I454">
        <f t="shared" si="48"/>
        <v>0</v>
      </c>
      <c r="J454">
        <f t="shared" si="49"/>
        <v>0.50440528634361237</v>
      </c>
      <c r="K454">
        <f t="shared" si="50"/>
        <v>0.63611111111111118</v>
      </c>
      <c r="L454">
        <f>A454*COUNTIF(data!E:E,$J$2)/data!$M$2</f>
        <v>191.87579617834396</v>
      </c>
      <c r="M454" s="1">
        <f>A454/data!$M$2</f>
        <v>0.7213375796178344</v>
      </c>
      <c r="N454">
        <f t="shared" si="51"/>
        <v>1.1934803897160118</v>
      </c>
    </row>
    <row r="455" spans="1:14" x14ac:dyDescent="0.2">
      <c r="A455">
        <v>454</v>
      </c>
      <c r="B455">
        <f>LARGE(data!G:G,A455)</f>
        <v>0.2637200428</v>
      </c>
      <c r="C455">
        <f>COUNTIFS(data!E:E,data!$I$2,data!G:G,"&gt;="&amp;B455)</f>
        <v>229</v>
      </c>
      <c r="D455">
        <f>COUNTIFS(data!E:E,data!$J$2,data!G:G,"&gt;="&amp;B455)</f>
        <v>225</v>
      </c>
      <c r="E455">
        <f>COUNTIFS(data!E:E,data!$J$2,data!G:G,"&lt;"&amp;B455)</f>
        <v>137</v>
      </c>
      <c r="F455">
        <f>COUNTIFS(data!E:E,data!$I$2,data!G:G,"&lt;"&amp;B455)</f>
        <v>37</v>
      </c>
      <c r="G455">
        <f t="shared" si="46"/>
        <v>0.62154696132596687</v>
      </c>
      <c r="H455">
        <f t="shared" si="47"/>
        <v>0.86090225563909772</v>
      </c>
      <c r="I455">
        <f t="shared" si="48"/>
        <v>0</v>
      </c>
      <c r="J455">
        <f t="shared" si="49"/>
        <v>0.50440528634361237</v>
      </c>
      <c r="K455">
        <f t="shared" si="50"/>
        <v>0.63611111111111118</v>
      </c>
      <c r="L455">
        <f>A455*COUNTIF(data!E:E,$J$2)/data!$M$2</f>
        <v>192.29936305732485</v>
      </c>
      <c r="M455" s="1">
        <f>A455/data!$M$2</f>
        <v>0.72292993630573243</v>
      </c>
      <c r="N455">
        <f t="shared" si="51"/>
        <v>1.1908515782849192</v>
      </c>
    </row>
    <row r="456" spans="1:14" x14ac:dyDescent="0.2">
      <c r="A456">
        <v>455</v>
      </c>
      <c r="B456">
        <f>LARGE(data!G:G,A456)</f>
        <v>0.26175606940000001</v>
      </c>
      <c r="C456">
        <f>COUNTIFS(data!E:E,data!$I$2,data!G:G,"&gt;="&amp;B456)</f>
        <v>230</v>
      </c>
      <c r="D456">
        <f>COUNTIFS(data!E:E,data!$J$2,data!G:G,"&gt;="&amp;B456)</f>
        <v>225</v>
      </c>
      <c r="E456">
        <f>COUNTIFS(data!E:E,data!$J$2,data!G:G,"&lt;"&amp;B456)</f>
        <v>137</v>
      </c>
      <c r="F456">
        <f>COUNTIFS(data!E:E,data!$I$2,data!G:G,"&lt;"&amp;B456)</f>
        <v>36</v>
      </c>
      <c r="G456">
        <f t="shared" si="46"/>
        <v>0.62154696132596687</v>
      </c>
      <c r="H456">
        <f t="shared" si="47"/>
        <v>0.86466165413533835</v>
      </c>
      <c r="I456">
        <f t="shared" si="48"/>
        <v>0</v>
      </c>
      <c r="J456">
        <f t="shared" si="49"/>
        <v>0.50549450549450547</v>
      </c>
      <c r="K456">
        <f t="shared" si="50"/>
        <v>0.63800277392510407</v>
      </c>
      <c r="L456">
        <f>A456*COUNTIF(data!E:E,$J$2)/data!$M$2</f>
        <v>192.72292993630575</v>
      </c>
      <c r="M456" s="1">
        <f>A456/data!$M$2</f>
        <v>0.72452229299363058</v>
      </c>
      <c r="N456">
        <f t="shared" si="51"/>
        <v>1.1934231182351482</v>
      </c>
    </row>
    <row r="457" spans="1:14" x14ac:dyDescent="0.2">
      <c r="A457">
        <v>456</v>
      </c>
      <c r="B457">
        <f>LARGE(data!G:G,A457)</f>
        <v>0.261700514</v>
      </c>
      <c r="C457">
        <f>COUNTIFS(data!E:E,data!$I$2,data!G:G,"&gt;="&amp;B457)</f>
        <v>230</v>
      </c>
      <c r="D457">
        <f>COUNTIFS(data!E:E,data!$J$2,data!G:G,"&gt;="&amp;B457)</f>
        <v>226</v>
      </c>
      <c r="E457">
        <f>COUNTIFS(data!E:E,data!$J$2,data!G:G,"&lt;"&amp;B457)</f>
        <v>136</v>
      </c>
      <c r="F457">
        <f>COUNTIFS(data!E:E,data!$I$2,data!G:G,"&lt;"&amp;B457)</f>
        <v>36</v>
      </c>
      <c r="G457">
        <f t="shared" si="46"/>
        <v>0.62430939226519333</v>
      </c>
      <c r="H457">
        <f t="shared" si="47"/>
        <v>0.86466165413533835</v>
      </c>
      <c r="I457">
        <f t="shared" si="48"/>
        <v>2.3885681053461842E-3</v>
      </c>
      <c r="J457">
        <f t="shared" si="49"/>
        <v>0.50438596491228072</v>
      </c>
      <c r="K457">
        <f t="shared" si="50"/>
        <v>0.63711911357340723</v>
      </c>
      <c r="L457">
        <f>A457*COUNTIF(data!E:E,$J$2)/data!$M$2</f>
        <v>193.14649681528661</v>
      </c>
      <c r="M457" s="1">
        <f>A457/data!$M$2</f>
        <v>0.72611464968152861</v>
      </c>
      <c r="N457">
        <f t="shared" si="51"/>
        <v>1.1908059622741065</v>
      </c>
    </row>
    <row r="458" spans="1:14" x14ac:dyDescent="0.2">
      <c r="A458">
        <v>457</v>
      </c>
      <c r="B458">
        <f>LARGE(data!G:G,A458)</f>
        <v>0.26149282130000001</v>
      </c>
      <c r="C458">
        <f>COUNTIFS(data!E:E,data!$I$2,data!G:G,"&gt;="&amp;B458)</f>
        <v>230</v>
      </c>
      <c r="D458">
        <f>COUNTIFS(data!E:E,data!$J$2,data!G:G,"&gt;="&amp;B458)</f>
        <v>227</v>
      </c>
      <c r="E458">
        <f>COUNTIFS(data!E:E,data!$J$2,data!G:G,"&lt;"&amp;B458)</f>
        <v>135</v>
      </c>
      <c r="F458">
        <f>COUNTIFS(data!E:E,data!$I$2,data!G:G,"&lt;"&amp;B458)</f>
        <v>36</v>
      </c>
      <c r="G458">
        <f t="shared" si="46"/>
        <v>0.6270718232044199</v>
      </c>
      <c r="H458">
        <f t="shared" si="47"/>
        <v>0.86466165413533835</v>
      </c>
      <c r="I458">
        <f t="shared" si="48"/>
        <v>2.3885681053462805E-3</v>
      </c>
      <c r="J458">
        <f t="shared" si="49"/>
        <v>0.50328227571115969</v>
      </c>
      <c r="K458">
        <f t="shared" si="50"/>
        <v>0.6362378976486861</v>
      </c>
      <c r="L458">
        <f>A458*COUNTIF(data!E:E,$J$2)/data!$M$2</f>
        <v>193.5700636942675</v>
      </c>
      <c r="M458" s="1">
        <f>A458/data!$M$2</f>
        <v>0.72770700636942676</v>
      </c>
      <c r="N458">
        <f t="shared" si="51"/>
        <v>1.1882002599496555</v>
      </c>
    </row>
    <row r="459" spans="1:14" x14ac:dyDescent="0.2">
      <c r="A459">
        <v>458</v>
      </c>
      <c r="B459">
        <f>LARGE(data!G:G,A459)</f>
        <v>0.26137894569999998</v>
      </c>
      <c r="C459">
        <f>COUNTIFS(data!E:E,data!$I$2,data!G:G,"&gt;="&amp;B459)</f>
        <v>230</v>
      </c>
      <c r="D459">
        <f>COUNTIFS(data!E:E,data!$J$2,data!G:G,"&gt;="&amp;B459)</f>
        <v>228</v>
      </c>
      <c r="E459">
        <f>COUNTIFS(data!E:E,data!$J$2,data!G:G,"&lt;"&amp;B459)</f>
        <v>134</v>
      </c>
      <c r="F459">
        <f>COUNTIFS(data!E:E,data!$I$2,data!G:G,"&lt;"&amp;B459)</f>
        <v>36</v>
      </c>
      <c r="G459">
        <f t="shared" si="46"/>
        <v>0.62983425414364635</v>
      </c>
      <c r="H459">
        <f t="shared" si="47"/>
        <v>0.86466165413533835</v>
      </c>
      <c r="I459">
        <f t="shared" si="48"/>
        <v>2.3885681053461842E-3</v>
      </c>
      <c r="J459">
        <f t="shared" si="49"/>
        <v>0.50218340611353707</v>
      </c>
      <c r="K459">
        <f t="shared" si="50"/>
        <v>0.63535911602209949</v>
      </c>
      <c r="L459">
        <f>A459*COUNTIF(data!E:E,$J$2)/data!$M$2</f>
        <v>193.9936305732484</v>
      </c>
      <c r="M459" s="1">
        <f>A459/data!$M$2</f>
        <v>0.72929936305732479</v>
      </c>
      <c r="N459">
        <f t="shared" si="51"/>
        <v>1.1856059362379749</v>
      </c>
    </row>
    <row r="460" spans="1:14" x14ac:dyDescent="0.2">
      <c r="A460">
        <v>459</v>
      </c>
      <c r="B460">
        <f>LARGE(data!G:G,A460)</f>
        <v>0.25982472779999999</v>
      </c>
      <c r="C460">
        <f>COUNTIFS(data!E:E,data!$I$2,data!G:G,"&gt;="&amp;B460)</f>
        <v>231</v>
      </c>
      <c r="D460">
        <f>COUNTIFS(data!E:E,data!$J$2,data!G:G,"&gt;="&amp;B460)</f>
        <v>228</v>
      </c>
      <c r="E460">
        <f>COUNTIFS(data!E:E,data!$J$2,data!G:G,"&lt;"&amp;B460)</f>
        <v>134</v>
      </c>
      <c r="F460">
        <f>COUNTIFS(data!E:E,data!$I$2,data!G:G,"&lt;"&amp;B460)</f>
        <v>35</v>
      </c>
      <c r="G460">
        <f t="shared" si="46"/>
        <v>0.62983425414364635</v>
      </c>
      <c r="H460">
        <f t="shared" si="47"/>
        <v>0.86842105263157898</v>
      </c>
      <c r="I460">
        <f t="shared" si="48"/>
        <v>0</v>
      </c>
      <c r="J460">
        <f t="shared" si="49"/>
        <v>0.50326797385620914</v>
      </c>
      <c r="K460">
        <f t="shared" si="50"/>
        <v>0.63724137931034486</v>
      </c>
      <c r="L460">
        <f>A460*COUNTIF(data!E:E,$J$2)/data!$M$2</f>
        <v>194.41719745222929</v>
      </c>
      <c r="M460" s="1">
        <f>A460/data!$M$2</f>
        <v>0.73089171974522293</v>
      </c>
      <c r="N460">
        <f t="shared" si="51"/>
        <v>1.1881664946680428</v>
      </c>
    </row>
    <row r="461" spans="1:14" x14ac:dyDescent="0.2">
      <c r="A461">
        <v>460</v>
      </c>
      <c r="B461">
        <f>LARGE(data!G:G,A461)</f>
        <v>0.25815583739999998</v>
      </c>
      <c r="C461">
        <f>COUNTIFS(data!E:E,data!$I$2,data!G:G,"&gt;="&amp;B461)</f>
        <v>231</v>
      </c>
      <c r="D461">
        <f>COUNTIFS(data!E:E,data!$J$2,data!G:G,"&gt;="&amp;B461)</f>
        <v>229</v>
      </c>
      <c r="E461">
        <f>COUNTIFS(data!E:E,data!$J$2,data!G:G,"&lt;"&amp;B461)</f>
        <v>133</v>
      </c>
      <c r="F461">
        <f>COUNTIFS(data!E:E,data!$I$2,data!G:G,"&lt;"&amp;B461)</f>
        <v>35</v>
      </c>
      <c r="G461">
        <f t="shared" si="46"/>
        <v>0.63259668508287292</v>
      </c>
      <c r="H461">
        <f t="shared" si="47"/>
        <v>0.86842105263157898</v>
      </c>
      <c r="I461">
        <f t="shared" si="48"/>
        <v>2.3989531840651773E-3</v>
      </c>
      <c r="J461">
        <f t="shared" si="49"/>
        <v>0.50217391304347825</v>
      </c>
      <c r="K461">
        <f t="shared" si="50"/>
        <v>0.63636363636363624</v>
      </c>
      <c r="L461">
        <f>A461*COUNTIF(data!E:E,$J$2)/data!$M$2</f>
        <v>194.84076433121018</v>
      </c>
      <c r="M461" s="1">
        <f>A461/data!$M$2</f>
        <v>0.73248407643312097</v>
      </c>
      <c r="N461">
        <f t="shared" si="51"/>
        <v>1.1855835240274599</v>
      </c>
    </row>
    <row r="462" spans="1:14" x14ac:dyDescent="0.2">
      <c r="A462">
        <v>461</v>
      </c>
      <c r="B462">
        <f>LARGE(data!G:G,A462)</f>
        <v>0.25777650860000001</v>
      </c>
      <c r="C462">
        <f>COUNTIFS(data!E:E,data!$I$2,data!G:G,"&gt;="&amp;B462)</f>
        <v>233</v>
      </c>
      <c r="D462">
        <f>COUNTIFS(data!E:E,data!$J$2,data!G:G,"&gt;="&amp;B462)</f>
        <v>229</v>
      </c>
      <c r="E462">
        <f>COUNTIFS(data!E:E,data!$J$2,data!G:G,"&lt;"&amp;B462)</f>
        <v>133</v>
      </c>
      <c r="F462">
        <f>COUNTIFS(data!E:E,data!$I$2,data!G:G,"&lt;"&amp;B462)</f>
        <v>33</v>
      </c>
      <c r="G462">
        <f t="shared" si="46"/>
        <v>0.63259668508287292</v>
      </c>
      <c r="H462">
        <f t="shared" si="47"/>
        <v>0.87593984962406013</v>
      </c>
      <c r="I462">
        <f t="shared" si="48"/>
        <v>0</v>
      </c>
      <c r="J462">
        <f t="shared" si="49"/>
        <v>0.50432900432900429</v>
      </c>
      <c r="K462">
        <f t="shared" si="50"/>
        <v>0.64010989010989017</v>
      </c>
      <c r="L462">
        <f>A462*COUNTIF(data!E:E,$J$2)/data!$M$2</f>
        <v>195.26433121019107</v>
      </c>
      <c r="M462" s="1">
        <f>A462/data!$M$2</f>
        <v>0.73407643312101911</v>
      </c>
      <c r="N462">
        <f t="shared" si="51"/>
        <v>1.1932542853880908</v>
      </c>
    </row>
    <row r="463" spans="1:14" x14ac:dyDescent="0.2">
      <c r="A463">
        <v>462</v>
      </c>
      <c r="B463">
        <f>LARGE(data!G:G,A463)</f>
        <v>0.25777650860000001</v>
      </c>
      <c r="C463">
        <f>COUNTIFS(data!E:E,data!$I$2,data!G:G,"&gt;="&amp;B463)</f>
        <v>233</v>
      </c>
      <c r="D463">
        <f>COUNTIFS(data!E:E,data!$J$2,data!G:G,"&gt;="&amp;B463)</f>
        <v>229</v>
      </c>
      <c r="E463">
        <f>COUNTIFS(data!E:E,data!$J$2,data!G:G,"&lt;"&amp;B463)</f>
        <v>133</v>
      </c>
      <c r="F463">
        <f>COUNTIFS(data!E:E,data!$I$2,data!G:G,"&lt;"&amp;B463)</f>
        <v>33</v>
      </c>
      <c r="G463">
        <f t="shared" si="46"/>
        <v>0.63259668508287292</v>
      </c>
      <c r="H463">
        <f t="shared" si="47"/>
        <v>0.87593984962406013</v>
      </c>
      <c r="I463">
        <f t="shared" si="48"/>
        <v>0</v>
      </c>
      <c r="J463">
        <f t="shared" si="49"/>
        <v>0.50432900432900429</v>
      </c>
      <c r="K463">
        <f t="shared" si="50"/>
        <v>0.64010989010989017</v>
      </c>
      <c r="L463">
        <f>A463*COUNTIF(data!E:E,$J$2)/data!$M$2</f>
        <v>195.68789808917197</v>
      </c>
      <c r="M463" s="1">
        <f>A463/data!$M$2</f>
        <v>0.73566878980891715</v>
      </c>
      <c r="N463">
        <f t="shared" si="51"/>
        <v>1.1906714839045667</v>
      </c>
    </row>
    <row r="464" spans="1:14" x14ac:dyDescent="0.2">
      <c r="A464">
        <v>463</v>
      </c>
      <c r="B464">
        <f>LARGE(data!G:G,A464)</f>
        <v>0.25523969149999998</v>
      </c>
      <c r="C464">
        <f>COUNTIFS(data!E:E,data!$I$2,data!G:G,"&gt;="&amp;B464)</f>
        <v>233</v>
      </c>
      <c r="D464">
        <f>COUNTIFS(data!E:E,data!$J$2,data!G:G,"&gt;="&amp;B464)</f>
        <v>230</v>
      </c>
      <c r="E464">
        <f>COUNTIFS(data!E:E,data!$J$2,data!G:G,"&lt;"&amp;B464)</f>
        <v>132</v>
      </c>
      <c r="F464">
        <f>COUNTIFS(data!E:E,data!$I$2,data!G:G,"&lt;"&amp;B464)</f>
        <v>33</v>
      </c>
      <c r="G464">
        <f t="shared" si="46"/>
        <v>0.63535911602209949</v>
      </c>
      <c r="H464">
        <f t="shared" si="47"/>
        <v>0.87593984962406013</v>
      </c>
      <c r="I464">
        <f t="shared" si="48"/>
        <v>2.4197233415029708E-3</v>
      </c>
      <c r="J464">
        <f t="shared" si="49"/>
        <v>0.5032397408207343</v>
      </c>
      <c r="K464">
        <f t="shared" si="50"/>
        <v>0.63923182441700943</v>
      </c>
      <c r="L464">
        <f>A464*COUNTIF(data!E:E,$J$2)/data!$M$2</f>
        <v>196.11146496815286</v>
      </c>
      <c r="M464" s="1">
        <f>A464/data!$M$2</f>
        <v>0.73726114649681529</v>
      </c>
      <c r="N464">
        <f t="shared" si="51"/>
        <v>1.1880998392309068</v>
      </c>
    </row>
    <row r="465" spans="1:14" x14ac:dyDescent="0.2">
      <c r="A465">
        <v>464</v>
      </c>
      <c r="B465">
        <f>LARGE(data!G:G,A465)</f>
        <v>0.2548685034</v>
      </c>
      <c r="C465">
        <f>COUNTIFS(data!E:E,data!$I$2,data!G:G,"&gt;="&amp;B465)</f>
        <v>234</v>
      </c>
      <c r="D465">
        <f>COUNTIFS(data!E:E,data!$J$2,data!G:G,"&gt;="&amp;B465)</f>
        <v>230</v>
      </c>
      <c r="E465">
        <f>COUNTIFS(data!E:E,data!$J$2,data!G:G,"&lt;"&amp;B465)</f>
        <v>132</v>
      </c>
      <c r="F465">
        <f>COUNTIFS(data!E:E,data!$I$2,data!G:G,"&lt;"&amp;B465)</f>
        <v>32</v>
      </c>
      <c r="G465">
        <f t="shared" si="46"/>
        <v>0.63535911602209949</v>
      </c>
      <c r="H465">
        <f t="shared" si="47"/>
        <v>0.87969924812030076</v>
      </c>
      <c r="I465">
        <f t="shared" si="48"/>
        <v>0</v>
      </c>
      <c r="J465">
        <f t="shared" si="49"/>
        <v>0.50431034482758619</v>
      </c>
      <c r="K465">
        <f t="shared" si="50"/>
        <v>0.64109589041095882</v>
      </c>
      <c r="L465">
        <f>A465*COUNTIF(data!E:E,$J$2)/data!$M$2</f>
        <v>196.53503184713375</v>
      </c>
      <c r="M465" s="1">
        <f>A465/data!$M$2</f>
        <v>0.73885350318471332</v>
      </c>
      <c r="N465">
        <f t="shared" si="51"/>
        <v>1.1906274306455795</v>
      </c>
    </row>
    <row r="466" spans="1:14" x14ac:dyDescent="0.2">
      <c r="A466">
        <v>465</v>
      </c>
      <c r="B466">
        <f>LARGE(data!G:G,A466)</f>
        <v>0.25387650049999999</v>
      </c>
      <c r="C466">
        <f>COUNTIFS(data!E:E,data!$I$2,data!G:G,"&gt;="&amp;B466)</f>
        <v>234</v>
      </c>
      <c r="D466">
        <f>COUNTIFS(data!E:E,data!$J$2,data!G:G,"&gt;="&amp;B466)</f>
        <v>231</v>
      </c>
      <c r="E466">
        <f>COUNTIFS(data!E:E,data!$J$2,data!G:G,"&lt;"&amp;B466)</f>
        <v>131</v>
      </c>
      <c r="F466">
        <f>COUNTIFS(data!E:E,data!$I$2,data!G:G,"&lt;"&amp;B466)</f>
        <v>32</v>
      </c>
      <c r="G466">
        <f t="shared" si="46"/>
        <v>0.63812154696132595</v>
      </c>
      <c r="H466">
        <f t="shared" si="47"/>
        <v>0.87969924812030076</v>
      </c>
      <c r="I466">
        <f t="shared" si="48"/>
        <v>2.4301084202217704E-3</v>
      </c>
      <c r="J466">
        <f t="shared" si="49"/>
        <v>0.50322580645161286</v>
      </c>
      <c r="K466">
        <f t="shared" si="50"/>
        <v>0.64021887824897394</v>
      </c>
      <c r="L466">
        <f>A466*COUNTIF(data!E:E,$J$2)/data!$M$2</f>
        <v>196.95859872611464</v>
      </c>
      <c r="M466" s="1">
        <f>A466/data!$M$2</f>
        <v>0.74044585987261147</v>
      </c>
      <c r="N466">
        <f t="shared" si="51"/>
        <v>1.188066941547417</v>
      </c>
    </row>
    <row r="467" spans="1:14" x14ac:dyDescent="0.2">
      <c r="A467">
        <v>466</v>
      </c>
      <c r="B467">
        <f>LARGE(data!G:G,A467)</f>
        <v>0.25234200880000002</v>
      </c>
      <c r="C467">
        <f>COUNTIFS(data!E:E,data!$I$2,data!G:G,"&gt;="&amp;B467)</f>
        <v>235</v>
      </c>
      <c r="D467">
        <f>COUNTIFS(data!E:E,data!$J$2,data!G:G,"&gt;="&amp;B467)</f>
        <v>231</v>
      </c>
      <c r="E467">
        <f>COUNTIFS(data!E:E,data!$J$2,data!G:G,"&lt;"&amp;B467)</f>
        <v>131</v>
      </c>
      <c r="F467">
        <f>COUNTIFS(data!E:E,data!$I$2,data!G:G,"&lt;"&amp;B467)</f>
        <v>31</v>
      </c>
      <c r="G467">
        <f t="shared" si="46"/>
        <v>0.63812154696132595</v>
      </c>
      <c r="H467">
        <f t="shared" si="47"/>
        <v>0.88345864661654139</v>
      </c>
      <c r="I467">
        <f t="shared" si="48"/>
        <v>0</v>
      </c>
      <c r="J467">
        <f t="shared" si="49"/>
        <v>0.50429184549356221</v>
      </c>
      <c r="K467">
        <f t="shared" si="50"/>
        <v>0.64207650273224037</v>
      </c>
      <c r="L467">
        <f>A467*COUNTIF(data!E:E,$J$2)/data!$M$2</f>
        <v>197.38216560509554</v>
      </c>
      <c r="M467" s="1">
        <f>A467/data!$M$2</f>
        <v>0.7420382165605095</v>
      </c>
      <c r="N467">
        <f t="shared" si="51"/>
        <v>1.1905837555261545</v>
      </c>
    </row>
    <row r="468" spans="1:14" x14ac:dyDescent="0.2">
      <c r="A468">
        <v>467</v>
      </c>
      <c r="B468">
        <f>LARGE(data!G:G,A468)</f>
        <v>0.25059869270000001</v>
      </c>
      <c r="C468">
        <f>COUNTIFS(data!E:E,data!$I$2,data!G:G,"&gt;="&amp;B468)</f>
        <v>235</v>
      </c>
      <c r="D468">
        <f>COUNTIFS(data!E:E,data!$J$2,data!G:G,"&gt;="&amp;B468)</f>
        <v>232</v>
      </c>
      <c r="E468">
        <f>COUNTIFS(data!E:E,data!$J$2,data!G:G,"&lt;"&amp;B468)</f>
        <v>130</v>
      </c>
      <c r="F468">
        <f>COUNTIFS(data!E:E,data!$I$2,data!G:G,"&lt;"&amp;B468)</f>
        <v>31</v>
      </c>
      <c r="G468">
        <f t="shared" si="46"/>
        <v>0.64088397790055252</v>
      </c>
      <c r="H468">
        <f t="shared" si="47"/>
        <v>0.88345864661654139</v>
      </c>
      <c r="I468">
        <f t="shared" si="48"/>
        <v>2.4404934989407647E-3</v>
      </c>
      <c r="J468">
        <f t="shared" si="49"/>
        <v>0.50321199143468953</v>
      </c>
      <c r="K468">
        <f t="shared" si="50"/>
        <v>0.64120054570259211</v>
      </c>
      <c r="L468">
        <f>A468*COUNTIF(data!E:E,$J$2)/data!$M$2</f>
        <v>197.80573248407643</v>
      </c>
      <c r="M468" s="1">
        <f>A468/data!$M$2</f>
        <v>0.74363057324840764</v>
      </c>
      <c r="N468">
        <f t="shared" si="51"/>
        <v>1.1880343256428008</v>
      </c>
    </row>
    <row r="469" spans="1:14" x14ac:dyDescent="0.2">
      <c r="A469">
        <v>468</v>
      </c>
      <c r="B469">
        <f>LARGE(data!G:G,A469)</f>
        <v>0.2496124542</v>
      </c>
      <c r="C469">
        <f>COUNTIFS(data!E:E,data!$I$2,data!G:G,"&gt;="&amp;B469)</f>
        <v>235</v>
      </c>
      <c r="D469">
        <f>COUNTIFS(data!E:E,data!$J$2,data!G:G,"&gt;="&amp;B469)</f>
        <v>233</v>
      </c>
      <c r="E469">
        <f>COUNTIFS(data!E:E,data!$J$2,data!G:G,"&lt;"&amp;B469)</f>
        <v>129</v>
      </c>
      <c r="F469">
        <f>COUNTIFS(data!E:E,data!$I$2,data!G:G,"&lt;"&amp;B469)</f>
        <v>31</v>
      </c>
      <c r="G469">
        <f t="shared" si="46"/>
        <v>0.64364640883977897</v>
      </c>
      <c r="H469">
        <f t="shared" si="47"/>
        <v>0.88345864661654139</v>
      </c>
      <c r="I469">
        <f t="shared" si="48"/>
        <v>2.4404934989406667E-3</v>
      </c>
      <c r="J469">
        <f t="shared" si="49"/>
        <v>0.50213675213675213</v>
      </c>
      <c r="K469">
        <f t="shared" si="50"/>
        <v>0.64032697547683937</v>
      </c>
      <c r="L469">
        <f>A469*COUNTIF(data!E:E,$J$2)/data!$M$2</f>
        <v>198.22929936305732</v>
      </c>
      <c r="M469" s="1">
        <f>A469/data!$M$2</f>
        <v>0.74522292993630568</v>
      </c>
      <c r="N469">
        <f t="shared" si="51"/>
        <v>1.1854957907589487</v>
      </c>
    </row>
    <row r="470" spans="1:14" x14ac:dyDescent="0.2">
      <c r="A470">
        <v>469</v>
      </c>
      <c r="B470">
        <f>LARGE(data!G:G,A470)</f>
        <v>0.24834260950000001</v>
      </c>
      <c r="C470">
        <f>COUNTIFS(data!E:E,data!$I$2,data!G:G,"&gt;="&amp;B470)</f>
        <v>236</v>
      </c>
      <c r="D470">
        <f>COUNTIFS(data!E:E,data!$J$2,data!G:G,"&gt;="&amp;B470)</f>
        <v>233</v>
      </c>
      <c r="E470">
        <f>COUNTIFS(data!E:E,data!$J$2,data!G:G,"&lt;"&amp;B470)</f>
        <v>129</v>
      </c>
      <c r="F470">
        <f>COUNTIFS(data!E:E,data!$I$2,data!G:G,"&lt;"&amp;B470)</f>
        <v>30</v>
      </c>
      <c r="G470">
        <f t="shared" si="46"/>
        <v>0.64364640883977897</v>
      </c>
      <c r="H470">
        <f t="shared" si="47"/>
        <v>0.88721804511278191</v>
      </c>
      <c r="I470">
        <f t="shared" si="48"/>
        <v>0</v>
      </c>
      <c r="J470">
        <f t="shared" si="49"/>
        <v>0.50319829424307039</v>
      </c>
      <c r="K470">
        <f t="shared" si="50"/>
        <v>0.64217687074829932</v>
      </c>
      <c r="L470">
        <f>A470*COUNTIF(data!E:E,$J$2)/data!$M$2</f>
        <v>198.65286624203821</v>
      </c>
      <c r="M470" s="1">
        <f>A470/data!$M$2</f>
        <v>0.74681528662420382</v>
      </c>
      <c r="N470">
        <f t="shared" si="51"/>
        <v>1.1880019879122112</v>
      </c>
    </row>
    <row r="471" spans="1:14" x14ac:dyDescent="0.2">
      <c r="A471">
        <v>470</v>
      </c>
      <c r="B471">
        <f>LARGE(data!G:G,A471)</f>
        <v>0.24777103659999999</v>
      </c>
      <c r="C471">
        <f>COUNTIFS(data!E:E,data!$I$2,data!G:G,"&gt;="&amp;B471)</f>
        <v>236</v>
      </c>
      <c r="D471">
        <f>COUNTIFS(data!E:E,data!$J$2,data!G:G,"&gt;="&amp;B471)</f>
        <v>234</v>
      </c>
      <c r="E471">
        <f>COUNTIFS(data!E:E,data!$J$2,data!G:G,"&lt;"&amp;B471)</f>
        <v>128</v>
      </c>
      <c r="F471">
        <f>COUNTIFS(data!E:E,data!$I$2,data!G:G,"&lt;"&amp;B471)</f>
        <v>30</v>
      </c>
      <c r="G471">
        <f t="shared" si="46"/>
        <v>0.64640883977900554</v>
      </c>
      <c r="H471">
        <f t="shared" si="47"/>
        <v>0.88721804511278191</v>
      </c>
      <c r="I471">
        <f t="shared" si="48"/>
        <v>2.4508785776596615E-3</v>
      </c>
      <c r="J471">
        <f t="shared" si="49"/>
        <v>0.50212765957446803</v>
      </c>
      <c r="K471">
        <f t="shared" si="50"/>
        <v>0.64130434782608692</v>
      </c>
      <c r="L471">
        <f>A471*COUNTIF(data!E:E,$J$2)/data!$M$2</f>
        <v>199.07643312101911</v>
      </c>
      <c r="M471" s="1">
        <f>A471/data!$M$2</f>
        <v>0.74840764331210186</v>
      </c>
      <c r="N471">
        <f t="shared" si="51"/>
        <v>1.1854743241081427</v>
      </c>
    </row>
    <row r="472" spans="1:14" x14ac:dyDescent="0.2">
      <c r="A472">
        <v>471</v>
      </c>
      <c r="B472">
        <f>LARGE(data!G:G,A472)</f>
        <v>0.24774235180000001</v>
      </c>
      <c r="C472">
        <f>COUNTIFS(data!E:E,data!$I$2,data!G:G,"&gt;="&amp;B472)</f>
        <v>237</v>
      </c>
      <c r="D472">
        <f>COUNTIFS(data!E:E,data!$J$2,data!G:G,"&gt;="&amp;B472)</f>
        <v>234</v>
      </c>
      <c r="E472">
        <f>COUNTIFS(data!E:E,data!$J$2,data!G:G,"&lt;"&amp;B472)</f>
        <v>128</v>
      </c>
      <c r="F472">
        <f>COUNTIFS(data!E:E,data!$I$2,data!G:G,"&lt;"&amp;B472)</f>
        <v>29</v>
      </c>
      <c r="G472">
        <f t="shared" si="46"/>
        <v>0.64640883977900554</v>
      </c>
      <c r="H472">
        <f t="shared" si="47"/>
        <v>0.89097744360902253</v>
      </c>
      <c r="I472">
        <f t="shared" si="48"/>
        <v>0</v>
      </c>
      <c r="J472">
        <f t="shared" si="49"/>
        <v>0.50318471337579618</v>
      </c>
      <c r="K472">
        <f t="shared" si="50"/>
        <v>0.64314789687924023</v>
      </c>
      <c r="L472">
        <f>A472*COUNTIF(data!E:E,$J$2)/data!$M$2</f>
        <v>199.5</v>
      </c>
      <c r="M472" s="1">
        <f>A472/data!$M$2</f>
        <v>0.75</v>
      </c>
      <c r="N472">
        <f t="shared" si="51"/>
        <v>1.1879699248120301</v>
      </c>
    </row>
    <row r="473" spans="1:14" x14ac:dyDescent="0.2">
      <c r="A473">
        <v>472</v>
      </c>
      <c r="B473">
        <f>LARGE(data!G:G,A473)</f>
        <v>0.2462973923</v>
      </c>
      <c r="C473">
        <f>COUNTIFS(data!E:E,data!$I$2,data!G:G,"&gt;="&amp;B473)</f>
        <v>238</v>
      </c>
      <c r="D473">
        <f>COUNTIFS(data!E:E,data!$J$2,data!G:G,"&gt;="&amp;B473)</f>
        <v>235</v>
      </c>
      <c r="E473">
        <f>COUNTIFS(data!E:E,data!$J$2,data!G:G,"&lt;"&amp;B473)</f>
        <v>127</v>
      </c>
      <c r="F473">
        <f>COUNTIFS(data!E:E,data!$I$2,data!G:G,"&lt;"&amp;B473)</f>
        <v>28</v>
      </c>
      <c r="G473">
        <f t="shared" si="46"/>
        <v>0.649171270718232</v>
      </c>
      <c r="H473">
        <f t="shared" si="47"/>
        <v>0.89473684210526316</v>
      </c>
      <c r="I473">
        <f t="shared" si="48"/>
        <v>2.4664561957379078E-3</v>
      </c>
      <c r="J473">
        <f t="shared" si="49"/>
        <v>0.5031712473572939</v>
      </c>
      <c r="K473">
        <f t="shared" si="50"/>
        <v>0.64411366711772666</v>
      </c>
      <c r="L473">
        <f>A473*COUNTIF(data!E:E,$J$2)/data!$M$2</f>
        <v>199.92356687898089</v>
      </c>
      <c r="M473" s="1">
        <f>A473/data!$M$2</f>
        <v>0.75159235668789814</v>
      </c>
      <c r="N473">
        <f t="shared" si="51"/>
        <v>1.1904549509366638</v>
      </c>
    </row>
    <row r="474" spans="1:14" x14ac:dyDescent="0.2">
      <c r="A474">
        <v>473</v>
      </c>
      <c r="B474">
        <f>LARGE(data!G:G,A474)</f>
        <v>0.2462973923</v>
      </c>
      <c r="C474">
        <f>COUNTIFS(data!E:E,data!$I$2,data!G:G,"&gt;="&amp;B474)</f>
        <v>238</v>
      </c>
      <c r="D474">
        <f>COUNTIFS(data!E:E,data!$J$2,data!G:G,"&gt;="&amp;B474)</f>
        <v>235</v>
      </c>
      <c r="E474">
        <f>COUNTIFS(data!E:E,data!$J$2,data!G:G,"&lt;"&amp;B474)</f>
        <v>127</v>
      </c>
      <c r="F474">
        <f>COUNTIFS(data!E:E,data!$I$2,data!G:G,"&lt;"&amp;B474)</f>
        <v>28</v>
      </c>
      <c r="G474">
        <f t="shared" si="46"/>
        <v>0.649171270718232</v>
      </c>
      <c r="H474">
        <f t="shared" si="47"/>
        <v>0.89473684210526316</v>
      </c>
      <c r="I474">
        <f t="shared" si="48"/>
        <v>0</v>
      </c>
      <c r="J474">
        <f t="shared" si="49"/>
        <v>0.5031712473572939</v>
      </c>
      <c r="K474">
        <f t="shared" si="50"/>
        <v>0.64411366711772666</v>
      </c>
      <c r="L474">
        <f>A474*COUNTIF(data!E:E,$J$2)/data!$M$2</f>
        <v>200.34713375796179</v>
      </c>
      <c r="M474" s="1">
        <f>A474/data!$M$2</f>
        <v>0.75318471337579618</v>
      </c>
      <c r="N474">
        <f t="shared" si="51"/>
        <v>1.1879381328585734</v>
      </c>
    </row>
    <row r="475" spans="1:14" x14ac:dyDescent="0.2">
      <c r="A475">
        <v>474</v>
      </c>
      <c r="B475">
        <f>LARGE(data!G:G,A475)</f>
        <v>0.2458326951</v>
      </c>
      <c r="C475">
        <f>COUNTIFS(data!E:E,data!$I$2,data!G:G,"&gt;="&amp;B475)</f>
        <v>239</v>
      </c>
      <c r="D475">
        <f>COUNTIFS(data!E:E,data!$J$2,data!G:G,"&gt;="&amp;B475)</f>
        <v>235</v>
      </c>
      <c r="E475">
        <f>COUNTIFS(data!E:E,data!$J$2,data!G:G,"&lt;"&amp;B475)</f>
        <v>127</v>
      </c>
      <c r="F475">
        <f>COUNTIFS(data!E:E,data!$I$2,data!G:G,"&lt;"&amp;B475)</f>
        <v>27</v>
      </c>
      <c r="G475">
        <f t="shared" si="46"/>
        <v>0.649171270718232</v>
      </c>
      <c r="H475">
        <f t="shared" si="47"/>
        <v>0.89849624060150379</v>
      </c>
      <c r="I475">
        <f t="shared" si="48"/>
        <v>0</v>
      </c>
      <c r="J475">
        <f t="shared" si="49"/>
        <v>0.50421940928270037</v>
      </c>
      <c r="K475">
        <f t="shared" si="50"/>
        <v>0.6459459459459459</v>
      </c>
      <c r="L475">
        <f>A475*COUNTIF(data!E:E,$J$2)/data!$M$2</f>
        <v>200.77070063694268</v>
      </c>
      <c r="M475" s="1">
        <f>A475/data!$M$2</f>
        <v>0.75477707006369432</v>
      </c>
      <c r="N475">
        <f t="shared" si="51"/>
        <v>1.1904127407125409</v>
      </c>
    </row>
    <row r="476" spans="1:14" x14ac:dyDescent="0.2">
      <c r="A476">
        <v>475</v>
      </c>
      <c r="B476">
        <f>LARGE(data!G:G,A476)</f>
        <v>0.243229687</v>
      </c>
      <c r="C476">
        <f>COUNTIFS(data!E:E,data!$I$2,data!G:G,"&gt;="&amp;B476)</f>
        <v>239</v>
      </c>
      <c r="D476">
        <f>COUNTIFS(data!E:E,data!$J$2,data!G:G,"&gt;="&amp;B476)</f>
        <v>236</v>
      </c>
      <c r="E476">
        <f>COUNTIFS(data!E:E,data!$J$2,data!G:G,"&lt;"&amp;B476)</f>
        <v>126</v>
      </c>
      <c r="F476">
        <f>COUNTIFS(data!E:E,data!$I$2,data!G:G,"&lt;"&amp;B476)</f>
        <v>27</v>
      </c>
      <c r="G476">
        <f t="shared" si="46"/>
        <v>0.65193370165745856</v>
      </c>
      <c r="H476">
        <f t="shared" si="47"/>
        <v>0.89849624060150379</v>
      </c>
      <c r="I476">
        <f t="shared" si="48"/>
        <v>2.4820338138163522E-3</v>
      </c>
      <c r="J476">
        <f t="shared" si="49"/>
        <v>0.50315789473684214</v>
      </c>
      <c r="K476">
        <f t="shared" si="50"/>
        <v>0.64507422402159242</v>
      </c>
      <c r="L476">
        <f>A476*COUNTIF(data!E:E,$J$2)/data!$M$2</f>
        <v>201.19426751592357</v>
      </c>
      <c r="M476" s="1">
        <f>A476/data!$M$2</f>
        <v>0.75636942675159236</v>
      </c>
      <c r="N476">
        <f t="shared" si="51"/>
        <v>1.1879066086268302</v>
      </c>
    </row>
    <row r="477" spans="1:14" x14ac:dyDescent="0.2">
      <c r="A477">
        <v>476</v>
      </c>
      <c r="B477">
        <f>LARGE(data!G:G,A477)</f>
        <v>0.24077950419999999</v>
      </c>
      <c r="C477">
        <f>COUNTIFS(data!E:E,data!$I$2,data!G:G,"&gt;="&amp;B477)</f>
        <v>239</v>
      </c>
      <c r="D477">
        <f>COUNTIFS(data!E:E,data!$J$2,data!G:G,"&gt;="&amp;B477)</f>
        <v>237</v>
      </c>
      <c r="E477">
        <f>COUNTIFS(data!E:E,data!$J$2,data!G:G,"&lt;"&amp;B477)</f>
        <v>125</v>
      </c>
      <c r="F477">
        <f>COUNTIFS(data!E:E,data!$I$2,data!G:G,"&lt;"&amp;B477)</f>
        <v>27</v>
      </c>
      <c r="G477">
        <f t="shared" si="46"/>
        <v>0.65469613259668513</v>
      </c>
      <c r="H477">
        <f t="shared" si="47"/>
        <v>0.89849624060150379</v>
      </c>
      <c r="I477">
        <f t="shared" si="48"/>
        <v>2.4820338138163522E-3</v>
      </c>
      <c r="J477">
        <f t="shared" si="49"/>
        <v>0.50210084033613445</v>
      </c>
      <c r="K477">
        <f t="shared" si="50"/>
        <v>0.64420485175202158</v>
      </c>
      <c r="L477">
        <f>A477*COUNTIF(data!E:E,$J$2)/data!$M$2</f>
        <v>201.61783439490446</v>
      </c>
      <c r="M477" s="1">
        <f>A477/data!$M$2</f>
        <v>0.7579617834394905</v>
      </c>
      <c r="N477">
        <f t="shared" si="51"/>
        <v>1.1854110065078662</v>
      </c>
    </row>
    <row r="478" spans="1:14" x14ac:dyDescent="0.2">
      <c r="A478">
        <v>477</v>
      </c>
      <c r="B478">
        <f>LARGE(data!G:G,A478)</f>
        <v>0.2379690196</v>
      </c>
      <c r="C478">
        <f>COUNTIFS(data!E:E,data!$I$2,data!G:G,"&gt;="&amp;B478)</f>
        <v>239</v>
      </c>
      <c r="D478">
        <f>COUNTIFS(data!E:E,data!$J$2,data!G:G,"&gt;="&amp;B478)</f>
        <v>238</v>
      </c>
      <c r="E478">
        <f>COUNTIFS(data!E:E,data!$J$2,data!G:G,"&lt;"&amp;B478)</f>
        <v>124</v>
      </c>
      <c r="F478">
        <f>COUNTIFS(data!E:E,data!$I$2,data!G:G,"&lt;"&amp;B478)</f>
        <v>27</v>
      </c>
      <c r="G478">
        <f t="shared" si="46"/>
        <v>0.65745856353591159</v>
      </c>
      <c r="H478">
        <f t="shared" si="47"/>
        <v>0.89849624060150379</v>
      </c>
      <c r="I478">
        <f t="shared" si="48"/>
        <v>2.4820338138162525E-3</v>
      </c>
      <c r="J478">
        <f t="shared" si="49"/>
        <v>0.50104821802935007</v>
      </c>
      <c r="K478">
        <f t="shared" si="50"/>
        <v>0.6433378196500672</v>
      </c>
      <c r="L478">
        <f>A478*COUNTIF(data!E:E,$J$2)/data!$M$2</f>
        <v>202.04140127388536</v>
      </c>
      <c r="M478" s="1">
        <f>A478/data!$M$2</f>
        <v>0.75955414012738853</v>
      </c>
      <c r="N478">
        <f t="shared" si="51"/>
        <v>1.182925868129443</v>
      </c>
    </row>
    <row r="479" spans="1:14" x14ac:dyDescent="0.2">
      <c r="A479">
        <v>478</v>
      </c>
      <c r="B479">
        <f>LARGE(data!G:G,A479)</f>
        <v>0.23570228139999999</v>
      </c>
      <c r="C479">
        <f>COUNTIFS(data!E:E,data!$I$2,data!G:G,"&gt;="&amp;B479)</f>
        <v>239</v>
      </c>
      <c r="D479">
        <f>COUNTIFS(data!E:E,data!$J$2,data!G:G,"&gt;="&amp;B479)</f>
        <v>239</v>
      </c>
      <c r="E479">
        <f>COUNTIFS(data!E:E,data!$J$2,data!G:G,"&lt;"&amp;B479)</f>
        <v>123</v>
      </c>
      <c r="F479">
        <f>COUNTIFS(data!E:E,data!$I$2,data!G:G,"&lt;"&amp;B479)</f>
        <v>27</v>
      </c>
      <c r="G479">
        <f t="shared" si="46"/>
        <v>0.66022099447513816</v>
      </c>
      <c r="H479">
        <f t="shared" si="47"/>
        <v>0.89849624060150379</v>
      </c>
      <c r="I479">
        <f t="shared" si="48"/>
        <v>2.4820338138163522E-3</v>
      </c>
      <c r="J479">
        <f t="shared" si="49"/>
        <v>0.5</v>
      </c>
      <c r="K479">
        <f t="shared" si="50"/>
        <v>0.64247311827956988</v>
      </c>
      <c r="L479">
        <f>A479*COUNTIF(data!E:E,$J$2)/data!$M$2</f>
        <v>202.46496815286625</v>
      </c>
      <c r="M479" s="1">
        <f>A479/data!$M$2</f>
        <v>0.76114649681528668</v>
      </c>
      <c r="N479">
        <f t="shared" si="51"/>
        <v>1.1804511278195489</v>
      </c>
    </row>
    <row r="480" spans="1:14" x14ac:dyDescent="0.2">
      <c r="A480">
        <v>479</v>
      </c>
      <c r="B480">
        <f>LARGE(data!G:G,A480)</f>
        <v>0.2354725852</v>
      </c>
      <c r="C480">
        <f>COUNTIFS(data!E:E,data!$I$2,data!G:G,"&gt;="&amp;B480)</f>
        <v>239</v>
      </c>
      <c r="D480">
        <f>COUNTIFS(data!E:E,data!$J$2,data!G:G,"&gt;="&amp;B480)</f>
        <v>240</v>
      </c>
      <c r="E480">
        <f>COUNTIFS(data!E:E,data!$J$2,data!G:G,"&lt;"&amp;B480)</f>
        <v>122</v>
      </c>
      <c r="F480">
        <f>COUNTIFS(data!E:E,data!$I$2,data!G:G,"&lt;"&amp;B480)</f>
        <v>27</v>
      </c>
      <c r="G480">
        <f t="shared" si="46"/>
        <v>0.66298342541436461</v>
      </c>
      <c r="H480">
        <f t="shared" si="47"/>
        <v>0.89849624060150379</v>
      </c>
      <c r="I480">
        <f t="shared" si="48"/>
        <v>2.4820338138162525E-3</v>
      </c>
      <c r="J480">
        <f t="shared" si="49"/>
        <v>0.4989561586638831</v>
      </c>
      <c r="K480">
        <f t="shared" si="50"/>
        <v>0.64161073825503356</v>
      </c>
      <c r="L480">
        <f>A480*COUNTIF(data!E:E,$J$2)/data!$M$2</f>
        <v>202.88853503184714</v>
      </c>
      <c r="M480" s="1">
        <f>A480/data!$M$2</f>
        <v>0.76273885350318471</v>
      </c>
      <c r="N480">
        <f t="shared" si="51"/>
        <v>1.1779867204545811</v>
      </c>
    </row>
    <row r="481" spans="1:14" x14ac:dyDescent="0.2">
      <c r="A481">
        <v>480</v>
      </c>
      <c r="B481">
        <f>LARGE(data!G:G,A481)</f>
        <v>0.23471715539999999</v>
      </c>
      <c r="C481">
        <f>COUNTIFS(data!E:E,data!$I$2,data!G:G,"&gt;="&amp;B481)</f>
        <v>239</v>
      </c>
      <c r="D481">
        <f>COUNTIFS(data!E:E,data!$J$2,data!G:G,"&gt;="&amp;B481)</f>
        <v>241</v>
      </c>
      <c r="E481">
        <f>COUNTIFS(data!E:E,data!$J$2,data!G:G,"&lt;"&amp;B481)</f>
        <v>121</v>
      </c>
      <c r="F481">
        <f>COUNTIFS(data!E:E,data!$I$2,data!G:G,"&lt;"&amp;B481)</f>
        <v>27</v>
      </c>
      <c r="G481">
        <f t="shared" si="46"/>
        <v>0.66574585635359118</v>
      </c>
      <c r="H481">
        <f t="shared" si="47"/>
        <v>0.89849624060150379</v>
      </c>
      <c r="I481">
        <f t="shared" si="48"/>
        <v>2.4820338138163522E-3</v>
      </c>
      <c r="J481">
        <f t="shared" si="49"/>
        <v>0.49791666666666667</v>
      </c>
      <c r="K481">
        <f t="shared" si="50"/>
        <v>0.64075067024128685</v>
      </c>
      <c r="L481">
        <f>A481*COUNTIF(data!E:E,$J$2)/data!$M$2</f>
        <v>203.31210191082803</v>
      </c>
      <c r="M481" s="1">
        <f>A481/data!$M$2</f>
        <v>0.76433121019108285</v>
      </c>
      <c r="N481">
        <f t="shared" si="51"/>
        <v>1.1755325814536339</v>
      </c>
    </row>
    <row r="482" spans="1:14" x14ac:dyDescent="0.2">
      <c r="A482">
        <v>481</v>
      </c>
      <c r="B482">
        <f>LARGE(data!G:G,A482)</f>
        <v>0.2332289904</v>
      </c>
      <c r="C482">
        <f>COUNTIFS(data!E:E,data!$I$2,data!G:G,"&gt;="&amp;B482)</f>
        <v>239</v>
      </c>
      <c r="D482">
        <f>COUNTIFS(data!E:E,data!$J$2,data!G:G,"&gt;="&amp;B482)</f>
        <v>242</v>
      </c>
      <c r="E482">
        <f>COUNTIFS(data!E:E,data!$J$2,data!G:G,"&lt;"&amp;B482)</f>
        <v>120</v>
      </c>
      <c r="F482">
        <f>COUNTIFS(data!E:E,data!$I$2,data!G:G,"&lt;"&amp;B482)</f>
        <v>27</v>
      </c>
      <c r="G482">
        <f t="shared" si="46"/>
        <v>0.66850828729281764</v>
      </c>
      <c r="H482">
        <f t="shared" si="47"/>
        <v>0.89849624060150379</v>
      </c>
      <c r="I482">
        <f t="shared" si="48"/>
        <v>2.4820338138162525E-3</v>
      </c>
      <c r="J482">
        <f t="shared" si="49"/>
        <v>0.49688149688149691</v>
      </c>
      <c r="K482">
        <f t="shared" si="50"/>
        <v>0.63989290495314588</v>
      </c>
      <c r="L482">
        <f>A482*COUNTIF(data!E:E,$J$2)/data!$M$2</f>
        <v>203.73566878980893</v>
      </c>
      <c r="M482" s="1">
        <f>A482/data!$M$2</f>
        <v>0.76592356687898089</v>
      </c>
      <c r="N482">
        <f t="shared" si="51"/>
        <v>1.1730886467728572</v>
      </c>
    </row>
    <row r="483" spans="1:14" x14ac:dyDescent="0.2">
      <c r="A483">
        <v>482</v>
      </c>
      <c r="B483">
        <f>LARGE(data!G:G,A483)</f>
        <v>0.23052362600000001</v>
      </c>
      <c r="C483">
        <f>COUNTIFS(data!E:E,data!$I$2,data!G:G,"&gt;="&amp;B483)</f>
        <v>239</v>
      </c>
      <c r="D483">
        <f>COUNTIFS(data!E:E,data!$J$2,data!G:G,"&gt;="&amp;B483)</f>
        <v>243</v>
      </c>
      <c r="E483">
        <f>COUNTIFS(data!E:E,data!$J$2,data!G:G,"&lt;"&amp;B483)</f>
        <v>119</v>
      </c>
      <c r="F483">
        <f>COUNTIFS(data!E:E,data!$I$2,data!G:G,"&lt;"&amp;B483)</f>
        <v>27</v>
      </c>
      <c r="G483">
        <f t="shared" si="46"/>
        <v>0.67127071823204421</v>
      </c>
      <c r="H483">
        <f t="shared" si="47"/>
        <v>0.89849624060150379</v>
      </c>
      <c r="I483">
        <f t="shared" si="48"/>
        <v>2.4820338138163522E-3</v>
      </c>
      <c r="J483">
        <f t="shared" si="49"/>
        <v>0.49585062240663902</v>
      </c>
      <c r="K483">
        <f t="shared" si="50"/>
        <v>0.63903743315508021</v>
      </c>
      <c r="L483">
        <f>A483*COUNTIF(data!E:E,$J$2)/data!$M$2</f>
        <v>204.15923566878982</v>
      </c>
      <c r="M483" s="1">
        <f>A483/data!$M$2</f>
        <v>0.76751592356687903</v>
      </c>
      <c r="N483">
        <f t="shared" si="51"/>
        <v>1.1706548528998846</v>
      </c>
    </row>
    <row r="484" spans="1:14" x14ac:dyDescent="0.2">
      <c r="A484">
        <v>483</v>
      </c>
      <c r="B484">
        <f>LARGE(data!G:G,A484)</f>
        <v>0.22585497639999999</v>
      </c>
      <c r="C484">
        <f>COUNTIFS(data!E:E,data!$I$2,data!G:G,"&gt;="&amp;B484)</f>
        <v>239</v>
      </c>
      <c r="D484">
        <f>COUNTIFS(data!E:E,data!$J$2,data!G:G,"&gt;="&amp;B484)</f>
        <v>244</v>
      </c>
      <c r="E484">
        <f>COUNTIFS(data!E:E,data!$J$2,data!G:G,"&lt;"&amp;B484)</f>
        <v>118</v>
      </c>
      <c r="F484">
        <f>COUNTIFS(data!E:E,data!$I$2,data!G:G,"&lt;"&amp;B484)</f>
        <v>27</v>
      </c>
      <c r="G484">
        <f t="shared" si="46"/>
        <v>0.67403314917127077</v>
      </c>
      <c r="H484">
        <f t="shared" si="47"/>
        <v>0.89849624060150379</v>
      </c>
      <c r="I484">
        <f t="shared" si="48"/>
        <v>2.4820338138163522E-3</v>
      </c>
      <c r="J484">
        <f t="shared" si="49"/>
        <v>0.49482401656314701</v>
      </c>
      <c r="K484">
        <f t="shared" si="50"/>
        <v>0.63818424566088117</v>
      </c>
      <c r="L484">
        <f>A484*COUNTIF(data!E:E,$J$2)/data!$M$2</f>
        <v>204.58280254777071</v>
      </c>
      <c r="M484" s="1">
        <f>A484/data!$M$2</f>
        <v>0.76910828025477707</v>
      </c>
      <c r="N484">
        <f t="shared" si="51"/>
        <v>1.168231136848332</v>
      </c>
    </row>
    <row r="485" spans="1:14" x14ac:dyDescent="0.2">
      <c r="A485">
        <v>484</v>
      </c>
      <c r="B485">
        <f>LARGE(data!G:G,A485)</f>
        <v>0.22577840630000001</v>
      </c>
      <c r="C485">
        <f>COUNTIFS(data!E:E,data!$I$2,data!G:G,"&gt;="&amp;B485)</f>
        <v>240</v>
      </c>
      <c r="D485">
        <f>COUNTIFS(data!E:E,data!$J$2,data!G:G,"&gt;="&amp;B485)</f>
        <v>244</v>
      </c>
      <c r="E485">
        <f>COUNTIFS(data!E:E,data!$J$2,data!G:G,"&lt;"&amp;B485)</f>
        <v>118</v>
      </c>
      <c r="F485">
        <f>COUNTIFS(data!E:E,data!$I$2,data!G:G,"&lt;"&amp;B485)</f>
        <v>26</v>
      </c>
      <c r="G485">
        <f t="shared" si="46"/>
        <v>0.67403314917127077</v>
      </c>
      <c r="H485">
        <f t="shared" si="47"/>
        <v>0.90225563909774431</v>
      </c>
      <c r="I485">
        <f t="shared" si="48"/>
        <v>0</v>
      </c>
      <c r="J485">
        <f t="shared" si="49"/>
        <v>0.49586776859504134</v>
      </c>
      <c r="K485">
        <f t="shared" si="50"/>
        <v>0.64</v>
      </c>
      <c r="L485">
        <f>A485*COUNTIF(data!E:E,$J$2)/data!$M$2</f>
        <v>205.0063694267516</v>
      </c>
      <c r="M485" s="1">
        <f>A485/data!$M$2</f>
        <v>0.77070063694267521</v>
      </c>
      <c r="N485">
        <f t="shared" si="51"/>
        <v>1.1706953333747592</v>
      </c>
    </row>
    <row r="486" spans="1:14" x14ac:dyDescent="0.2">
      <c r="A486">
        <v>485</v>
      </c>
      <c r="B486">
        <f>LARGE(data!G:G,A486)</f>
        <v>0.22432473750000001</v>
      </c>
      <c r="C486">
        <f>COUNTIFS(data!E:E,data!$I$2,data!G:G,"&gt;="&amp;B486)</f>
        <v>240</v>
      </c>
      <c r="D486">
        <f>COUNTIFS(data!E:E,data!$J$2,data!G:G,"&gt;="&amp;B486)</f>
        <v>245</v>
      </c>
      <c r="E486">
        <f>COUNTIFS(data!E:E,data!$J$2,data!G:G,"&lt;"&amp;B486)</f>
        <v>117</v>
      </c>
      <c r="F486">
        <f>COUNTIFS(data!E:E,data!$I$2,data!G:G,"&lt;"&amp;B486)</f>
        <v>26</v>
      </c>
      <c r="G486">
        <f t="shared" si="46"/>
        <v>0.67679558011049723</v>
      </c>
      <c r="H486">
        <f t="shared" si="47"/>
        <v>0.90225563909774431</v>
      </c>
      <c r="I486">
        <f t="shared" si="48"/>
        <v>2.4924188925351488E-3</v>
      </c>
      <c r="J486">
        <f t="shared" si="49"/>
        <v>0.49484536082474229</v>
      </c>
      <c r="K486">
        <f t="shared" si="50"/>
        <v>0.63914780292942741</v>
      </c>
      <c r="L486">
        <f>A486*COUNTIF(data!E:E,$J$2)/data!$M$2</f>
        <v>205.4299363057325</v>
      </c>
      <c r="M486" s="1">
        <f>A486/data!$M$2</f>
        <v>0.77229299363057324</v>
      </c>
      <c r="N486">
        <f t="shared" si="51"/>
        <v>1.1682815285636772</v>
      </c>
    </row>
    <row r="487" spans="1:14" x14ac:dyDescent="0.2">
      <c r="A487">
        <v>486</v>
      </c>
      <c r="B487">
        <f>LARGE(data!G:G,A487)</f>
        <v>0.2239605382</v>
      </c>
      <c r="C487">
        <f>COUNTIFS(data!E:E,data!$I$2,data!G:G,"&gt;="&amp;B487)</f>
        <v>241</v>
      </c>
      <c r="D487">
        <f>COUNTIFS(data!E:E,data!$J$2,data!G:G,"&gt;="&amp;B487)</f>
        <v>245</v>
      </c>
      <c r="E487">
        <f>COUNTIFS(data!E:E,data!$J$2,data!G:G,"&lt;"&amp;B487)</f>
        <v>117</v>
      </c>
      <c r="F487">
        <f>COUNTIFS(data!E:E,data!$I$2,data!G:G,"&lt;"&amp;B487)</f>
        <v>25</v>
      </c>
      <c r="G487">
        <f t="shared" si="46"/>
        <v>0.67679558011049723</v>
      </c>
      <c r="H487">
        <f t="shared" si="47"/>
        <v>0.90601503759398494</v>
      </c>
      <c r="I487">
        <f t="shared" si="48"/>
        <v>0</v>
      </c>
      <c r="J487">
        <f t="shared" si="49"/>
        <v>0.49588477366255146</v>
      </c>
      <c r="K487">
        <f t="shared" si="50"/>
        <v>0.64095744680851063</v>
      </c>
      <c r="L487">
        <f>A487*COUNTIF(data!E:E,$J$2)/data!$M$2</f>
        <v>205.85350318471339</v>
      </c>
      <c r="M487" s="1">
        <f>A487/data!$M$2</f>
        <v>0.77388535031847139</v>
      </c>
      <c r="N487">
        <f t="shared" si="51"/>
        <v>1.1707354806770012</v>
      </c>
    </row>
    <row r="488" spans="1:14" x14ac:dyDescent="0.2">
      <c r="A488">
        <v>487</v>
      </c>
      <c r="B488">
        <f>LARGE(data!G:G,A488)</f>
        <v>0.2184456259</v>
      </c>
      <c r="C488">
        <f>COUNTIFS(data!E:E,data!$I$2,data!G:G,"&gt;="&amp;B488)</f>
        <v>241</v>
      </c>
      <c r="D488">
        <f>COUNTIFS(data!E:E,data!$J$2,data!G:G,"&gt;="&amp;B488)</f>
        <v>246</v>
      </c>
      <c r="E488">
        <f>COUNTIFS(data!E:E,data!$J$2,data!G:G,"&lt;"&amp;B488)</f>
        <v>116</v>
      </c>
      <c r="F488">
        <f>COUNTIFS(data!E:E,data!$I$2,data!G:G,"&lt;"&amp;B488)</f>
        <v>25</v>
      </c>
      <c r="G488">
        <f t="shared" si="46"/>
        <v>0.6795580110497238</v>
      </c>
      <c r="H488">
        <f t="shared" si="47"/>
        <v>0.90601503759398494</v>
      </c>
      <c r="I488">
        <f t="shared" si="48"/>
        <v>2.5028039712541457E-3</v>
      </c>
      <c r="J488">
        <f t="shared" si="49"/>
        <v>0.49486652977412732</v>
      </c>
      <c r="K488">
        <f t="shared" si="50"/>
        <v>0.64010624169986718</v>
      </c>
      <c r="L488">
        <f>A488*COUNTIF(data!E:E,$J$2)/data!$M$2</f>
        <v>206.27707006369425</v>
      </c>
      <c r="M488" s="1">
        <f>A488/data!$M$2</f>
        <v>0.77547770700636942</v>
      </c>
      <c r="N488">
        <f t="shared" si="51"/>
        <v>1.16833150638403</v>
      </c>
    </row>
    <row r="489" spans="1:14" x14ac:dyDescent="0.2">
      <c r="A489">
        <v>488</v>
      </c>
      <c r="B489">
        <f>LARGE(data!G:G,A489)</f>
        <v>0.21664235709999999</v>
      </c>
      <c r="C489">
        <f>COUNTIFS(data!E:E,data!$I$2,data!G:G,"&gt;="&amp;B489)</f>
        <v>241</v>
      </c>
      <c r="D489">
        <f>COUNTIFS(data!E:E,data!$J$2,data!G:G,"&gt;="&amp;B489)</f>
        <v>247</v>
      </c>
      <c r="E489">
        <f>COUNTIFS(data!E:E,data!$J$2,data!G:G,"&lt;"&amp;B489)</f>
        <v>115</v>
      </c>
      <c r="F489">
        <f>COUNTIFS(data!E:E,data!$I$2,data!G:G,"&lt;"&amp;B489)</f>
        <v>25</v>
      </c>
      <c r="G489">
        <f t="shared" si="46"/>
        <v>0.68232044198895025</v>
      </c>
      <c r="H489">
        <f t="shared" si="47"/>
        <v>0.90601503759398494</v>
      </c>
      <c r="I489">
        <f t="shared" si="48"/>
        <v>2.5028039712540456E-3</v>
      </c>
      <c r="J489">
        <f t="shared" si="49"/>
        <v>0.49385245901639346</v>
      </c>
      <c r="K489">
        <f t="shared" si="50"/>
        <v>0.63925729442970824</v>
      </c>
      <c r="L489">
        <f>A489*COUNTIF(data!E:E,$J$2)/data!$M$2</f>
        <v>206.70063694267515</v>
      </c>
      <c r="M489" s="1">
        <f>A489/data!$M$2</f>
        <v>0.77707006369426757</v>
      </c>
      <c r="N489">
        <f t="shared" si="51"/>
        <v>1.1659373844447185</v>
      </c>
    </row>
    <row r="490" spans="1:14" x14ac:dyDescent="0.2">
      <c r="A490">
        <v>489</v>
      </c>
      <c r="B490">
        <f>LARGE(data!G:G,A490)</f>
        <v>0.21631854710000001</v>
      </c>
      <c r="C490">
        <f>COUNTIFS(data!E:E,data!$I$2,data!G:G,"&gt;="&amp;B490)</f>
        <v>242</v>
      </c>
      <c r="D490">
        <f>COUNTIFS(data!E:E,data!$J$2,data!G:G,"&gt;="&amp;B490)</f>
        <v>247</v>
      </c>
      <c r="E490">
        <f>COUNTIFS(data!E:E,data!$J$2,data!G:G,"&lt;"&amp;B490)</f>
        <v>115</v>
      </c>
      <c r="F490">
        <f>COUNTIFS(data!E:E,data!$I$2,data!G:G,"&lt;"&amp;B490)</f>
        <v>24</v>
      </c>
      <c r="G490">
        <f t="shared" si="46"/>
        <v>0.68232044198895025</v>
      </c>
      <c r="H490">
        <f t="shared" si="47"/>
        <v>0.90977443609022557</v>
      </c>
      <c r="I490">
        <f t="shared" si="48"/>
        <v>0</v>
      </c>
      <c r="J490">
        <f t="shared" si="49"/>
        <v>0.4948875255623722</v>
      </c>
      <c r="K490">
        <f t="shared" si="50"/>
        <v>0.64105960264900663</v>
      </c>
      <c r="L490">
        <f>A490*COUNTIF(data!E:E,$J$2)/data!$M$2</f>
        <v>207.12420382165604</v>
      </c>
      <c r="M490" s="1">
        <f>A490/data!$M$2</f>
        <v>0.7786624203821656</v>
      </c>
      <c r="N490">
        <f t="shared" si="51"/>
        <v>1.1683810753878563</v>
      </c>
    </row>
    <row r="491" spans="1:14" x14ac:dyDescent="0.2">
      <c r="A491">
        <v>490</v>
      </c>
      <c r="B491">
        <f>LARGE(data!G:G,A491)</f>
        <v>0.21551875130000001</v>
      </c>
      <c r="C491">
        <f>COUNTIFS(data!E:E,data!$I$2,data!G:G,"&gt;="&amp;B491)</f>
        <v>242</v>
      </c>
      <c r="D491">
        <f>COUNTIFS(data!E:E,data!$J$2,data!G:G,"&gt;="&amp;B491)</f>
        <v>248</v>
      </c>
      <c r="E491">
        <f>COUNTIFS(data!E:E,data!$J$2,data!G:G,"&lt;"&amp;B491)</f>
        <v>114</v>
      </c>
      <c r="F491">
        <f>COUNTIFS(data!E:E,data!$I$2,data!G:G,"&lt;"&amp;B491)</f>
        <v>24</v>
      </c>
      <c r="G491">
        <f t="shared" si="46"/>
        <v>0.68508287292817682</v>
      </c>
      <c r="H491">
        <f t="shared" si="47"/>
        <v>0.90977443609022557</v>
      </c>
      <c r="I491">
        <f t="shared" si="48"/>
        <v>2.5131890499730429E-3</v>
      </c>
      <c r="J491">
        <f t="shared" si="49"/>
        <v>0.49387755102040815</v>
      </c>
      <c r="K491">
        <f t="shared" si="50"/>
        <v>0.64021164021164023</v>
      </c>
      <c r="L491">
        <f>A491*COUNTIF(data!E:E,$J$2)/data!$M$2</f>
        <v>207.54777070063693</v>
      </c>
      <c r="M491" s="1">
        <f>A491/data!$M$2</f>
        <v>0.78025477707006374</v>
      </c>
      <c r="N491">
        <f t="shared" si="51"/>
        <v>1.1659966242135953</v>
      </c>
    </row>
    <row r="492" spans="1:14" x14ac:dyDescent="0.2">
      <c r="A492">
        <v>491</v>
      </c>
      <c r="B492">
        <f>LARGE(data!G:G,A492)</f>
        <v>0.21278215759999999</v>
      </c>
      <c r="C492">
        <f>COUNTIFS(data!E:E,data!$I$2,data!G:G,"&gt;="&amp;B492)</f>
        <v>243</v>
      </c>
      <c r="D492">
        <f>COUNTIFS(data!E:E,data!$J$2,data!G:G,"&gt;="&amp;B492)</f>
        <v>248</v>
      </c>
      <c r="E492">
        <f>COUNTIFS(data!E:E,data!$J$2,data!G:G,"&lt;"&amp;B492)</f>
        <v>114</v>
      </c>
      <c r="F492">
        <f>COUNTIFS(data!E:E,data!$I$2,data!G:G,"&lt;"&amp;B492)</f>
        <v>23</v>
      </c>
      <c r="G492">
        <f t="shared" si="46"/>
        <v>0.68508287292817682</v>
      </c>
      <c r="H492">
        <f t="shared" si="47"/>
        <v>0.9135338345864662</v>
      </c>
      <c r="I492">
        <f t="shared" si="48"/>
        <v>0</v>
      </c>
      <c r="J492">
        <f t="shared" si="49"/>
        <v>0.49490835030549896</v>
      </c>
      <c r="K492">
        <f t="shared" si="50"/>
        <v>0.64200792602377799</v>
      </c>
      <c r="L492">
        <f>A492*COUNTIF(data!E:E,$J$2)/data!$M$2</f>
        <v>207.97133757961782</v>
      </c>
      <c r="M492" s="1">
        <f>A492/data!$M$2</f>
        <v>0.78184713375796178</v>
      </c>
      <c r="N492">
        <f t="shared" si="51"/>
        <v>1.1684302405708773</v>
      </c>
    </row>
    <row r="493" spans="1:14" x14ac:dyDescent="0.2">
      <c r="A493">
        <v>492</v>
      </c>
      <c r="B493">
        <f>LARGE(data!G:G,A493)</f>
        <v>0.2119841552</v>
      </c>
      <c r="C493">
        <f>COUNTIFS(data!E:E,data!$I$2,data!G:G,"&gt;="&amp;B493)</f>
        <v>243</v>
      </c>
      <c r="D493">
        <f>COUNTIFS(data!E:E,data!$J$2,data!G:G,"&gt;="&amp;B493)</f>
        <v>249</v>
      </c>
      <c r="E493">
        <f>COUNTIFS(data!E:E,data!$J$2,data!G:G,"&lt;"&amp;B493)</f>
        <v>113</v>
      </c>
      <c r="F493">
        <f>COUNTIFS(data!E:E,data!$I$2,data!G:G,"&lt;"&amp;B493)</f>
        <v>23</v>
      </c>
      <c r="G493">
        <f t="shared" si="46"/>
        <v>0.68784530386740328</v>
      </c>
      <c r="H493">
        <f t="shared" si="47"/>
        <v>0.9135338345864662</v>
      </c>
      <c r="I493">
        <f t="shared" si="48"/>
        <v>2.5235741286918382E-3</v>
      </c>
      <c r="J493">
        <f t="shared" si="49"/>
        <v>0.49390243902439024</v>
      </c>
      <c r="K493">
        <f t="shared" si="50"/>
        <v>0.64116094986807393</v>
      </c>
      <c r="L493">
        <f>A493*COUNTIF(data!E:E,$J$2)/data!$M$2</f>
        <v>208.39490445859872</v>
      </c>
      <c r="M493" s="1">
        <f>A493/data!$M$2</f>
        <v>0.78343949044585992</v>
      </c>
      <c r="N493">
        <f t="shared" si="51"/>
        <v>1.1660553823583348</v>
      </c>
    </row>
    <row r="494" spans="1:14" x14ac:dyDescent="0.2">
      <c r="A494">
        <v>493</v>
      </c>
      <c r="B494">
        <f>LARGE(data!G:G,A494)</f>
        <v>0.20891813749999999</v>
      </c>
      <c r="C494">
        <f>COUNTIFS(data!E:E,data!$I$2,data!G:G,"&gt;="&amp;B494)</f>
        <v>244</v>
      </c>
      <c r="D494">
        <f>COUNTIFS(data!E:E,data!$J$2,data!G:G,"&gt;="&amp;B494)</f>
        <v>249</v>
      </c>
      <c r="E494">
        <f>COUNTIFS(data!E:E,data!$J$2,data!G:G,"&lt;"&amp;B494)</f>
        <v>113</v>
      </c>
      <c r="F494">
        <f>COUNTIFS(data!E:E,data!$I$2,data!G:G,"&lt;"&amp;B494)</f>
        <v>22</v>
      </c>
      <c r="G494">
        <f t="shared" si="46"/>
        <v>0.68784530386740328</v>
      </c>
      <c r="H494">
        <f t="shared" si="47"/>
        <v>0.91729323308270672</v>
      </c>
      <c r="I494">
        <f t="shared" si="48"/>
        <v>0</v>
      </c>
      <c r="J494">
        <f t="shared" si="49"/>
        <v>0.49492900608519269</v>
      </c>
      <c r="K494">
        <f t="shared" si="50"/>
        <v>0.64295125164690381</v>
      </c>
      <c r="L494">
        <f>A494*COUNTIF(data!E:E,$J$2)/data!$M$2</f>
        <v>208.81847133757961</v>
      </c>
      <c r="M494" s="1">
        <f>A494/data!$M$2</f>
        <v>0.78503184713375795</v>
      </c>
      <c r="N494">
        <f t="shared" si="51"/>
        <v>1.1684790068477482</v>
      </c>
    </row>
    <row r="495" spans="1:14" x14ac:dyDescent="0.2">
      <c r="A495">
        <v>494</v>
      </c>
      <c r="B495">
        <f>LARGE(data!G:G,A495)</f>
        <v>0.20718659750000001</v>
      </c>
      <c r="C495">
        <f>COUNTIFS(data!E:E,data!$I$2,data!G:G,"&gt;="&amp;B495)</f>
        <v>244</v>
      </c>
      <c r="D495">
        <f>COUNTIFS(data!E:E,data!$J$2,data!G:G,"&gt;="&amp;B495)</f>
        <v>250</v>
      </c>
      <c r="E495">
        <f>COUNTIFS(data!E:E,data!$J$2,data!G:G,"&lt;"&amp;B495)</f>
        <v>112</v>
      </c>
      <c r="F495">
        <f>COUNTIFS(data!E:E,data!$I$2,data!G:G,"&lt;"&amp;B495)</f>
        <v>22</v>
      </c>
      <c r="G495">
        <f t="shared" si="46"/>
        <v>0.69060773480662985</v>
      </c>
      <c r="H495">
        <f t="shared" si="47"/>
        <v>0.91729323308270672</v>
      </c>
      <c r="I495">
        <f t="shared" si="48"/>
        <v>2.5339592074108365E-3</v>
      </c>
      <c r="J495">
        <f t="shared" si="49"/>
        <v>0.49392712550607287</v>
      </c>
      <c r="K495">
        <f t="shared" si="50"/>
        <v>0.64210526315789473</v>
      </c>
      <c r="L495">
        <f>A495*COUNTIF(data!E:E,$J$2)/data!$M$2</f>
        <v>209.2420382165605</v>
      </c>
      <c r="M495" s="1">
        <f>A495/data!$M$2</f>
        <v>0.7866242038216561</v>
      </c>
      <c r="N495">
        <f t="shared" si="51"/>
        <v>1.1661136647286232</v>
      </c>
    </row>
    <row r="496" spans="1:14" x14ac:dyDescent="0.2">
      <c r="A496">
        <v>495</v>
      </c>
      <c r="B496">
        <f>LARGE(data!G:G,A496)</f>
        <v>0.20712923059999999</v>
      </c>
      <c r="C496">
        <f>COUNTIFS(data!E:E,data!$I$2,data!G:G,"&gt;="&amp;B496)</f>
        <v>244</v>
      </c>
      <c r="D496">
        <f>COUNTIFS(data!E:E,data!$J$2,data!G:G,"&gt;="&amp;B496)</f>
        <v>251</v>
      </c>
      <c r="E496">
        <f>COUNTIFS(data!E:E,data!$J$2,data!G:G,"&lt;"&amp;B496)</f>
        <v>111</v>
      </c>
      <c r="F496">
        <f>COUNTIFS(data!E:E,data!$I$2,data!G:G,"&lt;"&amp;B496)</f>
        <v>22</v>
      </c>
      <c r="G496">
        <f t="shared" si="46"/>
        <v>0.6933701657458563</v>
      </c>
      <c r="H496">
        <f t="shared" si="47"/>
        <v>0.91729323308270672</v>
      </c>
      <c r="I496">
        <f t="shared" si="48"/>
        <v>2.5339592074107345E-3</v>
      </c>
      <c r="J496">
        <f t="shared" si="49"/>
        <v>0.49292929292929294</v>
      </c>
      <c r="K496">
        <f t="shared" si="50"/>
        <v>0.6412614980289093</v>
      </c>
      <c r="L496">
        <f>A496*COUNTIF(data!E:E,$J$2)/data!$M$2</f>
        <v>209.66560509554139</v>
      </c>
      <c r="M496" s="1">
        <f>A496/data!$M$2</f>
        <v>0.78821656050955413</v>
      </c>
      <c r="N496">
        <f t="shared" si="51"/>
        <v>1.1637578795473533</v>
      </c>
    </row>
    <row r="497" spans="1:14" x14ac:dyDescent="0.2">
      <c r="A497">
        <v>496</v>
      </c>
      <c r="B497">
        <f>LARGE(data!G:G,A497)</f>
        <v>0.2068406659</v>
      </c>
      <c r="C497">
        <f>COUNTIFS(data!E:E,data!$I$2,data!G:G,"&gt;="&amp;B497)</f>
        <v>244</v>
      </c>
      <c r="D497">
        <f>COUNTIFS(data!E:E,data!$J$2,data!G:G,"&gt;="&amp;B497)</f>
        <v>252</v>
      </c>
      <c r="E497">
        <f>COUNTIFS(data!E:E,data!$J$2,data!G:G,"&lt;"&amp;B497)</f>
        <v>110</v>
      </c>
      <c r="F497">
        <f>COUNTIFS(data!E:E,data!$I$2,data!G:G,"&lt;"&amp;B497)</f>
        <v>22</v>
      </c>
      <c r="G497">
        <f t="shared" si="46"/>
        <v>0.69613259668508287</v>
      </c>
      <c r="H497">
        <f t="shared" si="47"/>
        <v>0.91729323308270672</v>
      </c>
      <c r="I497">
        <f t="shared" si="48"/>
        <v>2.5339592074108365E-3</v>
      </c>
      <c r="J497">
        <f t="shared" si="49"/>
        <v>0.49193548387096775</v>
      </c>
      <c r="K497">
        <f t="shared" si="50"/>
        <v>0.64041994750656173</v>
      </c>
      <c r="L497">
        <f>A497*COUNTIF(data!E:E,$J$2)/data!$M$2</f>
        <v>210.08917197452229</v>
      </c>
      <c r="M497" s="1">
        <f>A497/data!$M$2</f>
        <v>0.78980891719745228</v>
      </c>
      <c r="N497">
        <f t="shared" si="51"/>
        <v>1.1614115934998788</v>
      </c>
    </row>
    <row r="498" spans="1:14" x14ac:dyDescent="0.2">
      <c r="A498">
        <v>497</v>
      </c>
      <c r="B498">
        <f>LARGE(data!G:G,A498)</f>
        <v>0.20618592729999999</v>
      </c>
      <c r="C498">
        <f>COUNTIFS(data!E:E,data!$I$2,data!G:G,"&gt;="&amp;B498)</f>
        <v>244</v>
      </c>
      <c r="D498">
        <f>COUNTIFS(data!E:E,data!$J$2,data!G:G,"&gt;="&amp;B498)</f>
        <v>253</v>
      </c>
      <c r="E498">
        <f>COUNTIFS(data!E:E,data!$J$2,data!G:G,"&lt;"&amp;B498)</f>
        <v>109</v>
      </c>
      <c r="F498">
        <f>COUNTIFS(data!E:E,data!$I$2,data!G:G,"&lt;"&amp;B498)</f>
        <v>22</v>
      </c>
      <c r="G498">
        <f t="shared" si="46"/>
        <v>0.69889502762430944</v>
      </c>
      <c r="H498">
        <f t="shared" si="47"/>
        <v>0.91729323308270672</v>
      </c>
      <c r="I498">
        <f t="shared" si="48"/>
        <v>2.5339592074108365E-3</v>
      </c>
      <c r="J498">
        <f t="shared" si="49"/>
        <v>0.49094567404426559</v>
      </c>
      <c r="K498">
        <f t="shared" si="50"/>
        <v>0.63958060288335516</v>
      </c>
      <c r="L498">
        <f>A498*COUNTIF(data!E:E,$J$2)/data!$M$2</f>
        <v>210.51273885350318</v>
      </c>
      <c r="M498" s="1">
        <f>A498/data!$M$2</f>
        <v>0.79140127388535031</v>
      </c>
      <c r="N498">
        <f t="shared" si="51"/>
        <v>1.1590747492473639</v>
      </c>
    </row>
    <row r="499" spans="1:14" x14ac:dyDescent="0.2">
      <c r="A499">
        <v>498</v>
      </c>
      <c r="B499">
        <f>LARGE(data!G:G,A499)</f>
        <v>0.20610774849999999</v>
      </c>
      <c r="C499">
        <f>COUNTIFS(data!E:E,data!$I$2,data!G:G,"&gt;="&amp;B499)</f>
        <v>245</v>
      </c>
      <c r="D499">
        <f>COUNTIFS(data!E:E,data!$J$2,data!G:G,"&gt;="&amp;B499)</f>
        <v>253</v>
      </c>
      <c r="E499">
        <f>COUNTIFS(data!E:E,data!$J$2,data!G:G,"&lt;"&amp;B499)</f>
        <v>109</v>
      </c>
      <c r="F499">
        <f>COUNTIFS(data!E:E,data!$I$2,data!G:G,"&lt;"&amp;B499)</f>
        <v>21</v>
      </c>
      <c r="G499">
        <f t="shared" si="46"/>
        <v>0.69889502762430944</v>
      </c>
      <c r="H499">
        <f t="shared" si="47"/>
        <v>0.92105263157894735</v>
      </c>
      <c r="I499">
        <f t="shared" si="48"/>
        <v>0</v>
      </c>
      <c r="J499">
        <f t="shared" si="49"/>
        <v>0.49196787148594379</v>
      </c>
      <c r="K499">
        <f t="shared" si="50"/>
        <v>0.64136125654450271</v>
      </c>
      <c r="L499">
        <f>A499*COUNTIF(data!E:E,$J$2)/data!$M$2</f>
        <v>210.93630573248407</v>
      </c>
      <c r="M499" s="1">
        <f>A499/data!$M$2</f>
        <v>0.79299363057324845</v>
      </c>
      <c r="N499">
        <f t="shared" si="51"/>
        <v>1.1614880574931303</v>
      </c>
    </row>
    <row r="500" spans="1:14" x14ac:dyDescent="0.2">
      <c r="A500">
        <v>499</v>
      </c>
      <c r="B500">
        <f>LARGE(data!G:G,A500)</f>
        <v>0.2055957347</v>
      </c>
      <c r="C500">
        <f>COUNTIFS(data!E:E,data!$I$2,data!G:G,"&gt;="&amp;B500)</f>
        <v>245</v>
      </c>
      <c r="D500">
        <f>COUNTIFS(data!E:E,data!$J$2,data!G:G,"&gt;="&amp;B500)</f>
        <v>254</v>
      </c>
      <c r="E500">
        <f>COUNTIFS(data!E:E,data!$J$2,data!G:G,"&lt;"&amp;B500)</f>
        <v>108</v>
      </c>
      <c r="F500">
        <f>COUNTIFS(data!E:E,data!$I$2,data!G:G,"&lt;"&amp;B500)</f>
        <v>21</v>
      </c>
      <c r="G500">
        <f t="shared" si="46"/>
        <v>0.7016574585635359</v>
      </c>
      <c r="H500">
        <f t="shared" si="47"/>
        <v>0.92105263157894735</v>
      </c>
      <c r="I500">
        <f t="shared" si="48"/>
        <v>2.5443442861296313E-3</v>
      </c>
      <c r="J500">
        <f t="shared" si="49"/>
        <v>0.4909819639278557</v>
      </c>
      <c r="K500">
        <f t="shared" si="50"/>
        <v>0.64052287581699352</v>
      </c>
      <c r="L500">
        <f>A500*COUNTIF(data!E:E,$J$2)/data!$M$2</f>
        <v>211.35987261146497</v>
      </c>
      <c r="M500" s="1">
        <f>A500/data!$M$2</f>
        <v>0.79458598726114649</v>
      </c>
      <c r="N500">
        <f t="shared" si="51"/>
        <v>1.1591604261153887</v>
      </c>
    </row>
    <row r="501" spans="1:14" x14ac:dyDescent="0.2">
      <c r="A501">
        <v>500</v>
      </c>
      <c r="B501">
        <f>LARGE(data!G:G,A501)</f>
        <v>0.20543291359999999</v>
      </c>
      <c r="C501">
        <f>COUNTIFS(data!E:E,data!$I$2,data!G:G,"&gt;="&amp;B501)</f>
        <v>245</v>
      </c>
      <c r="D501">
        <f>COUNTIFS(data!E:E,data!$J$2,data!G:G,"&gt;="&amp;B501)</f>
        <v>255</v>
      </c>
      <c r="E501">
        <f>COUNTIFS(data!E:E,data!$J$2,data!G:G,"&lt;"&amp;B501)</f>
        <v>107</v>
      </c>
      <c r="F501">
        <f>COUNTIFS(data!E:E,data!$I$2,data!G:G,"&lt;"&amp;B501)</f>
        <v>21</v>
      </c>
      <c r="G501">
        <f t="shared" si="46"/>
        <v>0.70441988950276246</v>
      </c>
      <c r="H501">
        <f t="shared" si="47"/>
        <v>0.92105263157894735</v>
      </c>
      <c r="I501">
        <f t="shared" si="48"/>
        <v>2.5443442861297332E-3</v>
      </c>
      <c r="J501">
        <f t="shared" si="49"/>
        <v>0.49</v>
      </c>
      <c r="K501">
        <f t="shared" si="50"/>
        <v>0.63968668407310703</v>
      </c>
      <c r="L501">
        <f>A501*COUNTIF(data!E:E,$J$2)/data!$M$2</f>
        <v>211.78343949044586</v>
      </c>
      <c r="M501" s="1">
        <f>A501/data!$M$2</f>
        <v>0.79617834394904463</v>
      </c>
      <c r="N501">
        <f t="shared" si="51"/>
        <v>1.1568421052631579</v>
      </c>
    </row>
    <row r="502" spans="1:14" x14ac:dyDescent="0.2">
      <c r="A502">
        <v>501</v>
      </c>
      <c r="B502">
        <f>LARGE(data!G:G,A502)</f>
        <v>0.20417484350000001</v>
      </c>
      <c r="C502">
        <f>COUNTIFS(data!E:E,data!$I$2,data!G:G,"&gt;="&amp;B502)</f>
        <v>245</v>
      </c>
      <c r="D502">
        <f>COUNTIFS(data!E:E,data!$J$2,data!G:G,"&gt;="&amp;B502)</f>
        <v>256</v>
      </c>
      <c r="E502">
        <f>COUNTIFS(data!E:E,data!$J$2,data!G:G,"&lt;"&amp;B502)</f>
        <v>106</v>
      </c>
      <c r="F502">
        <f>COUNTIFS(data!E:E,data!$I$2,data!G:G,"&lt;"&amp;B502)</f>
        <v>21</v>
      </c>
      <c r="G502">
        <f t="shared" si="46"/>
        <v>0.70718232044198892</v>
      </c>
      <c r="H502">
        <f t="shared" si="47"/>
        <v>0.92105263157894735</v>
      </c>
      <c r="I502">
        <f t="shared" si="48"/>
        <v>2.5443442861296313E-3</v>
      </c>
      <c r="J502">
        <f t="shared" si="49"/>
        <v>0.48902195608782434</v>
      </c>
      <c r="K502">
        <f t="shared" si="50"/>
        <v>0.63885267275097779</v>
      </c>
      <c r="L502">
        <f>A502*COUNTIF(data!E:E,$J$2)/data!$M$2</f>
        <v>212.20700636942675</v>
      </c>
      <c r="M502" s="1">
        <f>A502/data!$M$2</f>
        <v>0.79777070063694266</v>
      </c>
      <c r="N502">
        <f t="shared" si="51"/>
        <v>1.1545330391847883</v>
      </c>
    </row>
    <row r="503" spans="1:14" x14ac:dyDescent="0.2">
      <c r="A503">
        <v>502</v>
      </c>
      <c r="B503">
        <f>LARGE(data!G:G,A503)</f>
        <v>0.20108796079999999</v>
      </c>
      <c r="C503">
        <f>COUNTIFS(data!E:E,data!$I$2,data!G:G,"&gt;="&amp;B503)</f>
        <v>245</v>
      </c>
      <c r="D503">
        <f>COUNTIFS(data!E:E,data!$J$2,data!G:G,"&gt;="&amp;B503)</f>
        <v>257</v>
      </c>
      <c r="E503">
        <f>COUNTIFS(data!E:E,data!$J$2,data!G:G,"&lt;"&amp;B503)</f>
        <v>105</v>
      </c>
      <c r="F503">
        <f>COUNTIFS(data!E:E,data!$I$2,data!G:G,"&lt;"&amp;B503)</f>
        <v>21</v>
      </c>
      <c r="G503">
        <f t="shared" si="46"/>
        <v>0.70994475138121549</v>
      </c>
      <c r="H503">
        <f t="shared" si="47"/>
        <v>0.92105263157894735</v>
      </c>
      <c r="I503">
        <f t="shared" si="48"/>
        <v>2.5443442861297332E-3</v>
      </c>
      <c r="J503">
        <f t="shared" si="49"/>
        <v>0.48804780876494025</v>
      </c>
      <c r="K503">
        <f t="shared" si="50"/>
        <v>0.63802083333333337</v>
      </c>
      <c r="L503">
        <f>A503*COUNTIF(data!E:E,$J$2)/data!$M$2</f>
        <v>212.63057324840764</v>
      </c>
      <c r="M503" s="1">
        <f>A503/data!$M$2</f>
        <v>0.79936305732484081</v>
      </c>
      <c r="N503">
        <f t="shared" si="51"/>
        <v>1.1522331725728665</v>
      </c>
    </row>
    <row r="504" spans="1:14" x14ac:dyDescent="0.2">
      <c r="A504">
        <v>503</v>
      </c>
      <c r="B504">
        <f>LARGE(data!G:G,A504)</f>
        <v>0.20088157479999999</v>
      </c>
      <c r="C504">
        <f>COUNTIFS(data!E:E,data!$I$2,data!G:G,"&gt;="&amp;B504)</f>
        <v>245</v>
      </c>
      <c r="D504">
        <f>COUNTIFS(data!E:E,data!$J$2,data!G:G,"&gt;="&amp;B504)</f>
        <v>258</v>
      </c>
      <c r="E504">
        <f>COUNTIFS(data!E:E,data!$J$2,data!G:G,"&lt;"&amp;B504)</f>
        <v>104</v>
      </c>
      <c r="F504">
        <f>COUNTIFS(data!E:E,data!$I$2,data!G:G,"&lt;"&amp;B504)</f>
        <v>21</v>
      </c>
      <c r="G504">
        <f t="shared" si="46"/>
        <v>0.71270718232044195</v>
      </c>
      <c r="H504">
        <f t="shared" si="47"/>
        <v>0.92105263157894735</v>
      </c>
      <c r="I504">
        <f t="shared" si="48"/>
        <v>2.5443442861296313E-3</v>
      </c>
      <c r="J504">
        <f t="shared" si="49"/>
        <v>0.48707753479125249</v>
      </c>
      <c r="K504">
        <f t="shared" si="50"/>
        <v>0.63719115734720422</v>
      </c>
      <c r="L504">
        <f>A504*COUNTIF(data!E:E,$J$2)/data!$M$2</f>
        <v>213.05414012738854</v>
      </c>
      <c r="M504" s="1">
        <f>A504/data!$M$2</f>
        <v>0.80095541401273884</v>
      </c>
      <c r="N504">
        <f t="shared" si="51"/>
        <v>1.149942450559799</v>
      </c>
    </row>
    <row r="505" spans="1:14" x14ac:dyDescent="0.2">
      <c r="A505">
        <v>504</v>
      </c>
      <c r="B505">
        <f>LARGE(data!G:G,A505)</f>
        <v>0.19991764309999999</v>
      </c>
      <c r="C505">
        <f>COUNTIFS(data!E:E,data!$I$2,data!G:G,"&gt;="&amp;B505)</f>
        <v>245</v>
      </c>
      <c r="D505">
        <f>COUNTIFS(data!E:E,data!$J$2,data!G:G,"&gt;="&amp;B505)</f>
        <v>259</v>
      </c>
      <c r="E505">
        <f>COUNTIFS(data!E:E,data!$J$2,data!G:G,"&lt;"&amp;B505)</f>
        <v>103</v>
      </c>
      <c r="F505">
        <f>COUNTIFS(data!E:E,data!$I$2,data!G:G,"&lt;"&amp;B505)</f>
        <v>21</v>
      </c>
      <c r="G505">
        <f t="shared" si="46"/>
        <v>0.71546961325966851</v>
      </c>
      <c r="H505">
        <f t="shared" si="47"/>
        <v>0.92105263157894735</v>
      </c>
      <c r="I505">
        <f t="shared" si="48"/>
        <v>2.5443442861297332E-3</v>
      </c>
      <c r="J505">
        <f t="shared" si="49"/>
        <v>0.4861111111111111</v>
      </c>
      <c r="K505">
        <f t="shared" si="50"/>
        <v>0.63636363636363624</v>
      </c>
      <c r="L505">
        <f>A505*COUNTIF(data!E:E,$J$2)/data!$M$2</f>
        <v>213.47770700636943</v>
      </c>
      <c r="M505" s="1">
        <f>A505/data!$M$2</f>
        <v>0.80254777070063699</v>
      </c>
      <c r="N505">
        <f t="shared" si="51"/>
        <v>1.1476608187134503</v>
      </c>
    </row>
    <row r="506" spans="1:14" x14ac:dyDescent="0.2">
      <c r="A506">
        <v>505</v>
      </c>
      <c r="B506">
        <f>LARGE(data!G:G,A506)</f>
        <v>0.19971857400000001</v>
      </c>
      <c r="C506">
        <f>COUNTIFS(data!E:E,data!$I$2,data!G:G,"&gt;="&amp;B506)</f>
        <v>245</v>
      </c>
      <c r="D506">
        <f>COUNTIFS(data!E:E,data!$J$2,data!G:G,"&gt;="&amp;B506)</f>
        <v>260</v>
      </c>
      <c r="E506">
        <f>COUNTIFS(data!E:E,data!$J$2,data!G:G,"&lt;"&amp;B506)</f>
        <v>102</v>
      </c>
      <c r="F506">
        <f>COUNTIFS(data!E:E,data!$I$2,data!G:G,"&lt;"&amp;B506)</f>
        <v>21</v>
      </c>
      <c r="G506">
        <f t="shared" si="46"/>
        <v>0.71823204419889508</v>
      </c>
      <c r="H506">
        <f t="shared" si="47"/>
        <v>0.92105263157894735</v>
      </c>
      <c r="I506">
        <f t="shared" si="48"/>
        <v>2.5443442861297332E-3</v>
      </c>
      <c r="J506">
        <f t="shared" si="49"/>
        <v>0.48514851485148514</v>
      </c>
      <c r="K506">
        <f t="shared" si="50"/>
        <v>0.63553826199740593</v>
      </c>
      <c r="L506">
        <f>A506*COUNTIF(data!E:E,$J$2)/data!$M$2</f>
        <v>213.90127388535032</v>
      </c>
      <c r="M506" s="1">
        <f>A506/data!$M$2</f>
        <v>0.80414012738853502</v>
      </c>
      <c r="N506">
        <f t="shared" si="51"/>
        <v>1.1453882230328296</v>
      </c>
    </row>
    <row r="507" spans="1:14" x14ac:dyDescent="0.2">
      <c r="A507">
        <v>506</v>
      </c>
      <c r="B507">
        <f>LARGE(data!G:G,A507)</f>
        <v>0.1992189473</v>
      </c>
      <c r="C507">
        <f>COUNTIFS(data!E:E,data!$I$2,data!G:G,"&gt;="&amp;B507)</f>
        <v>245</v>
      </c>
      <c r="D507">
        <f>COUNTIFS(data!E:E,data!$J$2,data!G:G,"&gt;="&amp;B507)</f>
        <v>261</v>
      </c>
      <c r="E507">
        <f>COUNTIFS(data!E:E,data!$J$2,data!G:G,"&lt;"&amp;B507)</f>
        <v>101</v>
      </c>
      <c r="F507">
        <f>COUNTIFS(data!E:E,data!$I$2,data!G:G,"&lt;"&amp;B507)</f>
        <v>21</v>
      </c>
      <c r="G507">
        <f t="shared" si="46"/>
        <v>0.72099447513812154</v>
      </c>
      <c r="H507">
        <f t="shared" si="47"/>
        <v>0.92105263157894735</v>
      </c>
      <c r="I507">
        <f t="shared" si="48"/>
        <v>2.5443442861296313E-3</v>
      </c>
      <c r="J507">
        <f t="shared" si="49"/>
        <v>0.48418972332015808</v>
      </c>
      <c r="K507">
        <f t="shared" si="50"/>
        <v>0.63471502590673567</v>
      </c>
      <c r="L507">
        <f>A507*COUNTIF(data!E:E,$J$2)/data!$M$2</f>
        <v>214.32484076433121</v>
      </c>
      <c r="M507" s="1">
        <f>A507/data!$M$2</f>
        <v>0.80573248407643316</v>
      </c>
      <c r="N507">
        <f t="shared" si="51"/>
        <v>1.1431246099438319</v>
      </c>
    </row>
    <row r="508" spans="1:14" x14ac:dyDescent="0.2">
      <c r="A508">
        <v>507</v>
      </c>
      <c r="B508">
        <f>LARGE(data!G:G,A508)</f>
        <v>0.19587031830000001</v>
      </c>
      <c r="C508">
        <f>COUNTIFS(data!E:E,data!$I$2,data!G:G,"&gt;="&amp;B508)</f>
        <v>245</v>
      </c>
      <c r="D508">
        <f>COUNTIFS(data!E:E,data!$J$2,data!G:G,"&gt;="&amp;B508)</f>
        <v>262</v>
      </c>
      <c r="E508">
        <f>COUNTIFS(data!E:E,data!$J$2,data!G:G,"&lt;"&amp;B508)</f>
        <v>100</v>
      </c>
      <c r="F508">
        <f>COUNTIFS(data!E:E,data!$I$2,data!G:G,"&lt;"&amp;B508)</f>
        <v>21</v>
      </c>
      <c r="G508">
        <f t="shared" ref="G508:G571" si="52">D508/(E508+D508)</f>
        <v>0.72375690607734811</v>
      </c>
      <c r="H508">
        <f t="shared" ref="H508:H571" si="53">C508/(C508+F508)</f>
        <v>0.92105263157894735</v>
      </c>
      <c r="I508">
        <f t="shared" ref="I508:I571" si="54">(G508-G507)*(H508+H507)*0.5</f>
        <v>2.5443442861297332E-3</v>
      </c>
      <c r="J508">
        <f t="shared" ref="J508:J571" si="55">C508/(C508+D508)</f>
        <v>0.4832347140039448</v>
      </c>
      <c r="K508">
        <f t="shared" ref="K508:K571" si="56">2*J508*H508/(J508+H508)</f>
        <v>0.63389391979301424</v>
      </c>
      <c r="L508">
        <f>A508*COUNTIF(data!E:E,$J$2)/data!$M$2</f>
        <v>214.74840764331211</v>
      </c>
      <c r="M508" s="1">
        <f>A508/data!$M$2</f>
        <v>0.8073248407643312</v>
      </c>
      <c r="N508">
        <f t="shared" ref="N508:N571" si="57">C508/L508</f>
        <v>1.1408699262950275</v>
      </c>
    </row>
    <row r="509" spans="1:14" x14ac:dyDescent="0.2">
      <c r="A509">
        <v>508</v>
      </c>
      <c r="B509">
        <f>LARGE(data!G:G,A509)</f>
        <v>0.19480745390000001</v>
      </c>
      <c r="C509">
        <f>COUNTIFS(data!E:E,data!$I$2,data!G:G,"&gt;="&amp;B509)</f>
        <v>245</v>
      </c>
      <c r="D509">
        <f>COUNTIFS(data!E:E,data!$J$2,data!G:G,"&gt;="&amp;B509)</f>
        <v>263</v>
      </c>
      <c r="E509">
        <f>COUNTIFS(data!E:E,data!$J$2,data!G:G,"&lt;"&amp;B509)</f>
        <v>99</v>
      </c>
      <c r="F509">
        <f>COUNTIFS(data!E:E,data!$I$2,data!G:G,"&lt;"&amp;B509)</f>
        <v>21</v>
      </c>
      <c r="G509">
        <f t="shared" si="52"/>
        <v>0.72651933701657456</v>
      </c>
      <c r="H509">
        <f t="shared" si="53"/>
        <v>0.92105263157894735</v>
      </c>
      <c r="I509">
        <f t="shared" si="54"/>
        <v>2.5443442861296313E-3</v>
      </c>
      <c r="J509">
        <f t="shared" si="55"/>
        <v>0.48228346456692911</v>
      </c>
      <c r="K509">
        <f t="shared" si="56"/>
        <v>0.63307493540051674</v>
      </c>
      <c r="L509">
        <f>A509*COUNTIF(data!E:E,$J$2)/data!$M$2</f>
        <v>215.171974522293</v>
      </c>
      <c r="M509" s="1">
        <f>A509/data!$M$2</f>
        <v>0.80891719745222934</v>
      </c>
      <c r="N509">
        <f t="shared" si="57"/>
        <v>1.1386241193535018</v>
      </c>
    </row>
    <row r="510" spans="1:14" x14ac:dyDescent="0.2">
      <c r="A510">
        <v>509</v>
      </c>
      <c r="B510">
        <f>LARGE(data!G:G,A510)</f>
        <v>0.1946058614</v>
      </c>
      <c r="C510">
        <f>COUNTIFS(data!E:E,data!$I$2,data!G:G,"&gt;="&amp;B510)</f>
        <v>246</v>
      </c>
      <c r="D510">
        <f>COUNTIFS(data!E:E,data!$J$2,data!G:G,"&gt;="&amp;B510)</f>
        <v>263</v>
      </c>
      <c r="E510">
        <f>COUNTIFS(data!E:E,data!$J$2,data!G:G,"&lt;"&amp;B510)</f>
        <v>99</v>
      </c>
      <c r="F510">
        <f>COUNTIFS(data!E:E,data!$I$2,data!G:G,"&lt;"&amp;B510)</f>
        <v>20</v>
      </c>
      <c r="G510">
        <f t="shared" si="52"/>
        <v>0.72651933701657456</v>
      </c>
      <c r="H510">
        <f t="shared" si="53"/>
        <v>0.92481203007518797</v>
      </c>
      <c r="I510">
        <f t="shared" si="54"/>
        <v>0</v>
      </c>
      <c r="J510">
        <f t="shared" si="55"/>
        <v>0.48330058939096265</v>
      </c>
      <c r="K510">
        <f t="shared" si="56"/>
        <v>0.63483870967741929</v>
      </c>
      <c r="L510">
        <f>A510*COUNTIF(data!E:E,$J$2)/data!$M$2</f>
        <v>215.59554140127389</v>
      </c>
      <c r="M510" s="1">
        <f>A510/data!$M$2</f>
        <v>0.81050955414012738</v>
      </c>
      <c r="N510">
        <f t="shared" si="57"/>
        <v>1.141025451644829</v>
      </c>
    </row>
    <row r="511" spans="1:14" x14ac:dyDescent="0.2">
      <c r="A511">
        <v>510</v>
      </c>
      <c r="B511">
        <f>LARGE(data!G:G,A511)</f>
        <v>0.19425178379999999</v>
      </c>
      <c r="C511">
        <f>COUNTIFS(data!E:E,data!$I$2,data!G:G,"&gt;="&amp;B511)</f>
        <v>246</v>
      </c>
      <c r="D511">
        <f>COUNTIFS(data!E:E,data!$J$2,data!G:G,"&gt;="&amp;B511)</f>
        <v>264</v>
      </c>
      <c r="E511">
        <f>COUNTIFS(data!E:E,data!$J$2,data!G:G,"&lt;"&amp;B511)</f>
        <v>98</v>
      </c>
      <c r="F511">
        <f>COUNTIFS(data!E:E,data!$I$2,data!G:G,"&lt;"&amp;B511)</f>
        <v>20</v>
      </c>
      <c r="G511">
        <f t="shared" si="52"/>
        <v>0.72928176795580113</v>
      </c>
      <c r="H511">
        <f t="shared" si="53"/>
        <v>0.92481203007518797</v>
      </c>
      <c r="I511">
        <f t="shared" si="54"/>
        <v>2.5547293648486304E-3</v>
      </c>
      <c r="J511">
        <f t="shared" si="55"/>
        <v>0.4823529411764706</v>
      </c>
      <c r="K511">
        <f t="shared" si="56"/>
        <v>0.634020618556701</v>
      </c>
      <c r="L511">
        <f>A511*COUNTIF(data!E:E,$J$2)/data!$M$2</f>
        <v>216.01910828025478</v>
      </c>
      <c r="M511" s="1">
        <f>A511/data!$M$2</f>
        <v>0.81210191082802552</v>
      </c>
      <c r="N511">
        <f t="shared" si="57"/>
        <v>1.1387881468376824</v>
      </c>
    </row>
    <row r="512" spans="1:14" x14ac:dyDescent="0.2">
      <c r="A512">
        <v>511</v>
      </c>
      <c r="B512">
        <f>LARGE(data!G:G,A512)</f>
        <v>0.19335214889999999</v>
      </c>
      <c r="C512">
        <f>COUNTIFS(data!E:E,data!$I$2,data!G:G,"&gt;="&amp;B512)</f>
        <v>246</v>
      </c>
      <c r="D512">
        <f>COUNTIFS(data!E:E,data!$J$2,data!G:G,"&gt;="&amp;B512)</f>
        <v>265</v>
      </c>
      <c r="E512">
        <f>COUNTIFS(data!E:E,data!$J$2,data!G:G,"&lt;"&amp;B512)</f>
        <v>97</v>
      </c>
      <c r="F512">
        <f>COUNTIFS(data!E:E,data!$I$2,data!G:G,"&lt;"&amp;B512)</f>
        <v>20</v>
      </c>
      <c r="G512">
        <f t="shared" si="52"/>
        <v>0.73204419889502759</v>
      </c>
      <c r="H512">
        <f t="shared" si="53"/>
        <v>0.92481203007518797</v>
      </c>
      <c r="I512">
        <f t="shared" si="54"/>
        <v>2.5547293648485276E-3</v>
      </c>
      <c r="J512">
        <f t="shared" si="55"/>
        <v>0.48140900195694714</v>
      </c>
      <c r="K512">
        <f t="shared" si="56"/>
        <v>0.63320463320463316</v>
      </c>
      <c r="L512">
        <f>A512*COUNTIF(data!E:E,$J$2)/data!$M$2</f>
        <v>216.44267515923568</v>
      </c>
      <c r="M512" s="1">
        <f>A512/data!$M$2</f>
        <v>0.81369426751592355</v>
      </c>
      <c r="N512">
        <f t="shared" si="57"/>
        <v>1.1365595986051233</v>
      </c>
    </row>
    <row r="513" spans="1:14" x14ac:dyDescent="0.2">
      <c r="A513">
        <v>512</v>
      </c>
      <c r="B513">
        <f>LARGE(data!G:G,A513)</f>
        <v>0.1926952441</v>
      </c>
      <c r="C513">
        <f>COUNTIFS(data!E:E,data!$I$2,data!G:G,"&gt;="&amp;B513)</f>
        <v>247</v>
      </c>
      <c r="D513">
        <f>COUNTIFS(data!E:E,data!$J$2,data!G:G,"&gt;="&amp;B513)</f>
        <v>265</v>
      </c>
      <c r="E513">
        <f>COUNTIFS(data!E:E,data!$J$2,data!G:G,"&lt;"&amp;B513)</f>
        <v>97</v>
      </c>
      <c r="F513">
        <f>COUNTIFS(data!E:E,data!$I$2,data!G:G,"&lt;"&amp;B513)</f>
        <v>19</v>
      </c>
      <c r="G513">
        <f t="shared" si="52"/>
        <v>0.73204419889502759</v>
      </c>
      <c r="H513">
        <f t="shared" si="53"/>
        <v>0.9285714285714286</v>
      </c>
      <c r="I513">
        <f t="shared" si="54"/>
        <v>0</v>
      </c>
      <c r="J513">
        <f t="shared" si="55"/>
        <v>0.482421875</v>
      </c>
      <c r="K513">
        <f t="shared" si="56"/>
        <v>0.63496143958868889</v>
      </c>
      <c r="L513">
        <f>A513*COUNTIF(data!E:E,$J$2)/data!$M$2</f>
        <v>216.86624203821657</v>
      </c>
      <c r="M513" s="1">
        <f>A513/data!$M$2</f>
        <v>0.8152866242038217</v>
      </c>
      <c r="N513">
        <f t="shared" si="57"/>
        <v>1.1389508928571428</v>
      </c>
    </row>
    <row r="514" spans="1:14" x14ac:dyDescent="0.2">
      <c r="A514">
        <v>513</v>
      </c>
      <c r="B514">
        <f>LARGE(data!G:G,A514)</f>
        <v>0.19262553969999999</v>
      </c>
      <c r="C514">
        <f>COUNTIFS(data!E:E,data!$I$2,data!G:G,"&gt;="&amp;B514)</f>
        <v>247</v>
      </c>
      <c r="D514">
        <f>COUNTIFS(data!E:E,data!$J$2,data!G:G,"&gt;="&amp;B514)</f>
        <v>266</v>
      </c>
      <c r="E514">
        <f>COUNTIFS(data!E:E,data!$J$2,data!G:G,"&lt;"&amp;B514)</f>
        <v>96</v>
      </c>
      <c r="F514">
        <f>COUNTIFS(data!E:E,data!$I$2,data!G:G,"&lt;"&amp;B514)</f>
        <v>19</v>
      </c>
      <c r="G514">
        <f t="shared" si="52"/>
        <v>0.73480662983425415</v>
      </c>
      <c r="H514">
        <f t="shared" si="53"/>
        <v>0.9285714285714286</v>
      </c>
      <c r="I514">
        <f t="shared" si="54"/>
        <v>2.5651144435675272E-3</v>
      </c>
      <c r="J514">
        <f t="shared" si="55"/>
        <v>0.48148148148148145</v>
      </c>
      <c r="K514">
        <f t="shared" si="56"/>
        <v>0.63414634146341464</v>
      </c>
      <c r="L514">
        <f>A514*COUNTIF(data!E:E,$J$2)/data!$M$2</f>
        <v>217.28980891719746</v>
      </c>
      <c r="M514" s="1">
        <f>A514/data!$M$2</f>
        <v>0.81687898089171973</v>
      </c>
      <c r="N514">
        <f t="shared" si="57"/>
        <v>1.1367307156780841</v>
      </c>
    </row>
    <row r="515" spans="1:14" x14ac:dyDescent="0.2">
      <c r="A515">
        <v>514</v>
      </c>
      <c r="B515">
        <f>LARGE(data!G:G,A515)</f>
        <v>0.18713308849999999</v>
      </c>
      <c r="C515">
        <f>COUNTIFS(data!E:E,data!$I$2,data!G:G,"&gt;="&amp;B515)</f>
        <v>247</v>
      </c>
      <c r="D515">
        <f>COUNTIFS(data!E:E,data!$J$2,data!G:G,"&gt;="&amp;B515)</f>
        <v>267</v>
      </c>
      <c r="E515">
        <f>COUNTIFS(data!E:E,data!$J$2,data!G:G,"&lt;"&amp;B515)</f>
        <v>95</v>
      </c>
      <c r="F515">
        <f>COUNTIFS(data!E:E,data!$I$2,data!G:G,"&lt;"&amp;B515)</f>
        <v>19</v>
      </c>
      <c r="G515">
        <f t="shared" si="52"/>
        <v>0.73756906077348061</v>
      </c>
      <c r="H515">
        <f t="shared" si="53"/>
        <v>0.9285714285714286</v>
      </c>
      <c r="I515">
        <f t="shared" si="54"/>
        <v>2.5651144435674244E-3</v>
      </c>
      <c r="J515">
        <f t="shared" si="55"/>
        <v>0.48054474708171208</v>
      </c>
      <c r="K515">
        <f t="shared" si="56"/>
        <v>0.6333333333333333</v>
      </c>
      <c r="L515">
        <f>A515*COUNTIF(data!E:E,$J$2)/data!$M$2</f>
        <v>217.71337579617835</v>
      </c>
      <c r="M515" s="1">
        <f>A515/data!$M$2</f>
        <v>0.81847133757961787</v>
      </c>
      <c r="N515">
        <f t="shared" si="57"/>
        <v>1.1345191773207337</v>
      </c>
    </row>
    <row r="516" spans="1:14" x14ac:dyDescent="0.2">
      <c r="A516">
        <v>515</v>
      </c>
      <c r="B516">
        <f>LARGE(data!G:G,A516)</f>
        <v>0.18443896069999999</v>
      </c>
      <c r="C516">
        <f>COUNTIFS(data!E:E,data!$I$2,data!G:G,"&gt;="&amp;B516)</f>
        <v>247</v>
      </c>
      <c r="D516">
        <f>COUNTIFS(data!E:E,data!$J$2,data!G:G,"&gt;="&amp;B516)</f>
        <v>268</v>
      </c>
      <c r="E516">
        <f>COUNTIFS(data!E:E,data!$J$2,data!G:G,"&lt;"&amp;B516)</f>
        <v>94</v>
      </c>
      <c r="F516">
        <f>COUNTIFS(data!E:E,data!$I$2,data!G:G,"&lt;"&amp;B516)</f>
        <v>19</v>
      </c>
      <c r="G516">
        <f t="shared" si="52"/>
        <v>0.74033149171270718</v>
      </c>
      <c r="H516">
        <f t="shared" si="53"/>
        <v>0.9285714285714286</v>
      </c>
      <c r="I516">
        <f t="shared" si="54"/>
        <v>2.5651144435675272E-3</v>
      </c>
      <c r="J516">
        <f t="shared" si="55"/>
        <v>0.47961165048543691</v>
      </c>
      <c r="K516">
        <f t="shared" si="56"/>
        <v>0.63252240717029451</v>
      </c>
      <c r="L516">
        <f>A516*COUNTIF(data!E:E,$J$2)/data!$M$2</f>
        <v>218.13694267515925</v>
      </c>
      <c r="M516" s="1">
        <f>A516/data!$M$2</f>
        <v>0.82006369426751591</v>
      </c>
      <c r="N516">
        <f t="shared" si="57"/>
        <v>1.1323162274618586</v>
      </c>
    </row>
    <row r="517" spans="1:14" x14ac:dyDescent="0.2">
      <c r="A517">
        <v>516</v>
      </c>
      <c r="B517">
        <f>LARGE(data!G:G,A517)</f>
        <v>0.18248744680000001</v>
      </c>
      <c r="C517">
        <f>COUNTIFS(data!E:E,data!$I$2,data!G:G,"&gt;="&amp;B517)</f>
        <v>247</v>
      </c>
      <c r="D517">
        <f>COUNTIFS(data!E:E,data!$J$2,data!G:G,"&gt;="&amp;B517)</f>
        <v>269</v>
      </c>
      <c r="E517">
        <f>COUNTIFS(data!E:E,data!$J$2,data!G:G,"&lt;"&amp;B517)</f>
        <v>93</v>
      </c>
      <c r="F517">
        <f>COUNTIFS(data!E:E,data!$I$2,data!G:G,"&lt;"&amp;B517)</f>
        <v>19</v>
      </c>
      <c r="G517">
        <f t="shared" si="52"/>
        <v>0.74309392265193375</v>
      </c>
      <c r="H517">
        <f t="shared" si="53"/>
        <v>0.9285714285714286</v>
      </c>
      <c r="I517">
        <f t="shared" si="54"/>
        <v>2.5651144435675272E-3</v>
      </c>
      <c r="J517">
        <f t="shared" si="55"/>
        <v>0.47868217054263568</v>
      </c>
      <c r="K517">
        <f t="shared" si="56"/>
        <v>0.63171355498721227</v>
      </c>
      <c r="L517">
        <f>A517*COUNTIF(data!E:E,$J$2)/data!$M$2</f>
        <v>218.56050955414014</v>
      </c>
      <c r="M517" s="1">
        <f>A517/data!$M$2</f>
        <v>0.82165605095541405</v>
      </c>
      <c r="N517">
        <f t="shared" si="57"/>
        <v>1.1301218161683277</v>
      </c>
    </row>
    <row r="518" spans="1:14" x14ac:dyDescent="0.2">
      <c r="A518">
        <v>517</v>
      </c>
      <c r="B518">
        <f>LARGE(data!G:G,A518)</f>
        <v>0.1823518026</v>
      </c>
      <c r="C518">
        <f>COUNTIFS(data!E:E,data!$I$2,data!G:G,"&gt;="&amp;B518)</f>
        <v>248</v>
      </c>
      <c r="D518">
        <f>COUNTIFS(data!E:E,data!$J$2,data!G:G,"&gt;="&amp;B518)</f>
        <v>269</v>
      </c>
      <c r="E518">
        <f>COUNTIFS(data!E:E,data!$J$2,data!G:G,"&lt;"&amp;B518)</f>
        <v>93</v>
      </c>
      <c r="F518">
        <f>COUNTIFS(data!E:E,data!$I$2,data!G:G,"&lt;"&amp;B518)</f>
        <v>18</v>
      </c>
      <c r="G518">
        <f t="shared" si="52"/>
        <v>0.74309392265193375</v>
      </c>
      <c r="H518">
        <f t="shared" si="53"/>
        <v>0.93233082706766912</v>
      </c>
      <c r="I518">
        <f t="shared" si="54"/>
        <v>0</v>
      </c>
      <c r="J518">
        <f t="shared" si="55"/>
        <v>0.47969052224371372</v>
      </c>
      <c r="K518">
        <f t="shared" si="56"/>
        <v>0.63346104725415064</v>
      </c>
      <c r="L518">
        <f>A518*COUNTIF(data!E:E,$J$2)/data!$M$2</f>
        <v>218.98407643312103</v>
      </c>
      <c r="M518" s="1">
        <f>A518/data!$M$2</f>
        <v>0.82324840764331209</v>
      </c>
      <c r="N518">
        <f t="shared" si="57"/>
        <v>1.1325024359738805</v>
      </c>
    </row>
    <row r="519" spans="1:14" x14ac:dyDescent="0.2">
      <c r="A519">
        <v>518</v>
      </c>
      <c r="B519">
        <f>LARGE(data!G:G,A519)</f>
        <v>0.18111583549999999</v>
      </c>
      <c r="C519">
        <f>COUNTIFS(data!E:E,data!$I$2,data!G:G,"&gt;="&amp;B519)</f>
        <v>249</v>
      </c>
      <c r="D519">
        <f>COUNTIFS(data!E:E,data!$J$2,data!G:G,"&gt;="&amp;B519)</f>
        <v>269</v>
      </c>
      <c r="E519">
        <f>COUNTIFS(data!E:E,data!$J$2,data!G:G,"&lt;"&amp;B519)</f>
        <v>93</v>
      </c>
      <c r="F519">
        <f>COUNTIFS(data!E:E,data!$I$2,data!G:G,"&lt;"&amp;B519)</f>
        <v>17</v>
      </c>
      <c r="G519">
        <f t="shared" si="52"/>
        <v>0.74309392265193375</v>
      </c>
      <c r="H519">
        <f t="shared" si="53"/>
        <v>0.93609022556390975</v>
      </c>
      <c r="I519">
        <f t="shared" si="54"/>
        <v>0</v>
      </c>
      <c r="J519">
        <f t="shared" si="55"/>
        <v>0.48069498069498068</v>
      </c>
      <c r="K519">
        <f t="shared" si="56"/>
        <v>0.63520408163265307</v>
      </c>
      <c r="L519">
        <f>A519*COUNTIF(data!E:E,$J$2)/data!$M$2</f>
        <v>219.40764331210192</v>
      </c>
      <c r="M519" s="1">
        <f>A519/data!$M$2</f>
        <v>0.82484076433121023</v>
      </c>
      <c r="N519">
        <f t="shared" si="57"/>
        <v>1.1348738641971723</v>
      </c>
    </row>
    <row r="520" spans="1:14" x14ac:dyDescent="0.2">
      <c r="A520">
        <v>519</v>
      </c>
      <c r="B520">
        <f>LARGE(data!G:G,A520)</f>
        <v>0.17932042849999999</v>
      </c>
      <c r="C520">
        <f>COUNTIFS(data!E:E,data!$I$2,data!G:G,"&gt;="&amp;B520)</f>
        <v>249</v>
      </c>
      <c r="D520">
        <f>COUNTIFS(data!E:E,data!$J$2,data!G:G,"&gt;="&amp;B520)</f>
        <v>270</v>
      </c>
      <c r="E520">
        <f>COUNTIFS(data!E:E,data!$J$2,data!G:G,"&lt;"&amp;B520)</f>
        <v>92</v>
      </c>
      <c r="F520">
        <f>COUNTIFS(data!E:E,data!$I$2,data!G:G,"&lt;"&amp;B520)</f>
        <v>17</v>
      </c>
      <c r="G520">
        <f t="shared" si="52"/>
        <v>0.7458563535911602</v>
      </c>
      <c r="H520">
        <f t="shared" si="53"/>
        <v>0.93609022556390975</v>
      </c>
      <c r="I520">
        <f t="shared" si="54"/>
        <v>2.585884601005217E-3</v>
      </c>
      <c r="J520">
        <f t="shared" si="55"/>
        <v>0.47976878612716761</v>
      </c>
      <c r="K520">
        <f t="shared" si="56"/>
        <v>0.6343949044585987</v>
      </c>
      <c r="L520">
        <f>A520*COUNTIF(data!E:E,$J$2)/data!$M$2</f>
        <v>219.83121019108279</v>
      </c>
      <c r="M520" s="1">
        <f>A520/data!$M$2</f>
        <v>0.82643312101910826</v>
      </c>
      <c r="N520">
        <f t="shared" si="57"/>
        <v>1.1326872093528619</v>
      </c>
    </row>
    <row r="521" spans="1:14" x14ac:dyDescent="0.2">
      <c r="A521">
        <v>520</v>
      </c>
      <c r="B521">
        <f>LARGE(data!G:G,A521)</f>
        <v>0.1788399175</v>
      </c>
      <c r="C521">
        <f>COUNTIFS(data!E:E,data!$I$2,data!G:G,"&gt;="&amp;B521)</f>
        <v>250</v>
      </c>
      <c r="D521">
        <f>COUNTIFS(data!E:E,data!$J$2,data!G:G,"&gt;="&amp;B521)</f>
        <v>270</v>
      </c>
      <c r="E521">
        <f>COUNTIFS(data!E:E,data!$J$2,data!G:G,"&lt;"&amp;B521)</f>
        <v>92</v>
      </c>
      <c r="F521">
        <f>COUNTIFS(data!E:E,data!$I$2,data!G:G,"&lt;"&amp;B521)</f>
        <v>16</v>
      </c>
      <c r="G521">
        <f t="shared" si="52"/>
        <v>0.7458563535911602</v>
      </c>
      <c r="H521">
        <f t="shared" si="53"/>
        <v>0.93984962406015038</v>
      </c>
      <c r="I521">
        <f t="shared" si="54"/>
        <v>0</v>
      </c>
      <c r="J521">
        <f t="shared" si="55"/>
        <v>0.48076923076923078</v>
      </c>
      <c r="K521">
        <f t="shared" si="56"/>
        <v>0.63613231552162852</v>
      </c>
      <c r="L521">
        <f>A521*COUNTIF(data!E:E,$J$2)/data!$M$2</f>
        <v>220.25477707006368</v>
      </c>
      <c r="M521" s="1">
        <f>A521/data!$M$2</f>
        <v>0.82802547770700641</v>
      </c>
      <c r="N521">
        <f t="shared" si="57"/>
        <v>1.1350491613649509</v>
      </c>
    </row>
    <row r="522" spans="1:14" x14ac:dyDescent="0.2">
      <c r="A522">
        <v>521</v>
      </c>
      <c r="B522">
        <f>LARGE(data!G:G,A522)</f>
        <v>0.17864221929999999</v>
      </c>
      <c r="C522">
        <f>COUNTIFS(data!E:E,data!$I$2,data!G:G,"&gt;="&amp;B522)</f>
        <v>250</v>
      </c>
      <c r="D522">
        <f>COUNTIFS(data!E:E,data!$J$2,data!G:G,"&gt;="&amp;B522)</f>
        <v>271</v>
      </c>
      <c r="E522">
        <f>COUNTIFS(data!E:E,data!$J$2,data!G:G,"&lt;"&amp;B522)</f>
        <v>91</v>
      </c>
      <c r="F522">
        <f>COUNTIFS(data!E:E,data!$I$2,data!G:G,"&lt;"&amp;B522)</f>
        <v>16</v>
      </c>
      <c r="G522">
        <f t="shared" si="52"/>
        <v>0.74861878453038677</v>
      </c>
      <c r="H522">
        <f t="shared" si="53"/>
        <v>0.93984962406015038</v>
      </c>
      <c r="I522">
        <f t="shared" si="54"/>
        <v>2.5962696797242179E-3</v>
      </c>
      <c r="J522">
        <f t="shared" si="55"/>
        <v>0.47984644913627639</v>
      </c>
      <c r="K522">
        <f t="shared" si="56"/>
        <v>0.63532401524777637</v>
      </c>
      <c r="L522">
        <f>A522*COUNTIF(data!E:E,$J$2)/data!$M$2</f>
        <v>220.67834394904457</v>
      </c>
      <c r="M522" s="1">
        <f>A522/data!$M$2</f>
        <v>0.82961783439490444</v>
      </c>
      <c r="N522">
        <f t="shared" si="57"/>
        <v>1.1328705641262466</v>
      </c>
    </row>
    <row r="523" spans="1:14" x14ac:dyDescent="0.2">
      <c r="A523">
        <v>522</v>
      </c>
      <c r="B523">
        <f>LARGE(data!G:G,A523)</f>
        <v>0.17792830909999999</v>
      </c>
      <c r="C523">
        <f>COUNTIFS(data!E:E,data!$I$2,data!G:G,"&gt;="&amp;B523)</f>
        <v>250</v>
      </c>
      <c r="D523">
        <f>COUNTIFS(data!E:E,data!$J$2,data!G:G,"&gt;="&amp;B523)</f>
        <v>272</v>
      </c>
      <c r="E523">
        <f>COUNTIFS(data!E:E,data!$J$2,data!G:G,"&lt;"&amp;B523)</f>
        <v>90</v>
      </c>
      <c r="F523">
        <f>COUNTIFS(data!E:E,data!$I$2,data!G:G,"&lt;"&amp;B523)</f>
        <v>16</v>
      </c>
      <c r="G523">
        <f t="shared" si="52"/>
        <v>0.75138121546961323</v>
      </c>
      <c r="H523">
        <f t="shared" si="53"/>
        <v>0.93984962406015038</v>
      </c>
      <c r="I523">
        <f t="shared" si="54"/>
        <v>2.5962696797241134E-3</v>
      </c>
      <c r="J523">
        <f t="shared" si="55"/>
        <v>0.47892720306513409</v>
      </c>
      <c r="K523">
        <f t="shared" si="56"/>
        <v>0.63451776649746183</v>
      </c>
      <c r="L523">
        <f>A523*COUNTIF(data!E:E,$J$2)/data!$M$2</f>
        <v>221.10191082802547</v>
      </c>
      <c r="M523" s="1">
        <f>A523/data!$M$2</f>
        <v>0.83121019108280259</v>
      </c>
      <c r="N523">
        <f t="shared" si="57"/>
        <v>1.1307003140033993</v>
      </c>
    </row>
    <row r="524" spans="1:14" x14ac:dyDescent="0.2">
      <c r="A524">
        <v>523</v>
      </c>
      <c r="B524">
        <f>LARGE(data!G:G,A524)</f>
        <v>0.17774449449999999</v>
      </c>
      <c r="C524">
        <f>COUNTIFS(data!E:E,data!$I$2,data!G:G,"&gt;="&amp;B524)</f>
        <v>250</v>
      </c>
      <c r="D524">
        <f>COUNTIFS(data!E:E,data!$J$2,data!G:G,"&gt;="&amp;B524)</f>
        <v>273</v>
      </c>
      <c r="E524">
        <f>COUNTIFS(data!E:E,data!$J$2,data!G:G,"&lt;"&amp;B524)</f>
        <v>89</v>
      </c>
      <c r="F524">
        <f>COUNTIFS(data!E:E,data!$I$2,data!G:G,"&lt;"&amp;B524)</f>
        <v>16</v>
      </c>
      <c r="G524">
        <f t="shared" si="52"/>
        <v>0.7541436464088398</v>
      </c>
      <c r="H524">
        <f t="shared" si="53"/>
        <v>0.93984962406015038</v>
      </c>
      <c r="I524">
        <f t="shared" si="54"/>
        <v>2.5962696797242179E-3</v>
      </c>
      <c r="J524">
        <f t="shared" si="55"/>
        <v>0.47801147227533458</v>
      </c>
      <c r="K524">
        <f t="shared" si="56"/>
        <v>0.6337135614702154</v>
      </c>
      <c r="L524">
        <f>A524*COUNTIF(data!E:E,$J$2)/data!$M$2</f>
        <v>221.52547770700636</v>
      </c>
      <c r="M524" s="1">
        <f>A524/data!$M$2</f>
        <v>0.83280254777070062</v>
      </c>
      <c r="N524">
        <f t="shared" si="57"/>
        <v>1.1285383631162036</v>
      </c>
    </row>
    <row r="525" spans="1:14" x14ac:dyDescent="0.2">
      <c r="A525">
        <v>524</v>
      </c>
      <c r="B525">
        <f>LARGE(data!G:G,A525)</f>
        <v>0.17623440139999999</v>
      </c>
      <c r="C525">
        <f>COUNTIFS(data!E:E,data!$I$2,data!G:G,"&gt;="&amp;B525)</f>
        <v>251</v>
      </c>
      <c r="D525">
        <f>COUNTIFS(data!E:E,data!$J$2,data!G:G,"&gt;="&amp;B525)</f>
        <v>273</v>
      </c>
      <c r="E525">
        <f>COUNTIFS(data!E:E,data!$J$2,data!G:G,"&lt;"&amp;B525)</f>
        <v>89</v>
      </c>
      <c r="F525">
        <f>COUNTIFS(data!E:E,data!$I$2,data!G:G,"&lt;"&amp;B525)</f>
        <v>15</v>
      </c>
      <c r="G525">
        <f t="shared" si="52"/>
        <v>0.7541436464088398</v>
      </c>
      <c r="H525">
        <f t="shared" si="53"/>
        <v>0.94360902255639101</v>
      </c>
      <c r="I525">
        <f t="shared" si="54"/>
        <v>0</v>
      </c>
      <c r="J525">
        <f t="shared" si="55"/>
        <v>0.47900763358778625</v>
      </c>
      <c r="K525">
        <f t="shared" si="56"/>
        <v>0.63544303797468349</v>
      </c>
      <c r="L525">
        <f>A525*COUNTIF(data!E:E,$J$2)/data!$M$2</f>
        <v>221.94904458598725</v>
      </c>
      <c r="M525" s="1">
        <f>A525/data!$M$2</f>
        <v>0.83439490445859876</v>
      </c>
      <c r="N525">
        <f t="shared" si="57"/>
        <v>1.130890202605751</v>
      </c>
    </row>
    <row r="526" spans="1:14" x14ac:dyDescent="0.2">
      <c r="A526">
        <v>525</v>
      </c>
      <c r="B526">
        <f>LARGE(data!G:G,A526)</f>
        <v>0.17566093050000001</v>
      </c>
      <c r="C526">
        <f>COUNTIFS(data!E:E,data!$I$2,data!G:G,"&gt;="&amp;B526)</f>
        <v>251</v>
      </c>
      <c r="D526">
        <f>COUNTIFS(data!E:E,data!$J$2,data!G:G,"&gt;="&amp;B526)</f>
        <v>274</v>
      </c>
      <c r="E526">
        <f>COUNTIFS(data!E:E,data!$J$2,data!G:G,"&lt;"&amp;B526)</f>
        <v>88</v>
      </c>
      <c r="F526">
        <f>COUNTIFS(data!E:E,data!$I$2,data!G:G,"&lt;"&amp;B526)</f>
        <v>15</v>
      </c>
      <c r="G526">
        <f t="shared" si="52"/>
        <v>0.75690607734806625</v>
      </c>
      <c r="H526">
        <f t="shared" si="53"/>
        <v>0.94360902255639101</v>
      </c>
      <c r="I526">
        <f t="shared" si="54"/>
        <v>2.6066547584430101E-3</v>
      </c>
      <c r="J526">
        <f t="shared" si="55"/>
        <v>0.47809523809523807</v>
      </c>
      <c r="K526">
        <f t="shared" si="56"/>
        <v>0.63463969658659924</v>
      </c>
      <c r="L526">
        <f>A526*COUNTIF(data!E:E,$J$2)/data!$M$2</f>
        <v>222.37261146496814</v>
      </c>
      <c r="M526" s="1">
        <f>A526/data!$M$2</f>
        <v>0.8359872611464968</v>
      </c>
      <c r="N526">
        <f t="shared" si="57"/>
        <v>1.1287361260293591</v>
      </c>
    </row>
    <row r="527" spans="1:14" x14ac:dyDescent="0.2">
      <c r="A527">
        <v>526</v>
      </c>
      <c r="B527">
        <f>LARGE(data!G:G,A527)</f>
        <v>0.17553427490000001</v>
      </c>
      <c r="C527">
        <f>COUNTIFS(data!E:E,data!$I$2,data!G:G,"&gt;="&amp;B527)</f>
        <v>252</v>
      </c>
      <c r="D527">
        <f>COUNTIFS(data!E:E,data!$J$2,data!G:G,"&gt;="&amp;B527)</f>
        <v>274</v>
      </c>
      <c r="E527">
        <f>COUNTIFS(data!E:E,data!$J$2,data!G:G,"&lt;"&amp;B527)</f>
        <v>88</v>
      </c>
      <c r="F527">
        <f>COUNTIFS(data!E:E,data!$I$2,data!G:G,"&lt;"&amp;B527)</f>
        <v>14</v>
      </c>
      <c r="G527">
        <f t="shared" si="52"/>
        <v>0.75690607734806625</v>
      </c>
      <c r="H527">
        <f t="shared" si="53"/>
        <v>0.94736842105263153</v>
      </c>
      <c r="I527">
        <f t="shared" si="54"/>
        <v>0</v>
      </c>
      <c r="J527">
        <f t="shared" si="55"/>
        <v>0.47908745247148288</v>
      </c>
      <c r="K527">
        <f t="shared" si="56"/>
        <v>0.63636363636363635</v>
      </c>
      <c r="L527">
        <f>A527*COUNTIF(data!E:E,$J$2)/data!$M$2</f>
        <v>222.79617834394904</v>
      </c>
      <c r="M527" s="1">
        <f>A527/data!$M$2</f>
        <v>0.83757961783439494</v>
      </c>
      <c r="N527">
        <f t="shared" si="57"/>
        <v>1.131078647188313</v>
      </c>
    </row>
    <row r="528" spans="1:14" x14ac:dyDescent="0.2">
      <c r="A528">
        <v>527</v>
      </c>
      <c r="B528">
        <f>LARGE(data!G:G,A528)</f>
        <v>0.1754817061</v>
      </c>
      <c r="C528">
        <f>COUNTIFS(data!E:E,data!$I$2,data!G:G,"&gt;="&amp;B528)</f>
        <v>252</v>
      </c>
      <c r="D528">
        <f>COUNTIFS(data!E:E,data!$J$2,data!G:G,"&gt;="&amp;B528)</f>
        <v>275</v>
      </c>
      <c r="E528">
        <f>COUNTIFS(data!E:E,data!$J$2,data!G:G,"&lt;"&amp;B528)</f>
        <v>87</v>
      </c>
      <c r="F528">
        <f>COUNTIFS(data!E:E,data!$I$2,data!G:G,"&lt;"&amp;B528)</f>
        <v>14</v>
      </c>
      <c r="G528">
        <f t="shared" si="52"/>
        <v>0.75966850828729282</v>
      </c>
      <c r="H528">
        <f t="shared" si="53"/>
        <v>0.94736842105263153</v>
      </c>
      <c r="I528">
        <f t="shared" si="54"/>
        <v>2.6170398371620114E-3</v>
      </c>
      <c r="J528">
        <f t="shared" si="55"/>
        <v>0.4781783681214421</v>
      </c>
      <c r="K528">
        <f t="shared" si="56"/>
        <v>0.63556116015132402</v>
      </c>
      <c r="L528">
        <f>A528*COUNTIF(data!E:E,$J$2)/data!$M$2</f>
        <v>223.21974522292993</v>
      </c>
      <c r="M528" s="1">
        <f>A528/data!$M$2</f>
        <v>0.83917197452229297</v>
      </c>
      <c r="N528">
        <f t="shared" si="57"/>
        <v>1.1289323878957356</v>
      </c>
    </row>
    <row r="529" spans="1:14" x14ac:dyDescent="0.2">
      <c r="A529">
        <v>528</v>
      </c>
      <c r="B529">
        <f>LARGE(data!G:G,A529)</f>
        <v>0.174596947</v>
      </c>
      <c r="C529">
        <f>COUNTIFS(data!E:E,data!$I$2,data!G:G,"&gt;="&amp;B529)</f>
        <v>252</v>
      </c>
      <c r="D529">
        <f>COUNTIFS(data!E:E,data!$J$2,data!G:G,"&gt;="&amp;B529)</f>
        <v>276</v>
      </c>
      <c r="E529">
        <f>COUNTIFS(data!E:E,data!$J$2,data!G:G,"&lt;"&amp;B529)</f>
        <v>86</v>
      </c>
      <c r="F529">
        <f>COUNTIFS(data!E:E,data!$I$2,data!G:G,"&lt;"&amp;B529)</f>
        <v>14</v>
      </c>
      <c r="G529">
        <f t="shared" si="52"/>
        <v>0.76243093922651939</v>
      </c>
      <c r="H529">
        <f t="shared" si="53"/>
        <v>0.94736842105263153</v>
      </c>
      <c r="I529">
        <f t="shared" si="54"/>
        <v>2.6170398371620114E-3</v>
      </c>
      <c r="J529">
        <f t="shared" si="55"/>
        <v>0.47727272727272729</v>
      </c>
      <c r="K529">
        <f t="shared" si="56"/>
        <v>0.63476070528967243</v>
      </c>
      <c r="L529">
        <f>A529*COUNTIF(data!E:E,$J$2)/data!$M$2</f>
        <v>223.64331210191082</v>
      </c>
      <c r="M529" s="1">
        <f>A529/data!$M$2</f>
        <v>0.84076433121019112</v>
      </c>
      <c r="N529">
        <f t="shared" si="57"/>
        <v>1.1267942583732058</v>
      </c>
    </row>
    <row r="530" spans="1:14" x14ac:dyDescent="0.2">
      <c r="A530">
        <v>529</v>
      </c>
      <c r="B530">
        <f>LARGE(data!G:G,A530)</f>
        <v>0.1744958543</v>
      </c>
      <c r="C530">
        <f>COUNTIFS(data!E:E,data!$I$2,data!G:G,"&gt;="&amp;B530)</f>
        <v>252</v>
      </c>
      <c r="D530">
        <f>COUNTIFS(data!E:E,data!$J$2,data!G:G,"&gt;="&amp;B530)</f>
        <v>277</v>
      </c>
      <c r="E530">
        <f>COUNTIFS(data!E:E,data!$J$2,data!G:G,"&lt;"&amp;B530)</f>
        <v>85</v>
      </c>
      <c r="F530">
        <f>COUNTIFS(data!E:E,data!$I$2,data!G:G,"&lt;"&amp;B530)</f>
        <v>14</v>
      </c>
      <c r="G530">
        <f t="shared" si="52"/>
        <v>0.76519337016574585</v>
      </c>
      <c r="H530">
        <f t="shared" si="53"/>
        <v>0.94736842105263153</v>
      </c>
      <c r="I530">
        <f t="shared" si="54"/>
        <v>2.6170398371619065E-3</v>
      </c>
      <c r="J530">
        <f t="shared" si="55"/>
        <v>0.47637051039697542</v>
      </c>
      <c r="K530">
        <f t="shared" si="56"/>
        <v>0.63396226415094337</v>
      </c>
      <c r="L530">
        <f>A530*COUNTIF(data!E:E,$J$2)/data!$M$2</f>
        <v>224.06687898089172</v>
      </c>
      <c r="M530" s="1">
        <f>A530/data!$M$2</f>
        <v>0.84235668789808915</v>
      </c>
      <c r="N530">
        <f t="shared" si="57"/>
        <v>1.1246642125161677</v>
      </c>
    </row>
    <row r="531" spans="1:14" x14ac:dyDescent="0.2">
      <c r="A531">
        <v>530</v>
      </c>
      <c r="B531">
        <f>LARGE(data!G:G,A531)</f>
        <v>0.17178461370000001</v>
      </c>
      <c r="C531">
        <f>COUNTIFS(data!E:E,data!$I$2,data!G:G,"&gt;="&amp;B531)</f>
        <v>252</v>
      </c>
      <c r="D531">
        <f>COUNTIFS(data!E:E,data!$J$2,data!G:G,"&gt;="&amp;B531)</f>
        <v>278</v>
      </c>
      <c r="E531">
        <f>COUNTIFS(data!E:E,data!$J$2,data!G:G,"&lt;"&amp;B531)</f>
        <v>84</v>
      </c>
      <c r="F531">
        <f>COUNTIFS(data!E:E,data!$I$2,data!G:G,"&lt;"&amp;B531)</f>
        <v>14</v>
      </c>
      <c r="G531">
        <f t="shared" si="52"/>
        <v>0.76795580110497241</v>
      </c>
      <c r="H531">
        <f t="shared" si="53"/>
        <v>0.94736842105263153</v>
      </c>
      <c r="I531">
        <f t="shared" si="54"/>
        <v>2.6170398371620114E-3</v>
      </c>
      <c r="J531">
        <f t="shared" si="55"/>
        <v>0.47547169811320755</v>
      </c>
      <c r="K531">
        <f t="shared" si="56"/>
        <v>0.63316582914572872</v>
      </c>
      <c r="L531">
        <f>A531*COUNTIF(data!E:E,$J$2)/data!$M$2</f>
        <v>224.49044585987261</v>
      </c>
      <c r="M531" s="1">
        <f>A531/data!$M$2</f>
        <v>0.8439490445859873</v>
      </c>
      <c r="N531">
        <f t="shared" si="57"/>
        <v>1.1225422045680238</v>
      </c>
    </row>
    <row r="532" spans="1:14" x14ac:dyDescent="0.2">
      <c r="A532">
        <v>531</v>
      </c>
      <c r="B532">
        <f>LARGE(data!G:G,A532)</f>
        <v>0.17154621040000001</v>
      </c>
      <c r="C532">
        <f>COUNTIFS(data!E:E,data!$I$2,data!G:G,"&gt;="&amp;B532)</f>
        <v>252</v>
      </c>
      <c r="D532">
        <f>COUNTIFS(data!E:E,data!$J$2,data!G:G,"&gt;="&amp;B532)</f>
        <v>279</v>
      </c>
      <c r="E532">
        <f>COUNTIFS(data!E:E,data!$J$2,data!G:G,"&lt;"&amp;B532)</f>
        <v>83</v>
      </c>
      <c r="F532">
        <f>COUNTIFS(data!E:E,data!$I$2,data!G:G,"&lt;"&amp;B532)</f>
        <v>14</v>
      </c>
      <c r="G532">
        <f t="shared" si="52"/>
        <v>0.77071823204419887</v>
      </c>
      <c r="H532">
        <f t="shared" si="53"/>
        <v>0.94736842105263153</v>
      </c>
      <c r="I532">
        <f t="shared" si="54"/>
        <v>2.6170398371619065E-3</v>
      </c>
      <c r="J532">
        <f t="shared" si="55"/>
        <v>0.47457627118644069</v>
      </c>
      <c r="K532">
        <f t="shared" si="56"/>
        <v>0.63237139272271015</v>
      </c>
      <c r="L532">
        <f>A532*COUNTIF(data!E:E,$J$2)/data!$M$2</f>
        <v>224.9140127388535</v>
      </c>
      <c r="M532" s="1">
        <f>A532/data!$M$2</f>
        <v>0.84554140127388533</v>
      </c>
      <c r="N532">
        <f t="shared" si="57"/>
        <v>1.1204281891168599</v>
      </c>
    </row>
    <row r="533" spans="1:14" x14ac:dyDescent="0.2">
      <c r="A533">
        <v>532</v>
      </c>
      <c r="B533">
        <f>LARGE(data!G:G,A533)</f>
        <v>0.17124049259999999</v>
      </c>
      <c r="C533">
        <f>COUNTIFS(data!E:E,data!$I$2,data!G:G,"&gt;="&amp;B533)</f>
        <v>252</v>
      </c>
      <c r="D533">
        <f>COUNTIFS(data!E:E,data!$J$2,data!G:G,"&gt;="&amp;B533)</f>
        <v>280</v>
      </c>
      <c r="E533">
        <f>COUNTIFS(data!E:E,data!$J$2,data!G:G,"&lt;"&amp;B533)</f>
        <v>82</v>
      </c>
      <c r="F533">
        <f>COUNTIFS(data!E:E,data!$I$2,data!G:G,"&lt;"&amp;B533)</f>
        <v>14</v>
      </c>
      <c r="G533">
        <f t="shared" si="52"/>
        <v>0.77348066298342544</v>
      </c>
      <c r="H533">
        <f t="shared" si="53"/>
        <v>0.94736842105263153</v>
      </c>
      <c r="I533">
        <f t="shared" si="54"/>
        <v>2.6170398371620114E-3</v>
      </c>
      <c r="J533">
        <f t="shared" si="55"/>
        <v>0.47368421052631576</v>
      </c>
      <c r="K533">
        <f t="shared" si="56"/>
        <v>0.63157894736842102</v>
      </c>
      <c r="L533">
        <f>A533*COUNTIF(data!E:E,$J$2)/data!$M$2</f>
        <v>225.33757961783439</v>
      </c>
      <c r="M533" s="1">
        <f>A533/data!$M$2</f>
        <v>0.84713375796178347</v>
      </c>
      <c r="N533">
        <f t="shared" si="57"/>
        <v>1.1183221210922043</v>
      </c>
    </row>
    <row r="534" spans="1:14" x14ac:dyDescent="0.2">
      <c r="A534">
        <v>533</v>
      </c>
      <c r="B534">
        <f>LARGE(data!G:G,A534)</f>
        <v>0.17084009510000001</v>
      </c>
      <c r="C534">
        <f>COUNTIFS(data!E:E,data!$I$2,data!G:G,"&gt;="&amp;B534)</f>
        <v>252</v>
      </c>
      <c r="D534">
        <f>COUNTIFS(data!E:E,data!$J$2,data!G:G,"&gt;="&amp;B534)</f>
        <v>281</v>
      </c>
      <c r="E534">
        <f>COUNTIFS(data!E:E,data!$J$2,data!G:G,"&lt;"&amp;B534)</f>
        <v>81</v>
      </c>
      <c r="F534">
        <f>COUNTIFS(data!E:E,data!$I$2,data!G:G,"&lt;"&amp;B534)</f>
        <v>14</v>
      </c>
      <c r="G534">
        <f t="shared" si="52"/>
        <v>0.77624309392265189</v>
      </c>
      <c r="H534">
        <f t="shared" si="53"/>
        <v>0.94736842105263153</v>
      </c>
      <c r="I534">
        <f t="shared" si="54"/>
        <v>2.6170398371619065E-3</v>
      </c>
      <c r="J534">
        <f t="shared" si="55"/>
        <v>0.4727954971857411</v>
      </c>
      <c r="K534">
        <f t="shared" si="56"/>
        <v>0.63078848560700884</v>
      </c>
      <c r="L534">
        <f>A534*COUNTIF(data!E:E,$J$2)/data!$M$2</f>
        <v>225.76114649681529</v>
      </c>
      <c r="M534" s="1">
        <f>A534/data!$M$2</f>
        <v>0.84872611464968151</v>
      </c>
      <c r="N534">
        <f t="shared" si="57"/>
        <v>1.1162239557618248</v>
      </c>
    </row>
    <row r="535" spans="1:14" x14ac:dyDescent="0.2">
      <c r="A535">
        <v>534</v>
      </c>
      <c r="B535">
        <f>LARGE(data!G:G,A535)</f>
        <v>0.16910029409999999</v>
      </c>
      <c r="C535">
        <f>COUNTIFS(data!E:E,data!$I$2,data!G:G,"&gt;="&amp;B535)</f>
        <v>252</v>
      </c>
      <c r="D535">
        <f>COUNTIFS(data!E:E,data!$J$2,data!G:G,"&gt;="&amp;B535)</f>
        <v>282</v>
      </c>
      <c r="E535">
        <f>COUNTIFS(data!E:E,data!$J$2,data!G:G,"&lt;"&amp;B535)</f>
        <v>80</v>
      </c>
      <c r="F535">
        <f>COUNTIFS(data!E:E,data!$I$2,data!G:G,"&lt;"&amp;B535)</f>
        <v>14</v>
      </c>
      <c r="G535">
        <f t="shared" si="52"/>
        <v>0.77900552486187846</v>
      </c>
      <c r="H535">
        <f t="shared" si="53"/>
        <v>0.94736842105263153</v>
      </c>
      <c r="I535">
        <f t="shared" si="54"/>
        <v>2.6170398371620114E-3</v>
      </c>
      <c r="J535">
        <f t="shared" si="55"/>
        <v>0.47191011235955055</v>
      </c>
      <c r="K535">
        <f t="shared" si="56"/>
        <v>0.63</v>
      </c>
      <c r="L535">
        <f>A535*COUNTIF(data!E:E,$J$2)/data!$M$2</f>
        <v>226.18471337579618</v>
      </c>
      <c r="M535" s="1">
        <f>A535/data!$M$2</f>
        <v>0.85031847133757965</v>
      </c>
      <c r="N535">
        <f t="shared" si="57"/>
        <v>1.1141336487285629</v>
      </c>
    </row>
    <row r="536" spans="1:14" x14ac:dyDescent="0.2">
      <c r="A536">
        <v>535</v>
      </c>
      <c r="B536">
        <f>LARGE(data!G:G,A536)</f>
        <v>0.1677311084</v>
      </c>
      <c r="C536">
        <f>COUNTIFS(data!E:E,data!$I$2,data!G:G,"&gt;="&amp;B536)</f>
        <v>252</v>
      </c>
      <c r="D536">
        <f>COUNTIFS(data!E:E,data!$J$2,data!G:G,"&gt;="&amp;B536)</f>
        <v>283</v>
      </c>
      <c r="E536">
        <f>COUNTIFS(data!E:E,data!$J$2,data!G:G,"&lt;"&amp;B536)</f>
        <v>79</v>
      </c>
      <c r="F536">
        <f>COUNTIFS(data!E:E,data!$I$2,data!G:G,"&lt;"&amp;B536)</f>
        <v>14</v>
      </c>
      <c r="G536">
        <f t="shared" si="52"/>
        <v>0.78176795580110492</v>
      </c>
      <c r="H536">
        <f t="shared" si="53"/>
        <v>0.94736842105263153</v>
      </c>
      <c r="I536">
        <f t="shared" si="54"/>
        <v>2.6170398371619065E-3</v>
      </c>
      <c r="J536">
        <f t="shared" si="55"/>
        <v>0.47102803738317756</v>
      </c>
      <c r="K536">
        <f t="shared" si="56"/>
        <v>0.6292134831460674</v>
      </c>
      <c r="L536">
        <f>A536*COUNTIF(data!E:E,$J$2)/data!$M$2</f>
        <v>226.60828025477707</v>
      </c>
      <c r="M536" s="1">
        <f>A536/data!$M$2</f>
        <v>0.85191082802547768</v>
      </c>
      <c r="N536">
        <f t="shared" si="57"/>
        <v>1.1120511559272013</v>
      </c>
    </row>
    <row r="537" spans="1:14" x14ac:dyDescent="0.2">
      <c r="A537">
        <v>536</v>
      </c>
      <c r="B537">
        <f>LARGE(data!G:G,A537)</f>
        <v>0.1677031215</v>
      </c>
      <c r="C537">
        <f>COUNTIFS(data!E:E,data!$I$2,data!G:G,"&gt;="&amp;B537)</f>
        <v>253</v>
      </c>
      <c r="D537">
        <f>COUNTIFS(data!E:E,data!$J$2,data!G:G,"&gt;="&amp;B537)</f>
        <v>283</v>
      </c>
      <c r="E537">
        <f>COUNTIFS(data!E:E,data!$J$2,data!G:G,"&lt;"&amp;B537)</f>
        <v>79</v>
      </c>
      <c r="F537">
        <f>COUNTIFS(data!E:E,data!$I$2,data!G:G,"&lt;"&amp;B537)</f>
        <v>13</v>
      </c>
      <c r="G537">
        <f t="shared" si="52"/>
        <v>0.78176795580110492</v>
      </c>
      <c r="H537">
        <f t="shared" si="53"/>
        <v>0.95112781954887216</v>
      </c>
      <c r="I537">
        <f t="shared" si="54"/>
        <v>0</v>
      </c>
      <c r="J537">
        <f t="shared" si="55"/>
        <v>0.47201492537313433</v>
      </c>
      <c r="K537">
        <f t="shared" si="56"/>
        <v>0.63092269326683292</v>
      </c>
      <c r="L537">
        <f>A537*COUNTIF(data!E:E,$J$2)/data!$M$2</f>
        <v>227.03184713375796</v>
      </c>
      <c r="M537" s="1">
        <f>A537/data!$M$2</f>
        <v>0.85350318471337583</v>
      </c>
      <c r="N537">
        <f t="shared" si="57"/>
        <v>1.1143811020087533</v>
      </c>
    </row>
    <row r="538" spans="1:14" x14ac:dyDescent="0.2">
      <c r="A538">
        <v>537</v>
      </c>
      <c r="B538">
        <f>LARGE(data!G:G,A538)</f>
        <v>0.1670722117</v>
      </c>
      <c r="C538">
        <f>COUNTIFS(data!E:E,data!$I$2,data!G:G,"&gt;="&amp;B538)</f>
        <v>253</v>
      </c>
      <c r="D538">
        <f>COUNTIFS(data!E:E,data!$J$2,data!G:G,"&gt;="&amp;B538)</f>
        <v>284</v>
      </c>
      <c r="E538">
        <f>COUNTIFS(data!E:E,data!$J$2,data!G:G,"&lt;"&amp;B538)</f>
        <v>78</v>
      </c>
      <c r="F538">
        <f>COUNTIFS(data!E:E,data!$I$2,data!G:G,"&lt;"&amp;B538)</f>
        <v>13</v>
      </c>
      <c r="G538">
        <f t="shared" si="52"/>
        <v>0.78453038674033149</v>
      </c>
      <c r="H538">
        <f t="shared" si="53"/>
        <v>0.95112781954887216</v>
      </c>
      <c r="I538">
        <f t="shared" si="54"/>
        <v>2.6274249158809086E-3</v>
      </c>
      <c r="J538">
        <f t="shared" si="55"/>
        <v>0.47113594040968343</v>
      </c>
      <c r="K538">
        <f t="shared" si="56"/>
        <v>0.63013698630136983</v>
      </c>
      <c r="L538">
        <f>A538*COUNTIF(data!E:E,$J$2)/data!$M$2</f>
        <v>227.45541401273886</v>
      </c>
      <c r="M538" s="1">
        <f>A538/data!$M$2</f>
        <v>0.85509554140127386</v>
      </c>
      <c r="N538">
        <f t="shared" si="57"/>
        <v>1.1123059044258692</v>
      </c>
    </row>
    <row r="539" spans="1:14" x14ac:dyDescent="0.2">
      <c r="A539">
        <v>538</v>
      </c>
      <c r="B539">
        <f>LARGE(data!G:G,A539)</f>
        <v>0.16633693159999999</v>
      </c>
      <c r="C539">
        <f>COUNTIFS(data!E:E,data!$I$2,data!G:G,"&gt;="&amp;B539)</f>
        <v>253</v>
      </c>
      <c r="D539">
        <f>COUNTIFS(data!E:E,data!$J$2,data!G:G,"&gt;="&amp;B539)</f>
        <v>285</v>
      </c>
      <c r="E539">
        <f>COUNTIFS(data!E:E,data!$J$2,data!G:G,"&lt;"&amp;B539)</f>
        <v>77</v>
      </c>
      <c r="F539">
        <f>COUNTIFS(data!E:E,data!$I$2,data!G:G,"&lt;"&amp;B539)</f>
        <v>13</v>
      </c>
      <c r="G539">
        <f t="shared" si="52"/>
        <v>0.78729281767955805</v>
      </c>
      <c r="H539">
        <f t="shared" si="53"/>
        <v>0.95112781954887216</v>
      </c>
      <c r="I539">
        <f t="shared" si="54"/>
        <v>2.6274249158809086E-3</v>
      </c>
      <c r="J539">
        <f t="shared" si="55"/>
        <v>0.47026022304832715</v>
      </c>
      <c r="K539">
        <f t="shared" si="56"/>
        <v>0.62935323383084574</v>
      </c>
      <c r="L539">
        <f>A539*COUNTIF(data!E:E,$J$2)/data!$M$2</f>
        <v>227.87898089171975</v>
      </c>
      <c r="M539" s="1">
        <f>A539/data!$M$2</f>
        <v>0.85668789808917201</v>
      </c>
      <c r="N539">
        <f t="shared" si="57"/>
        <v>1.1102384213321408</v>
      </c>
    </row>
    <row r="540" spans="1:14" x14ac:dyDescent="0.2">
      <c r="A540">
        <v>539</v>
      </c>
      <c r="B540">
        <f>LARGE(data!G:G,A540)</f>
        <v>0.16515312700000001</v>
      </c>
      <c r="C540">
        <f>COUNTIFS(data!E:E,data!$I$2,data!G:G,"&gt;="&amp;B540)</f>
        <v>255</v>
      </c>
      <c r="D540">
        <f>COUNTIFS(data!E:E,data!$J$2,data!G:G,"&gt;="&amp;B540)</f>
        <v>285</v>
      </c>
      <c r="E540">
        <f>COUNTIFS(data!E:E,data!$J$2,data!G:G,"&lt;"&amp;B540)</f>
        <v>77</v>
      </c>
      <c r="F540">
        <f>COUNTIFS(data!E:E,data!$I$2,data!G:G,"&lt;"&amp;B540)</f>
        <v>11</v>
      </c>
      <c r="G540">
        <f t="shared" si="52"/>
        <v>0.78729281767955805</v>
      </c>
      <c r="H540">
        <f t="shared" si="53"/>
        <v>0.95864661654135341</v>
      </c>
      <c r="I540">
        <f t="shared" si="54"/>
        <v>0</v>
      </c>
      <c r="J540">
        <f t="shared" si="55"/>
        <v>0.47222222222222221</v>
      </c>
      <c r="K540">
        <f t="shared" si="56"/>
        <v>0.63275434243176176</v>
      </c>
      <c r="L540">
        <f>A540*COUNTIF(data!E:E,$J$2)/data!$M$2</f>
        <v>228.30254777070064</v>
      </c>
      <c r="M540" s="1">
        <f>A540/data!$M$2</f>
        <v>0.85828025477707004</v>
      </c>
      <c r="N540">
        <f t="shared" si="57"/>
        <v>1.11693891500551</v>
      </c>
    </row>
    <row r="541" spans="1:14" x14ac:dyDescent="0.2">
      <c r="A541">
        <v>540</v>
      </c>
      <c r="B541">
        <f>LARGE(data!G:G,A541)</f>
        <v>0.16515312700000001</v>
      </c>
      <c r="C541">
        <f>COUNTIFS(data!E:E,data!$I$2,data!G:G,"&gt;="&amp;B541)</f>
        <v>255</v>
      </c>
      <c r="D541">
        <f>COUNTIFS(data!E:E,data!$J$2,data!G:G,"&gt;="&amp;B541)</f>
        <v>285</v>
      </c>
      <c r="E541">
        <f>COUNTIFS(data!E:E,data!$J$2,data!G:G,"&lt;"&amp;B541)</f>
        <v>77</v>
      </c>
      <c r="F541">
        <f>COUNTIFS(data!E:E,data!$I$2,data!G:G,"&lt;"&amp;B541)</f>
        <v>11</v>
      </c>
      <c r="G541">
        <f t="shared" si="52"/>
        <v>0.78729281767955805</v>
      </c>
      <c r="H541">
        <f t="shared" si="53"/>
        <v>0.95864661654135341</v>
      </c>
      <c r="I541">
        <f t="shared" si="54"/>
        <v>0</v>
      </c>
      <c r="J541">
        <f t="shared" si="55"/>
        <v>0.47222222222222221</v>
      </c>
      <c r="K541">
        <f t="shared" si="56"/>
        <v>0.63275434243176176</v>
      </c>
      <c r="L541">
        <f>A541*COUNTIF(data!E:E,$J$2)/data!$M$2</f>
        <v>228.72611464968153</v>
      </c>
      <c r="M541" s="1">
        <f>A541/data!$M$2</f>
        <v>0.85987261146496818</v>
      </c>
      <c r="N541">
        <f t="shared" si="57"/>
        <v>1.1148705096073517</v>
      </c>
    </row>
    <row r="542" spans="1:14" x14ac:dyDescent="0.2">
      <c r="A542">
        <v>541</v>
      </c>
      <c r="B542">
        <f>LARGE(data!G:G,A542)</f>
        <v>0.16389459370000001</v>
      </c>
      <c r="C542">
        <f>COUNTIFS(data!E:E,data!$I$2,data!G:G,"&gt;="&amp;B542)</f>
        <v>255</v>
      </c>
      <c r="D542">
        <f>COUNTIFS(data!E:E,data!$J$2,data!G:G,"&gt;="&amp;B542)</f>
        <v>286</v>
      </c>
      <c r="E542">
        <f>COUNTIFS(data!E:E,data!$J$2,data!G:G,"&lt;"&amp;B542)</f>
        <v>76</v>
      </c>
      <c r="F542">
        <f>COUNTIFS(data!E:E,data!$I$2,data!G:G,"&lt;"&amp;B542)</f>
        <v>11</v>
      </c>
      <c r="G542">
        <f t="shared" si="52"/>
        <v>0.79005524861878451</v>
      </c>
      <c r="H542">
        <f t="shared" si="53"/>
        <v>0.95864661654135341</v>
      </c>
      <c r="I542">
        <f t="shared" si="54"/>
        <v>2.6481950733185959E-3</v>
      </c>
      <c r="J542">
        <f t="shared" si="55"/>
        <v>0.4713493530499076</v>
      </c>
      <c r="K542">
        <f t="shared" si="56"/>
        <v>0.63197026022304836</v>
      </c>
      <c r="L542">
        <f>A542*COUNTIF(data!E:E,$J$2)/data!$M$2</f>
        <v>229.14968152866243</v>
      </c>
      <c r="M542" s="1">
        <f>A542/data!$M$2</f>
        <v>0.86146496815286622</v>
      </c>
      <c r="N542">
        <f t="shared" si="57"/>
        <v>1.1128097508095562</v>
      </c>
    </row>
    <row r="543" spans="1:14" x14ac:dyDescent="0.2">
      <c r="A543">
        <v>542</v>
      </c>
      <c r="B543">
        <f>LARGE(data!G:G,A543)</f>
        <v>0.16383812640000001</v>
      </c>
      <c r="C543">
        <f>COUNTIFS(data!E:E,data!$I$2,data!G:G,"&gt;="&amp;B543)</f>
        <v>255</v>
      </c>
      <c r="D543">
        <f>COUNTIFS(data!E:E,data!$J$2,data!G:G,"&gt;="&amp;B543)</f>
        <v>287</v>
      </c>
      <c r="E543">
        <f>COUNTIFS(data!E:E,data!$J$2,data!G:G,"&lt;"&amp;B543)</f>
        <v>75</v>
      </c>
      <c r="F543">
        <f>COUNTIFS(data!E:E,data!$I$2,data!G:G,"&lt;"&amp;B543)</f>
        <v>11</v>
      </c>
      <c r="G543">
        <f t="shared" si="52"/>
        <v>0.79281767955801108</v>
      </c>
      <c r="H543">
        <f t="shared" si="53"/>
        <v>0.95864661654135341</v>
      </c>
      <c r="I543">
        <f t="shared" si="54"/>
        <v>2.6481950733187021E-3</v>
      </c>
      <c r="J543">
        <f t="shared" si="55"/>
        <v>0.47047970479704798</v>
      </c>
      <c r="K543">
        <f t="shared" si="56"/>
        <v>0.63118811881188119</v>
      </c>
      <c r="L543">
        <f>A543*COUNTIF(data!E:E,$J$2)/data!$M$2</f>
        <v>229.57324840764332</v>
      </c>
      <c r="M543" s="1">
        <f>A543/data!$M$2</f>
        <v>0.86305732484076436</v>
      </c>
      <c r="N543">
        <f t="shared" si="57"/>
        <v>1.1107565962877675</v>
      </c>
    </row>
    <row r="544" spans="1:14" x14ac:dyDescent="0.2">
      <c r="A544">
        <v>543</v>
      </c>
      <c r="B544">
        <f>LARGE(data!G:G,A544)</f>
        <v>0.16179925840000001</v>
      </c>
      <c r="C544">
        <f>COUNTIFS(data!E:E,data!$I$2,data!G:G,"&gt;="&amp;B544)</f>
        <v>255</v>
      </c>
      <c r="D544">
        <f>COUNTIFS(data!E:E,data!$J$2,data!G:G,"&gt;="&amp;B544)</f>
        <v>288</v>
      </c>
      <c r="E544">
        <f>COUNTIFS(data!E:E,data!$J$2,data!G:G,"&lt;"&amp;B544)</f>
        <v>74</v>
      </c>
      <c r="F544">
        <f>COUNTIFS(data!E:E,data!$I$2,data!G:G,"&lt;"&amp;B544)</f>
        <v>11</v>
      </c>
      <c r="G544">
        <f t="shared" si="52"/>
        <v>0.79558011049723754</v>
      </c>
      <c r="H544">
        <f t="shared" si="53"/>
        <v>0.95864661654135341</v>
      </c>
      <c r="I544">
        <f t="shared" si="54"/>
        <v>2.6481950733185959E-3</v>
      </c>
      <c r="J544">
        <f t="shared" si="55"/>
        <v>0.46961325966850831</v>
      </c>
      <c r="K544">
        <f t="shared" si="56"/>
        <v>0.63040791100123617</v>
      </c>
      <c r="L544">
        <f>A544*COUNTIF(data!E:E,$J$2)/data!$M$2</f>
        <v>229.99681528662421</v>
      </c>
      <c r="M544" s="1">
        <f>A544/data!$M$2</f>
        <v>0.86464968152866239</v>
      </c>
      <c r="N544">
        <f t="shared" si="57"/>
        <v>1.1087110040294106</v>
      </c>
    </row>
    <row r="545" spans="1:14" x14ac:dyDescent="0.2">
      <c r="A545">
        <v>544</v>
      </c>
      <c r="B545">
        <f>LARGE(data!G:G,A545)</f>
        <v>0.16119789600000001</v>
      </c>
      <c r="C545">
        <f>COUNTIFS(data!E:E,data!$I$2,data!G:G,"&gt;="&amp;B545)</f>
        <v>255</v>
      </c>
      <c r="D545">
        <f>COUNTIFS(data!E:E,data!$J$2,data!G:G,"&gt;="&amp;B545)</f>
        <v>289</v>
      </c>
      <c r="E545">
        <f>COUNTIFS(data!E:E,data!$J$2,data!G:G,"&lt;"&amp;B545)</f>
        <v>73</v>
      </c>
      <c r="F545">
        <f>COUNTIFS(data!E:E,data!$I$2,data!G:G,"&lt;"&amp;B545)</f>
        <v>11</v>
      </c>
      <c r="G545">
        <f t="shared" si="52"/>
        <v>0.7983425414364641</v>
      </c>
      <c r="H545">
        <f t="shared" si="53"/>
        <v>0.95864661654135341</v>
      </c>
      <c r="I545">
        <f t="shared" si="54"/>
        <v>2.6481950733187021E-3</v>
      </c>
      <c r="J545">
        <f t="shared" si="55"/>
        <v>0.46875</v>
      </c>
      <c r="K545">
        <f t="shared" si="56"/>
        <v>0.62962962962962965</v>
      </c>
      <c r="L545">
        <f>A545*COUNTIF(data!E:E,$J$2)/data!$M$2</f>
        <v>230.4203821656051</v>
      </c>
      <c r="M545" s="1">
        <f>A545/data!$M$2</f>
        <v>0.86624203821656054</v>
      </c>
      <c r="N545">
        <f t="shared" si="57"/>
        <v>1.1066729323308271</v>
      </c>
    </row>
    <row r="546" spans="1:14" x14ac:dyDescent="0.2">
      <c r="A546">
        <v>545</v>
      </c>
      <c r="B546">
        <f>LARGE(data!G:G,A546)</f>
        <v>0.1595333025</v>
      </c>
      <c r="C546">
        <f>COUNTIFS(data!E:E,data!$I$2,data!G:G,"&gt;="&amp;B546)</f>
        <v>255</v>
      </c>
      <c r="D546">
        <f>COUNTIFS(data!E:E,data!$J$2,data!G:G,"&gt;="&amp;B546)</f>
        <v>290</v>
      </c>
      <c r="E546">
        <f>COUNTIFS(data!E:E,data!$J$2,data!G:G,"&lt;"&amp;B546)</f>
        <v>72</v>
      </c>
      <c r="F546">
        <f>COUNTIFS(data!E:E,data!$I$2,data!G:G,"&lt;"&amp;B546)</f>
        <v>11</v>
      </c>
      <c r="G546">
        <f t="shared" si="52"/>
        <v>0.80110497237569056</v>
      </c>
      <c r="H546">
        <f t="shared" si="53"/>
        <v>0.95864661654135341</v>
      </c>
      <c r="I546">
        <f t="shared" si="54"/>
        <v>2.6481950733185959E-3</v>
      </c>
      <c r="J546">
        <f t="shared" si="55"/>
        <v>0.46788990825688076</v>
      </c>
      <c r="K546">
        <f t="shared" si="56"/>
        <v>0.6288532675709001</v>
      </c>
      <c r="L546">
        <f>A546*COUNTIF(data!E:E,$J$2)/data!$M$2</f>
        <v>230.843949044586</v>
      </c>
      <c r="M546" s="1">
        <f>A546/data!$M$2</f>
        <v>0.86783439490445857</v>
      </c>
      <c r="N546">
        <f t="shared" si="57"/>
        <v>1.1046423397944403</v>
      </c>
    </row>
    <row r="547" spans="1:14" x14ac:dyDescent="0.2">
      <c r="A547">
        <v>546</v>
      </c>
      <c r="B547">
        <f>LARGE(data!G:G,A547)</f>
        <v>0.15934077730000001</v>
      </c>
      <c r="C547">
        <f>COUNTIFS(data!E:E,data!$I$2,data!G:G,"&gt;="&amp;B547)</f>
        <v>255</v>
      </c>
      <c r="D547">
        <f>COUNTIFS(data!E:E,data!$J$2,data!G:G,"&gt;="&amp;B547)</f>
        <v>291</v>
      </c>
      <c r="E547">
        <f>COUNTIFS(data!E:E,data!$J$2,data!G:G,"&lt;"&amp;B547)</f>
        <v>71</v>
      </c>
      <c r="F547">
        <f>COUNTIFS(data!E:E,data!$I$2,data!G:G,"&lt;"&amp;B547)</f>
        <v>11</v>
      </c>
      <c r="G547">
        <f t="shared" si="52"/>
        <v>0.80386740331491713</v>
      </c>
      <c r="H547">
        <f t="shared" si="53"/>
        <v>0.95864661654135341</v>
      </c>
      <c r="I547">
        <f t="shared" si="54"/>
        <v>2.6481950733187021E-3</v>
      </c>
      <c r="J547">
        <f t="shared" si="55"/>
        <v>0.46703296703296704</v>
      </c>
      <c r="K547">
        <f t="shared" si="56"/>
        <v>0.6280788177339901</v>
      </c>
      <c r="L547">
        <f>A547*COUNTIF(data!E:E,$J$2)/data!$M$2</f>
        <v>231.26751592356689</v>
      </c>
      <c r="M547" s="1">
        <f>A547/data!$M$2</f>
        <v>0.86942675159235672</v>
      </c>
      <c r="N547">
        <f t="shared" si="57"/>
        <v>1.1026191853259522</v>
      </c>
    </row>
    <row r="548" spans="1:14" x14ac:dyDescent="0.2">
      <c r="A548">
        <v>547</v>
      </c>
      <c r="B548">
        <f>LARGE(data!G:G,A548)</f>
        <v>0.15774990890000001</v>
      </c>
      <c r="C548">
        <f>COUNTIFS(data!E:E,data!$I$2,data!G:G,"&gt;="&amp;B548)</f>
        <v>255</v>
      </c>
      <c r="D548">
        <f>COUNTIFS(data!E:E,data!$J$2,data!G:G,"&gt;="&amp;B548)</f>
        <v>292</v>
      </c>
      <c r="E548">
        <f>COUNTIFS(data!E:E,data!$J$2,data!G:G,"&lt;"&amp;B548)</f>
        <v>70</v>
      </c>
      <c r="F548">
        <f>COUNTIFS(data!E:E,data!$I$2,data!G:G,"&lt;"&amp;B548)</f>
        <v>11</v>
      </c>
      <c r="G548">
        <f t="shared" si="52"/>
        <v>0.8066298342541437</v>
      </c>
      <c r="H548">
        <f t="shared" si="53"/>
        <v>0.95864661654135341</v>
      </c>
      <c r="I548">
        <f t="shared" si="54"/>
        <v>2.6481950733187021E-3</v>
      </c>
      <c r="J548">
        <f t="shared" si="55"/>
        <v>0.46617915904936014</v>
      </c>
      <c r="K548">
        <f t="shared" si="56"/>
        <v>0.62730627306273057</v>
      </c>
      <c r="L548">
        <f>A548*COUNTIF(data!E:E,$J$2)/data!$M$2</f>
        <v>231.69108280254778</v>
      </c>
      <c r="M548" s="1">
        <f>A548/data!$M$2</f>
        <v>0.87101910828025475</v>
      </c>
      <c r="N548">
        <f t="shared" si="57"/>
        <v>1.100603428131572</v>
      </c>
    </row>
    <row r="549" spans="1:14" x14ac:dyDescent="0.2">
      <c r="A549">
        <v>548</v>
      </c>
      <c r="B549">
        <f>LARGE(data!G:G,A549)</f>
        <v>0.15705201790000001</v>
      </c>
      <c r="C549">
        <f>COUNTIFS(data!E:E,data!$I$2,data!G:G,"&gt;="&amp;B549)</f>
        <v>256</v>
      </c>
      <c r="D549">
        <f>COUNTIFS(data!E:E,data!$J$2,data!G:G,"&gt;="&amp;B549)</f>
        <v>292</v>
      </c>
      <c r="E549">
        <f>COUNTIFS(data!E:E,data!$J$2,data!G:G,"&lt;"&amp;B549)</f>
        <v>70</v>
      </c>
      <c r="F549">
        <f>COUNTIFS(data!E:E,data!$I$2,data!G:G,"&lt;"&amp;B549)</f>
        <v>10</v>
      </c>
      <c r="G549">
        <f t="shared" si="52"/>
        <v>0.8066298342541437</v>
      </c>
      <c r="H549">
        <f t="shared" si="53"/>
        <v>0.96240601503759393</v>
      </c>
      <c r="I549">
        <f t="shared" si="54"/>
        <v>0</v>
      </c>
      <c r="J549">
        <f t="shared" si="55"/>
        <v>0.46715328467153283</v>
      </c>
      <c r="K549">
        <f t="shared" si="56"/>
        <v>0.62899262899262898</v>
      </c>
      <c r="L549">
        <f>A549*COUNTIF(data!E:E,$J$2)/data!$M$2</f>
        <v>232.11464968152868</v>
      </c>
      <c r="M549" s="1">
        <f>A549/data!$M$2</f>
        <v>0.87261146496815289</v>
      </c>
      <c r="N549">
        <f t="shared" si="57"/>
        <v>1.1029032435102353</v>
      </c>
    </row>
    <row r="550" spans="1:14" x14ac:dyDescent="0.2">
      <c r="A550">
        <v>549</v>
      </c>
      <c r="B550">
        <f>LARGE(data!G:G,A550)</f>
        <v>0.1566198795</v>
      </c>
      <c r="C550">
        <f>COUNTIFS(data!E:E,data!$I$2,data!G:G,"&gt;="&amp;B550)</f>
        <v>256</v>
      </c>
      <c r="D550">
        <f>COUNTIFS(data!E:E,data!$J$2,data!G:G,"&gt;="&amp;B550)</f>
        <v>293</v>
      </c>
      <c r="E550">
        <f>COUNTIFS(data!E:E,data!$J$2,data!G:G,"&lt;"&amp;B550)</f>
        <v>69</v>
      </c>
      <c r="F550">
        <f>COUNTIFS(data!E:E,data!$I$2,data!G:G,"&lt;"&amp;B550)</f>
        <v>10</v>
      </c>
      <c r="G550">
        <f t="shared" si="52"/>
        <v>0.80939226519337015</v>
      </c>
      <c r="H550">
        <f t="shared" si="53"/>
        <v>0.96240601503759393</v>
      </c>
      <c r="I550">
        <f t="shared" si="54"/>
        <v>2.6585801520374922E-3</v>
      </c>
      <c r="J550">
        <f t="shared" si="55"/>
        <v>0.4663023679417122</v>
      </c>
      <c r="K550">
        <f t="shared" si="56"/>
        <v>0.62822085889570545</v>
      </c>
      <c r="L550">
        <f>A550*COUNTIF(data!E:E,$J$2)/data!$M$2</f>
        <v>232.53821656050957</v>
      </c>
      <c r="M550" s="1">
        <f>A550/data!$M$2</f>
        <v>0.87420382165605093</v>
      </c>
      <c r="N550">
        <f t="shared" si="57"/>
        <v>1.1008943122834407</v>
      </c>
    </row>
    <row r="551" spans="1:14" x14ac:dyDescent="0.2">
      <c r="A551">
        <v>550</v>
      </c>
      <c r="B551">
        <f>LARGE(data!G:G,A551)</f>
        <v>0.1564293732</v>
      </c>
      <c r="C551">
        <f>COUNTIFS(data!E:E,data!$I$2,data!G:G,"&gt;="&amp;B551)</f>
        <v>256</v>
      </c>
      <c r="D551">
        <f>COUNTIFS(data!E:E,data!$J$2,data!G:G,"&gt;="&amp;B551)</f>
        <v>294</v>
      </c>
      <c r="E551">
        <f>COUNTIFS(data!E:E,data!$J$2,data!G:G,"&lt;"&amp;B551)</f>
        <v>68</v>
      </c>
      <c r="F551">
        <f>COUNTIFS(data!E:E,data!$I$2,data!G:G,"&lt;"&amp;B551)</f>
        <v>10</v>
      </c>
      <c r="G551">
        <f t="shared" si="52"/>
        <v>0.81215469613259672</v>
      </c>
      <c r="H551">
        <f t="shared" si="53"/>
        <v>0.96240601503759393</v>
      </c>
      <c r="I551">
        <f t="shared" si="54"/>
        <v>2.6585801520375989E-3</v>
      </c>
      <c r="J551">
        <f t="shared" si="55"/>
        <v>0.46545454545454545</v>
      </c>
      <c r="K551">
        <f t="shared" si="56"/>
        <v>0.62745098039215685</v>
      </c>
      <c r="L551">
        <f>A551*COUNTIF(data!E:E,$J$2)/data!$M$2</f>
        <v>232.96178343949043</v>
      </c>
      <c r="M551" s="1">
        <f>A551/data!$M$2</f>
        <v>0.87579617834394907</v>
      </c>
      <c r="N551">
        <f t="shared" si="57"/>
        <v>1.0988926862611075</v>
      </c>
    </row>
    <row r="552" spans="1:14" x14ac:dyDescent="0.2">
      <c r="A552">
        <v>551</v>
      </c>
      <c r="B552">
        <f>LARGE(data!G:G,A552)</f>
        <v>0.15574657889999999</v>
      </c>
      <c r="C552">
        <f>COUNTIFS(data!E:E,data!$I$2,data!G:G,"&gt;="&amp;B552)</f>
        <v>256</v>
      </c>
      <c r="D552">
        <f>COUNTIFS(data!E:E,data!$J$2,data!G:G,"&gt;="&amp;B552)</f>
        <v>295</v>
      </c>
      <c r="E552">
        <f>COUNTIFS(data!E:E,data!$J$2,data!G:G,"&lt;"&amp;B552)</f>
        <v>67</v>
      </c>
      <c r="F552">
        <f>COUNTIFS(data!E:E,data!$I$2,data!G:G,"&lt;"&amp;B552)</f>
        <v>10</v>
      </c>
      <c r="G552">
        <f t="shared" si="52"/>
        <v>0.81491712707182318</v>
      </c>
      <c r="H552">
        <f t="shared" si="53"/>
        <v>0.96240601503759393</v>
      </c>
      <c r="I552">
        <f t="shared" si="54"/>
        <v>2.6585801520374922E-3</v>
      </c>
      <c r="J552">
        <f t="shared" si="55"/>
        <v>0.46460980036297639</v>
      </c>
      <c r="K552">
        <f t="shared" si="56"/>
        <v>0.62668298653610766</v>
      </c>
      <c r="L552">
        <f>A552*COUNTIF(data!E:E,$J$2)/data!$M$2</f>
        <v>233.38535031847132</v>
      </c>
      <c r="M552" s="1">
        <f>A552/data!$M$2</f>
        <v>0.87738853503184711</v>
      </c>
      <c r="N552">
        <f t="shared" si="57"/>
        <v>1.0968983256689819</v>
      </c>
    </row>
    <row r="553" spans="1:14" x14ac:dyDescent="0.2">
      <c r="A553">
        <v>552</v>
      </c>
      <c r="B553">
        <f>LARGE(data!G:G,A553)</f>
        <v>0.1552677079</v>
      </c>
      <c r="C553">
        <f>COUNTIFS(data!E:E,data!$I$2,data!G:G,"&gt;="&amp;B553)</f>
        <v>256</v>
      </c>
      <c r="D553">
        <f>COUNTIFS(data!E:E,data!$J$2,data!G:G,"&gt;="&amp;B553)</f>
        <v>296</v>
      </c>
      <c r="E553">
        <f>COUNTIFS(data!E:E,data!$J$2,data!G:G,"&lt;"&amp;B553)</f>
        <v>66</v>
      </c>
      <c r="F553">
        <f>COUNTIFS(data!E:E,data!$I$2,data!G:G,"&lt;"&amp;B553)</f>
        <v>10</v>
      </c>
      <c r="G553">
        <f t="shared" si="52"/>
        <v>0.81767955801104975</v>
      </c>
      <c r="H553">
        <f t="shared" si="53"/>
        <v>0.96240601503759393</v>
      </c>
      <c r="I553">
        <f t="shared" si="54"/>
        <v>2.6585801520375989E-3</v>
      </c>
      <c r="J553">
        <f t="shared" si="55"/>
        <v>0.46376811594202899</v>
      </c>
      <c r="K553">
        <f t="shared" si="56"/>
        <v>0.62591687041564792</v>
      </c>
      <c r="L553">
        <f>A553*COUNTIF(data!E:E,$J$2)/data!$M$2</f>
        <v>233.80891719745222</v>
      </c>
      <c r="M553" s="1">
        <f>A553/data!$M$2</f>
        <v>0.87898089171974525</v>
      </c>
      <c r="N553">
        <f t="shared" si="57"/>
        <v>1.094911191021031</v>
      </c>
    </row>
    <row r="554" spans="1:14" x14ac:dyDescent="0.2">
      <c r="A554">
        <v>553</v>
      </c>
      <c r="B554">
        <f>LARGE(data!G:G,A554)</f>
        <v>0.1531017717</v>
      </c>
      <c r="C554">
        <f>COUNTIFS(data!E:E,data!$I$2,data!G:G,"&gt;="&amp;B554)</f>
        <v>256</v>
      </c>
      <c r="D554">
        <f>COUNTIFS(data!E:E,data!$J$2,data!G:G,"&gt;="&amp;B554)</f>
        <v>297</v>
      </c>
      <c r="E554">
        <f>COUNTIFS(data!E:E,data!$J$2,data!G:G,"&lt;"&amp;B554)</f>
        <v>65</v>
      </c>
      <c r="F554">
        <f>COUNTIFS(data!E:E,data!$I$2,data!G:G,"&lt;"&amp;B554)</f>
        <v>10</v>
      </c>
      <c r="G554">
        <f t="shared" si="52"/>
        <v>0.8204419889502762</v>
      </c>
      <c r="H554">
        <f t="shared" si="53"/>
        <v>0.96240601503759393</v>
      </c>
      <c r="I554">
        <f t="shared" si="54"/>
        <v>2.6585801520374922E-3</v>
      </c>
      <c r="J554">
        <f t="shared" si="55"/>
        <v>0.46292947558770342</v>
      </c>
      <c r="K554">
        <f t="shared" si="56"/>
        <v>0.62515262515262515</v>
      </c>
      <c r="L554">
        <f>A554*COUNTIF(data!E:E,$J$2)/data!$M$2</f>
        <v>234.23248407643311</v>
      </c>
      <c r="M554" s="1">
        <f>A554/data!$M$2</f>
        <v>0.88057324840764328</v>
      </c>
      <c r="N554">
        <f t="shared" si="57"/>
        <v>1.0929312431168337</v>
      </c>
    </row>
    <row r="555" spans="1:14" x14ac:dyDescent="0.2">
      <c r="A555">
        <v>554</v>
      </c>
      <c r="B555">
        <f>LARGE(data!G:G,A555)</f>
        <v>0.15239723690000001</v>
      </c>
      <c r="C555">
        <f>COUNTIFS(data!E:E,data!$I$2,data!G:G,"&gt;="&amp;B555)</f>
        <v>256</v>
      </c>
      <c r="D555">
        <f>COUNTIFS(data!E:E,data!$J$2,data!G:G,"&gt;="&amp;B555)</f>
        <v>298</v>
      </c>
      <c r="E555">
        <f>COUNTIFS(data!E:E,data!$J$2,data!G:G,"&lt;"&amp;B555)</f>
        <v>64</v>
      </c>
      <c r="F555">
        <f>COUNTIFS(data!E:E,data!$I$2,data!G:G,"&lt;"&amp;B555)</f>
        <v>10</v>
      </c>
      <c r="G555">
        <f t="shared" si="52"/>
        <v>0.82320441988950277</v>
      </c>
      <c r="H555">
        <f t="shared" si="53"/>
        <v>0.96240601503759393</v>
      </c>
      <c r="I555">
        <f t="shared" si="54"/>
        <v>2.6585801520375989E-3</v>
      </c>
      <c r="J555">
        <f t="shared" si="55"/>
        <v>0.46209386281588449</v>
      </c>
      <c r="K555">
        <f t="shared" si="56"/>
        <v>0.62439024390243902</v>
      </c>
      <c r="L555">
        <f>A555*COUNTIF(data!E:E,$J$2)/data!$M$2</f>
        <v>234.656050955414</v>
      </c>
      <c r="M555" s="1">
        <f>A555/data!$M$2</f>
        <v>0.88216560509554143</v>
      </c>
      <c r="N555">
        <f t="shared" si="57"/>
        <v>1.0909584430390056</v>
      </c>
    </row>
    <row r="556" spans="1:14" x14ac:dyDescent="0.2">
      <c r="A556">
        <v>555</v>
      </c>
      <c r="B556">
        <f>LARGE(data!G:G,A556)</f>
        <v>0.1519304829</v>
      </c>
      <c r="C556">
        <f>COUNTIFS(data!E:E,data!$I$2,data!G:G,"&gt;="&amp;B556)</f>
        <v>256</v>
      </c>
      <c r="D556">
        <f>COUNTIFS(data!E:E,data!$J$2,data!G:G,"&gt;="&amp;B556)</f>
        <v>299</v>
      </c>
      <c r="E556">
        <f>COUNTIFS(data!E:E,data!$J$2,data!G:G,"&lt;"&amp;B556)</f>
        <v>63</v>
      </c>
      <c r="F556">
        <f>COUNTIFS(data!E:E,data!$I$2,data!G:G,"&lt;"&amp;B556)</f>
        <v>10</v>
      </c>
      <c r="G556">
        <f t="shared" si="52"/>
        <v>0.82596685082872923</v>
      </c>
      <c r="H556">
        <f t="shared" si="53"/>
        <v>0.96240601503759393</v>
      </c>
      <c r="I556">
        <f t="shared" si="54"/>
        <v>2.6585801520374922E-3</v>
      </c>
      <c r="J556">
        <f t="shared" si="55"/>
        <v>0.46126126126126127</v>
      </c>
      <c r="K556">
        <f t="shared" si="56"/>
        <v>0.62362971985383686</v>
      </c>
      <c r="L556">
        <f>A556*COUNTIF(data!E:E,$J$2)/data!$M$2</f>
        <v>235.0796178343949</v>
      </c>
      <c r="M556" s="1">
        <f>A556/data!$M$2</f>
        <v>0.88375796178343946</v>
      </c>
      <c r="N556">
        <f t="shared" si="57"/>
        <v>1.0889927521506468</v>
      </c>
    </row>
    <row r="557" spans="1:14" x14ac:dyDescent="0.2">
      <c r="A557">
        <v>556</v>
      </c>
      <c r="B557">
        <f>LARGE(data!G:G,A557)</f>
        <v>0.15182182120000001</v>
      </c>
      <c r="C557">
        <f>COUNTIFS(data!E:E,data!$I$2,data!G:G,"&gt;="&amp;B557)</f>
        <v>257</v>
      </c>
      <c r="D557">
        <f>COUNTIFS(data!E:E,data!$J$2,data!G:G,"&gt;="&amp;B557)</f>
        <v>299</v>
      </c>
      <c r="E557">
        <f>COUNTIFS(data!E:E,data!$J$2,data!G:G,"&lt;"&amp;B557)</f>
        <v>63</v>
      </c>
      <c r="F557">
        <f>COUNTIFS(data!E:E,data!$I$2,data!G:G,"&lt;"&amp;B557)</f>
        <v>9</v>
      </c>
      <c r="G557">
        <f t="shared" si="52"/>
        <v>0.82596685082872923</v>
      </c>
      <c r="H557">
        <f t="shared" si="53"/>
        <v>0.96616541353383456</v>
      </c>
      <c r="I557">
        <f t="shared" si="54"/>
        <v>0</v>
      </c>
      <c r="J557">
        <f t="shared" si="55"/>
        <v>0.46223021582733814</v>
      </c>
      <c r="K557">
        <f t="shared" si="56"/>
        <v>0.62530413625304149</v>
      </c>
      <c r="L557">
        <f>A557*COUNTIF(data!E:E,$J$2)/data!$M$2</f>
        <v>235.50318471337579</v>
      </c>
      <c r="M557" s="1">
        <f>A557/data!$M$2</f>
        <v>0.88535031847133761</v>
      </c>
      <c r="N557">
        <f t="shared" si="57"/>
        <v>1.0912803591713096</v>
      </c>
    </row>
    <row r="558" spans="1:14" x14ac:dyDescent="0.2">
      <c r="A558">
        <v>557</v>
      </c>
      <c r="B558">
        <f>LARGE(data!G:G,A558)</f>
        <v>0.15156677490000001</v>
      </c>
      <c r="C558">
        <f>COUNTIFS(data!E:E,data!$I$2,data!G:G,"&gt;="&amp;B558)</f>
        <v>258</v>
      </c>
      <c r="D558">
        <f>COUNTIFS(data!E:E,data!$J$2,data!G:G,"&gt;="&amp;B558)</f>
        <v>299</v>
      </c>
      <c r="E558">
        <f>COUNTIFS(data!E:E,data!$J$2,data!G:G,"&lt;"&amp;B558)</f>
        <v>63</v>
      </c>
      <c r="F558">
        <f>COUNTIFS(data!E:E,data!$I$2,data!G:G,"&lt;"&amp;B558)</f>
        <v>8</v>
      </c>
      <c r="G558">
        <f t="shared" si="52"/>
        <v>0.82596685082872923</v>
      </c>
      <c r="H558">
        <f t="shared" si="53"/>
        <v>0.96992481203007519</v>
      </c>
      <c r="I558">
        <f t="shared" si="54"/>
        <v>0</v>
      </c>
      <c r="J558">
        <f t="shared" si="55"/>
        <v>0.46319569120287252</v>
      </c>
      <c r="K558">
        <f t="shared" si="56"/>
        <v>0.6269744835965978</v>
      </c>
      <c r="L558">
        <f>A558*COUNTIF(data!E:E,$J$2)/data!$M$2</f>
        <v>235.92675159235668</v>
      </c>
      <c r="M558" s="1">
        <f>A558/data!$M$2</f>
        <v>0.88694267515923564</v>
      </c>
      <c r="N558">
        <f t="shared" si="57"/>
        <v>1.0935597521631728</v>
      </c>
    </row>
    <row r="559" spans="1:14" x14ac:dyDescent="0.2">
      <c r="A559">
        <v>558</v>
      </c>
      <c r="B559">
        <f>LARGE(data!G:G,A559)</f>
        <v>0.14945339569999999</v>
      </c>
      <c r="C559">
        <f>COUNTIFS(data!E:E,data!$I$2,data!G:G,"&gt;="&amp;B559)</f>
        <v>258</v>
      </c>
      <c r="D559">
        <f>COUNTIFS(data!E:E,data!$J$2,data!G:G,"&gt;="&amp;B559)</f>
        <v>300</v>
      </c>
      <c r="E559">
        <f>COUNTIFS(data!E:E,data!$J$2,data!G:G,"&lt;"&amp;B559)</f>
        <v>62</v>
      </c>
      <c r="F559">
        <f>COUNTIFS(data!E:E,data!$I$2,data!G:G,"&lt;"&amp;B559)</f>
        <v>8</v>
      </c>
      <c r="G559">
        <f t="shared" si="52"/>
        <v>0.82872928176795579</v>
      </c>
      <c r="H559">
        <f t="shared" si="53"/>
        <v>0.96992481203007519</v>
      </c>
      <c r="I559">
        <f t="shared" si="54"/>
        <v>2.6793503094753928E-3</v>
      </c>
      <c r="J559">
        <f t="shared" si="55"/>
        <v>0.46236559139784944</v>
      </c>
      <c r="K559">
        <f t="shared" si="56"/>
        <v>0.62621359223300965</v>
      </c>
      <c r="L559">
        <f>A559*COUNTIF(data!E:E,$J$2)/data!$M$2</f>
        <v>236.35031847133757</v>
      </c>
      <c r="M559" s="1">
        <f>A559/data!$M$2</f>
        <v>0.88853503184713378</v>
      </c>
      <c r="N559">
        <f t="shared" si="57"/>
        <v>1.0915999676610881</v>
      </c>
    </row>
    <row r="560" spans="1:14" x14ac:dyDescent="0.2">
      <c r="A560">
        <v>559</v>
      </c>
      <c r="B560">
        <f>LARGE(data!G:G,A560)</f>
        <v>0.14801029709999999</v>
      </c>
      <c r="C560">
        <f>COUNTIFS(data!E:E,data!$I$2,data!G:G,"&gt;="&amp;B560)</f>
        <v>258</v>
      </c>
      <c r="D560">
        <f>COUNTIFS(data!E:E,data!$J$2,data!G:G,"&gt;="&amp;B560)</f>
        <v>301</v>
      </c>
      <c r="E560">
        <f>COUNTIFS(data!E:E,data!$J$2,data!G:G,"&lt;"&amp;B560)</f>
        <v>61</v>
      </c>
      <c r="F560">
        <f>COUNTIFS(data!E:E,data!$I$2,data!G:G,"&lt;"&amp;B560)</f>
        <v>8</v>
      </c>
      <c r="G560">
        <f t="shared" si="52"/>
        <v>0.83149171270718236</v>
      </c>
      <c r="H560">
        <f t="shared" si="53"/>
        <v>0.96992481203007519</v>
      </c>
      <c r="I560">
        <f t="shared" si="54"/>
        <v>2.6793503094753928E-3</v>
      </c>
      <c r="J560">
        <f t="shared" si="55"/>
        <v>0.46153846153846156</v>
      </c>
      <c r="K560">
        <f t="shared" si="56"/>
        <v>0.62545454545454549</v>
      </c>
      <c r="L560">
        <f>A560*COUNTIF(data!E:E,$J$2)/data!$M$2</f>
        <v>236.77388535031847</v>
      </c>
      <c r="M560" s="1">
        <f>A560/data!$M$2</f>
        <v>0.89012738853503182</v>
      </c>
      <c r="N560">
        <f t="shared" si="57"/>
        <v>1.0896471949103528</v>
      </c>
    </row>
    <row r="561" spans="1:14" x14ac:dyDescent="0.2">
      <c r="A561">
        <v>560</v>
      </c>
      <c r="B561">
        <f>LARGE(data!G:G,A561)</f>
        <v>0.1467279608</v>
      </c>
      <c r="C561">
        <f>COUNTIFS(data!E:E,data!$I$2,data!G:G,"&gt;="&amp;B561)</f>
        <v>258</v>
      </c>
      <c r="D561">
        <f>COUNTIFS(data!E:E,data!$J$2,data!G:G,"&gt;="&amp;B561)</f>
        <v>302</v>
      </c>
      <c r="E561">
        <f>COUNTIFS(data!E:E,data!$J$2,data!G:G,"&lt;"&amp;B561)</f>
        <v>60</v>
      </c>
      <c r="F561">
        <f>COUNTIFS(data!E:E,data!$I$2,data!G:G,"&lt;"&amp;B561)</f>
        <v>8</v>
      </c>
      <c r="G561">
        <f t="shared" si="52"/>
        <v>0.83425414364640882</v>
      </c>
      <c r="H561">
        <f t="shared" si="53"/>
        <v>0.96992481203007519</v>
      </c>
      <c r="I561">
        <f t="shared" si="54"/>
        <v>2.6793503094752853E-3</v>
      </c>
      <c r="J561">
        <f t="shared" si="55"/>
        <v>0.46071428571428569</v>
      </c>
      <c r="K561">
        <f t="shared" si="56"/>
        <v>0.62469733656174342</v>
      </c>
      <c r="L561">
        <f>A561*COUNTIF(data!E:E,$J$2)/data!$M$2</f>
        <v>237.19745222929936</v>
      </c>
      <c r="M561" s="1">
        <f>A561/data!$M$2</f>
        <v>0.89171974522292996</v>
      </c>
      <c r="N561">
        <f t="shared" si="57"/>
        <v>1.0877013963480129</v>
      </c>
    </row>
    <row r="562" spans="1:14" x14ac:dyDescent="0.2">
      <c r="A562">
        <v>561</v>
      </c>
      <c r="B562">
        <f>LARGE(data!G:G,A562)</f>
        <v>0.14623561390000001</v>
      </c>
      <c r="C562">
        <f>COUNTIFS(data!E:E,data!$I$2,data!G:G,"&gt;="&amp;B562)</f>
        <v>259</v>
      </c>
      <c r="D562">
        <f>COUNTIFS(data!E:E,data!$J$2,data!G:G,"&gt;="&amp;B562)</f>
        <v>302</v>
      </c>
      <c r="E562">
        <f>COUNTIFS(data!E:E,data!$J$2,data!G:G,"&lt;"&amp;B562)</f>
        <v>60</v>
      </c>
      <c r="F562">
        <f>COUNTIFS(data!E:E,data!$I$2,data!G:G,"&lt;"&amp;B562)</f>
        <v>7</v>
      </c>
      <c r="G562">
        <f t="shared" si="52"/>
        <v>0.83425414364640882</v>
      </c>
      <c r="H562">
        <f t="shared" si="53"/>
        <v>0.97368421052631582</v>
      </c>
      <c r="I562">
        <f t="shared" si="54"/>
        <v>0</v>
      </c>
      <c r="J562">
        <f t="shared" si="55"/>
        <v>0.46167557932263814</v>
      </c>
      <c r="K562">
        <f t="shared" si="56"/>
        <v>0.62636033857315598</v>
      </c>
      <c r="L562">
        <f>A562*COUNTIF(data!E:E,$J$2)/data!$M$2</f>
        <v>237.62101910828025</v>
      </c>
      <c r="M562" s="1">
        <f>A562/data!$M$2</f>
        <v>0.89331210191082799</v>
      </c>
      <c r="N562">
        <f t="shared" si="57"/>
        <v>1.0899709165963036</v>
      </c>
    </row>
    <row r="563" spans="1:14" x14ac:dyDescent="0.2">
      <c r="A563">
        <v>562</v>
      </c>
      <c r="B563">
        <f>LARGE(data!G:G,A563)</f>
        <v>0.14574040129999999</v>
      </c>
      <c r="C563">
        <f>COUNTIFS(data!E:E,data!$I$2,data!G:G,"&gt;="&amp;B563)</f>
        <v>260</v>
      </c>
      <c r="D563">
        <f>COUNTIFS(data!E:E,data!$J$2,data!G:G,"&gt;="&amp;B563)</f>
        <v>302</v>
      </c>
      <c r="E563">
        <f>COUNTIFS(data!E:E,data!$J$2,data!G:G,"&lt;"&amp;B563)</f>
        <v>60</v>
      </c>
      <c r="F563">
        <f>COUNTIFS(data!E:E,data!$I$2,data!G:G,"&lt;"&amp;B563)</f>
        <v>6</v>
      </c>
      <c r="G563">
        <f t="shared" si="52"/>
        <v>0.83425414364640882</v>
      </c>
      <c r="H563">
        <f t="shared" si="53"/>
        <v>0.97744360902255634</v>
      </c>
      <c r="I563">
        <f t="shared" si="54"/>
        <v>0</v>
      </c>
      <c r="J563">
        <f t="shared" si="55"/>
        <v>0.46263345195729538</v>
      </c>
      <c r="K563">
        <f t="shared" si="56"/>
        <v>0.6280193236714976</v>
      </c>
      <c r="L563">
        <f>A563*COUNTIF(data!E:E,$J$2)/data!$M$2</f>
        <v>238.04458598726114</v>
      </c>
      <c r="M563" s="1">
        <f>A563/data!$M$2</f>
        <v>0.89490445859872614</v>
      </c>
      <c r="N563">
        <f t="shared" si="57"/>
        <v>1.0922323602600807</v>
      </c>
    </row>
    <row r="564" spans="1:14" x14ac:dyDescent="0.2">
      <c r="A564">
        <v>563</v>
      </c>
      <c r="B564">
        <f>LARGE(data!G:G,A564)</f>
        <v>0.142183273</v>
      </c>
      <c r="C564">
        <f>COUNTIFS(data!E:E,data!$I$2,data!G:G,"&gt;="&amp;B564)</f>
        <v>260</v>
      </c>
      <c r="D564">
        <f>COUNTIFS(data!E:E,data!$J$2,data!G:G,"&gt;="&amp;B564)</f>
        <v>303</v>
      </c>
      <c r="E564">
        <f>COUNTIFS(data!E:E,data!$J$2,data!G:G,"&lt;"&amp;B564)</f>
        <v>59</v>
      </c>
      <c r="F564">
        <f>COUNTIFS(data!E:E,data!$I$2,data!G:G,"&lt;"&amp;B564)</f>
        <v>6</v>
      </c>
      <c r="G564">
        <f t="shared" si="52"/>
        <v>0.83701657458563539</v>
      </c>
      <c r="H564">
        <f t="shared" si="53"/>
        <v>0.97744360902255634</v>
      </c>
      <c r="I564">
        <f t="shared" si="54"/>
        <v>2.7001204669131864E-3</v>
      </c>
      <c r="J564">
        <f t="shared" si="55"/>
        <v>0.46181172291296624</v>
      </c>
      <c r="K564">
        <f t="shared" si="56"/>
        <v>0.62726176115802168</v>
      </c>
      <c r="L564">
        <f>A564*COUNTIF(data!E:E,$J$2)/data!$M$2</f>
        <v>238.46815286624204</v>
      </c>
      <c r="M564" s="1">
        <f>A564/data!$M$2</f>
        <v>0.89649681528662417</v>
      </c>
      <c r="N564">
        <f t="shared" si="57"/>
        <v>1.0902923383058001</v>
      </c>
    </row>
    <row r="565" spans="1:14" x14ac:dyDescent="0.2">
      <c r="A565">
        <v>564</v>
      </c>
      <c r="B565">
        <f>LARGE(data!G:G,A565)</f>
        <v>0.14144718049999999</v>
      </c>
      <c r="C565">
        <f>COUNTIFS(data!E:E,data!$I$2,data!G:G,"&gt;="&amp;B565)</f>
        <v>260</v>
      </c>
      <c r="D565">
        <f>COUNTIFS(data!E:E,data!$J$2,data!G:G,"&gt;="&amp;B565)</f>
        <v>304</v>
      </c>
      <c r="E565">
        <f>COUNTIFS(data!E:E,data!$J$2,data!G:G,"&lt;"&amp;B565)</f>
        <v>58</v>
      </c>
      <c r="F565">
        <f>COUNTIFS(data!E:E,data!$I$2,data!G:G,"&lt;"&amp;B565)</f>
        <v>6</v>
      </c>
      <c r="G565">
        <f t="shared" si="52"/>
        <v>0.83977900552486184</v>
      </c>
      <c r="H565">
        <f t="shared" si="53"/>
        <v>0.97744360902255634</v>
      </c>
      <c r="I565">
        <f t="shared" si="54"/>
        <v>2.7001204669130779E-3</v>
      </c>
      <c r="J565">
        <f t="shared" si="55"/>
        <v>0.46099290780141844</v>
      </c>
      <c r="K565">
        <f t="shared" si="56"/>
        <v>0.62650602409638545</v>
      </c>
      <c r="L565">
        <f>A565*COUNTIF(data!E:E,$J$2)/data!$M$2</f>
        <v>238.89171974522293</v>
      </c>
      <c r="M565" s="1">
        <f>A565/data!$M$2</f>
        <v>0.89808917197452232</v>
      </c>
      <c r="N565">
        <f t="shared" si="57"/>
        <v>1.0883591958619954</v>
      </c>
    </row>
    <row r="566" spans="1:14" x14ac:dyDescent="0.2">
      <c r="A566">
        <v>565</v>
      </c>
      <c r="B566">
        <f>LARGE(data!G:G,A566)</f>
        <v>0.1400920574</v>
      </c>
      <c r="C566">
        <f>COUNTIFS(data!E:E,data!$I$2,data!G:G,"&gt;="&amp;B566)</f>
        <v>260</v>
      </c>
      <c r="D566">
        <f>COUNTIFS(data!E:E,data!$J$2,data!G:G,"&gt;="&amp;B566)</f>
        <v>305</v>
      </c>
      <c r="E566">
        <f>COUNTIFS(data!E:E,data!$J$2,data!G:G,"&lt;"&amp;B566)</f>
        <v>57</v>
      </c>
      <c r="F566">
        <f>COUNTIFS(data!E:E,data!$I$2,data!G:G,"&lt;"&amp;B566)</f>
        <v>6</v>
      </c>
      <c r="G566">
        <f t="shared" si="52"/>
        <v>0.84254143646408841</v>
      </c>
      <c r="H566">
        <f t="shared" si="53"/>
        <v>0.97744360902255634</v>
      </c>
      <c r="I566">
        <f t="shared" si="54"/>
        <v>2.7001204669131864E-3</v>
      </c>
      <c r="J566">
        <f t="shared" si="55"/>
        <v>0.46017699115044247</v>
      </c>
      <c r="K566">
        <f t="shared" si="56"/>
        <v>0.6257521058965102</v>
      </c>
      <c r="L566">
        <f>A566*COUNTIF(data!E:E,$J$2)/data!$M$2</f>
        <v>239.31528662420382</v>
      </c>
      <c r="M566" s="1">
        <f>A566/data!$M$2</f>
        <v>0.89968152866242035</v>
      </c>
      <c r="N566">
        <f t="shared" si="57"/>
        <v>1.0864328964002927</v>
      </c>
    </row>
    <row r="567" spans="1:14" x14ac:dyDescent="0.2">
      <c r="A567">
        <v>566</v>
      </c>
      <c r="B567">
        <f>LARGE(data!G:G,A567)</f>
        <v>0.1397833218</v>
      </c>
      <c r="C567">
        <f>COUNTIFS(data!E:E,data!$I$2,data!G:G,"&gt;="&amp;B567)</f>
        <v>260</v>
      </c>
      <c r="D567">
        <f>COUNTIFS(data!E:E,data!$J$2,data!G:G,"&gt;="&amp;B567)</f>
        <v>306</v>
      </c>
      <c r="E567">
        <f>COUNTIFS(data!E:E,data!$J$2,data!G:G,"&lt;"&amp;B567)</f>
        <v>56</v>
      </c>
      <c r="F567">
        <f>COUNTIFS(data!E:E,data!$I$2,data!G:G,"&lt;"&amp;B567)</f>
        <v>6</v>
      </c>
      <c r="G567">
        <f t="shared" si="52"/>
        <v>0.84530386740331487</v>
      </c>
      <c r="H567">
        <f t="shared" si="53"/>
        <v>0.97744360902255634</v>
      </c>
      <c r="I567">
        <f t="shared" si="54"/>
        <v>2.7001204669130779E-3</v>
      </c>
      <c r="J567">
        <f t="shared" si="55"/>
        <v>0.45936395759717313</v>
      </c>
      <c r="K567">
        <f t="shared" si="56"/>
        <v>0.62499999999999989</v>
      </c>
      <c r="L567">
        <f>A567*COUNTIF(data!E:E,$J$2)/data!$M$2</f>
        <v>239.73885350318471</v>
      </c>
      <c r="M567" s="1">
        <f>A567/data!$M$2</f>
        <v>0.90127388535031849</v>
      </c>
      <c r="N567">
        <f t="shared" si="57"/>
        <v>1.0845134036504689</v>
      </c>
    </row>
    <row r="568" spans="1:14" x14ac:dyDescent="0.2">
      <c r="A568">
        <v>567</v>
      </c>
      <c r="B568">
        <f>LARGE(data!G:G,A568)</f>
        <v>0.1393644963</v>
      </c>
      <c r="C568">
        <f>COUNTIFS(data!E:E,data!$I$2,data!G:G,"&gt;="&amp;B568)</f>
        <v>260</v>
      </c>
      <c r="D568">
        <f>COUNTIFS(data!E:E,data!$J$2,data!G:G,"&gt;="&amp;B568)</f>
        <v>307</v>
      </c>
      <c r="E568">
        <f>COUNTIFS(data!E:E,data!$J$2,data!G:G,"&lt;"&amp;B568)</f>
        <v>55</v>
      </c>
      <c r="F568">
        <f>COUNTIFS(data!E:E,data!$I$2,data!G:G,"&lt;"&amp;B568)</f>
        <v>6</v>
      </c>
      <c r="G568">
        <f t="shared" si="52"/>
        <v>0.84806629834254144</v>
      </c>
      <c r="H568">
        <f t="shared" si="53"/>
        <v>0.97744360902255634</v>
      </c>
      <c r="I568">
        <f t="shared" si="54"/>
        <v>2.7001204669131864E-3</v>
      </c>
      <c r="J568">
        <f t="shared" si="55"/>
        <v>0.4585537918871252</v>
      </c>
      <c r="K568">
        <f t="shared" si="56"/>
        <v>0.62424969987995194</v>
      </c>
      <c r="L568">
        <f>A568*COUNTIF(data!E:E,$J$2)/data!$M$2</f>
        <v>240.16242038216561</v>
      </c>
      <c r="M568" s="1">
        <f>A568/data!$M$2</f>
        <v>0.90286624203821653</v>
      </c>
      <c r="N568">
        <f t="shared" si="57"/>
        <v>1.0826006815981752</v>
      </c>
    </row>
    <row r="569" spans="1:14" x14ac:dyDescent="0.2">
      <c r="A569">
        <v>568</v>
      </c>
      <c r="B569">
        <f>LARGE(data!G:G,A569)</f>
        <v>0.13749060960000001</v>
      </c>
      <c r="C569">
        <f>COUNTIFS(data!E:E,data!$I$2,data!G:G,"&gt;="&amp;B569)</f>
        <v>260</v>
      </c>
      <c r="D569">
        <f>COUNTIFS(data!E:E,data!$J$2,data!G:G,"&gt;="&amp;B569)</f>
        <v>308</v>
      </c>
      <c r="E569">
        <f>COUNTIFS(data!E:E,data!$J$2,data!G:G,"&lt;"&amp;B569)</f>
        <v>54</v>
      </c>
      <c r="F569">
        <f>COUNTIFS(data!E:E,data!$I$2,data!G:G,"&lt;"&amp;B569)</f>
        <v>6</v>
      </c>
      <c r="G569">
        <f t="shared" si="52"/>
        <v>0.850828729281768</v>
      </c>
      <c r="H569">
        <f t="shared" si="53"/>
        <v>0.97744360902255634</v>
      </c>
      <c r="I569">
        <f t="shared" si="54"/>
        <v>2.7001204669131864E-3</v>
      </c>
      <c r="J569">
        <f t="shared" si="55"/>
        <v>0.45774647887323944</v>
      </c>
      <c r="K569">
        <f t="shared" si="56"/>
        <v>0.6235011990407674</v>
      </c>
      <c r="L569">
        <f>A569*COUNTIF(data!E:E,$J$2)/data!$M$2</f>
        <v>240.5859872611465</v>
      </c>
      <c r="M569" s="1">
        <f>A569/data!$M$2</f>
        <v>0.90445859872611467</v>
      </c>
      <c r="N569">
        <f t="shared" si="57"/>
        <v>1.0806946944826856</v>
      </c>
    </row>
    <row r="570" spans="1:14" x14ac:dyDescent="0.2">
      <c r="A570">
        <v>569</v>
      </c>
      <c r="B570">
        <f>LARGE(data!G:G,A570)</f>
        <v>0.1366260353</v>
      </c>
      <c r="C570">
        <f>COUNTIFS(data!E:E,data!$I$2,data!G:G,"&gt;="&amp;B570)</f>
        <v>260</v>
      </c>
      <c r="D570">
        <f>COUNTIFS(data!E:E,data!$J$2,data!G:G,"&gt;="&amp;B570)</f>
        <v>309</v>
      </c>
      <c r="E570">
        <f>COUNTIFS(data!E:E,data!$J$2,data!G:G,"&lt;"&amp;B570)</f>
        <v>53</v>
      </c>
      <c r="F570">
        <f>COUNTIFS(data!E:E,data!$I$2,data!G:G,"&lt;"&amp;B570)</f>
        <v>6</v>
      </c>
      <c r="G570">
        <f t="shared" si="52"/>
        <v>0.85359116022099446</v>
      </c>
      <c r="H570">
        <f t="shared" si="53"/>
        <v>0.97744360902255634</v>
      </c>
      <c r="I570">
        <f t="shared" si="54"/>
        <v>2.7001204669130779E-3</v>
      </c>
      <c r="J570">
        <f t="shared" si="55"/>
        <v>0.45694200351493847</v>
      </c>
      <c r="K570">
        <f t="shared" si="56"/>
        <v>0.6227544910179641</v>
      </c>
      <c r="L570">
        <f>A570*COUNTIF(data!E:E,$J$2)/data!$M$2</f>
        <v>241.00955414012739</v>
      </c>
      <c r="M570" s="1">
        <f>A570/data!$M$2</f>
        <v>0.9060509554140127</v>
      </c>
      <c r="N570">
        <f t="shared" si="57"/>
        <v>1.0787954067946668</v>
      </c>
    </row>
    <row r="571" spans="1:14" x14ac:dyDescent="0.2">
      <c r="A571">
        <v>570</v>
      </c>
      <c r="B571">
        <f>LARGE(data!G:G,A571)</f>
        <v>0.13457727289999999</v>
      </c>
      <c r="C571">
        <f>COUNTIFS(data!E:E,data!$I$2,data!G:G,"&gt;="&amp;B571)</f>
        <v>261</v>
      </c>
      <c r="D571">
        <f>COUNTIFS(data!E:E,data!$J$2,data!G:G,"&gt;="&amp;B571)</f>
        <v>309</v>
      </c>
      <c r="E571">
        <f>COUNTIFS(data!E:E,data!$J$2,data!G:G,"&lt;"&amp;B571)</f>
        <v>53</v>
      </c>
      <c r="F571">
        <f>COUNTIFS(data!E:E,data!$I$2,data!G:G,"&lt;"&amp;B571)</f>
        <v>5</v>
      </c>
      <c r="G571">
        <f t="shared" si="52"/>
        <v>0.85359116022099446</v>
      </c>
      <c r="H571">
        <f t="shared" si="53"/>
        <v>0.98120300751879697</v>
      </c>
      <c r="I571">
        <f t="shared" si="54"/>
        <v>0</v>
      </c>
      <c r="J571">
        <f t="shared" si="55"/>
        <v>0.45789473684210524</v>
      </c>
      <c r="K571">
        <f t="shared" si="56"/>
        <v>0.62440191387559807</v>
      </c>
      <c r="L571">
        <f>A571*COUNTIF(data!E:E,$J$2)/data!$M$2</f>
        <v>241.43312101910828</v>
      </c>
      <c r="M571" s="1">
        <f>A571/data!$M$2</f>
        <v>0.90764331210191085</v>
      </c>
      <c r="N571">
        <f t="shared" si="57"/>
        <v>1.0810447170557973</v>
      </c>
    </row>
    <row r="572" spans="1:14" x14ac:dyDescent="0.2">
      <c r="A572">
        <v>571</v>
      </c>
      <c r="B572">
        <f>LARGE(data!G:G,A572)</f>
        <v>0.13144298030000001</v>
      </c>
      <c r="C572">
        <f>COUNTIFS(data!E:E,data!$I$2,data!G:G,"&gt;="&amp;B572)</f>
        <v>262</v>
      </c>
      <c r="D572">
        <f>COUNTIFS(data!E:E,data!$J$2,data!G:G,"&gt;="&amp;B572)</f>
        <v>309</v>
      </c>
      <c r="E572">
        <f>COUNTIFS(data!E:E,data!$J$2,data!G:G,"&lt;"&amp;B572)</f>
        <v>53</v>
      </c>
      <c r="F572">
        <f>COUNTIFS(data!E:E,data!$I$2,data!G:G,"&lt;"&amp;B572)</f>
        <v>4</v>
      </c>
      <c r="G572">
        <f t="shared" ref="G572:G629" si="58">D572/(E572+D572)</f>
        <v>0.85359116022099446</v>
      </c>
      <c r="H572">
        <f t="shared" ref="H572:H629" si="59">C572/(C572+F572)</f>
        <v>0.98496240601503759</v>
      </c>
      <c r="I572">
        <f t="shared" ref="I572:I629" si="60">(G572-G571)*(H572+H571)*0.5</f>
        <v>0</v>
      </c>
      <c r="J572">
        <f t="shared" ref="J572:J629" si="61">C572/(C572+D572)</f>
        <v>0.45884413309982486</v>
      </c>
      <c r="K572">
        <f t="shared" ref="K572:K629" si="62">2*J572*H572/(J572+H572)</f>
        <v>0.62604540023894861</v>
      </c>
      <c r="L572">
        <f>A572*COUNTIF(data!E:E,$J$2)/data!$M$2</f>
        <v>241.85668789808918</v>
      </c>
      <c r="M572" s="1">
        <f>A572/data!$M$2</f>
        <v>0.90923566878980888</v>
      </c>
      <c r="N572">
        <f t="shared" ref="N572:N629" si="63">C572/L572</f>
        <v>1.0832861488221428</v>
      </c>
    </row>
    <row r="573" spans="1:14" x14ac:dyDescent="0.2">
      <c r="A573">
        <v>572</v>
      </c>
      <c r="B573">
        <f>LARGE(data!G:G,A573)</f>
        <v>0.13062740719999999</v>
      </c>
      <c r="C573">
        <f>COUNTIFS(data!E:E,data!$I$2,data!G:G,"&gt;="&amp;B573)</f>
        <v>262</v>
      </c>
      <c r="D573">
        <f>COUNTIFS(data!E:E,data!$J$2,data!G:G,"&gt;="&amp;B573)</f>
        <v>310</v>
      </c>
      <c r="E573">
        <f>COUNTIFS(data!E:E,data!$J$2,data!G:G,"&lt;"&amp;B573)</f>
        <v>52</v>
      </c>
      <c r="F573">
        <f>COUNTIFS(data!E:E,data!$I$2,data!G:G,"&lt;"&amp;B573)</f>
        <v>4</v>
      </c>
      <c r="G573">
        <f t="shared" si="58"/>
        <v>0.85635359116022103</v>
      </c>
      <c r="H573">
        <f t="shared" si="59"/>
        <v>0.98496240601503759</v>
      </c>
      <c r="I573">
        <f t="shared" si="60"/>
        <v>2.7208906243509803E-3</v>
      </c>
      <c r="J573">
        <f t="shared" si="61"/>
        <v>0.45804195804195802</v>
      </c>
      <c r="K573">
        <f t="shared" si="62"/>
        <v>0.62529832935560858</v>
      </c>
      <c r="L573">
        <f>A573*COUNTIF(data!E:E,$J$2)/data!$M$2</f>
        <v>242.28025477707007</v>
      </c>
      <c r="M573" s="1">
        <f>A573/data!$M$2</f>
        <v>0.91082802547770703</v>
      </c>
      <c r="N573">
        <f t="shared" si="63"/>
        <v>1.0813922919186076</v>
      </c>
    </row>
    <row r="574" spans="1:14" x14ac:dyDescent="0.2">
      <c r="A574">
        <v>573</v>
      </c>
      <c r="B574">
        <f>LARGE(data!G:G,A574)</f>
        <v>0.13057294929999999</v>
      </c>
      <c r="C574">
        <f>COUNTIFS(data!E:E,data!$I$2,data!G:G,"&gt;="&amp;B574)</f>
        <v>262</v>
      </c>
      <c r="D574">
        <f>COUNTIFS(data!E:E,data!$J$2,data!G:G,"&gt;="&amp;B574)</f>
        <v>311</v>
      </c>
      <c r="E574">
        <f>COUNTIFS(data!E:E,data!$J$2,data!G:G,"&lt;"&amp;B574)</f>
        <v>51</v>
      </c>
      <c r="F574">
        <f>COUNTIFS(data!E:E,data!$I$2,data!G:G,"&lt;"&amp;B574)</f>
        <v>4</v>
      </c>
      <c r="G574">
        <f t="shared" si="58"/>
        <v>0.85911602209944748</v>
      </c>
      <c r="H574">
        <f t="shared" si="59"/>
        <v>0.98496240601503759</v>
      </c>
      <c r="I574">
        <f t="shared" si="60"/>
        <v>2.720890624350871E-3</v>
      </c>
      <c r="J574">
        <f t="shared" si="61"/>
        <v>0.45724258289703318</v>
      </c>
      <c r="K574">
        <f t="shared" si="62"/>
        <v>0.62455303933253881</v>
      </c>
      <c r="L574">
        <f>A574*COUNTIF(data!E:E,$J$2)/data!$M$2</f>
        <v>242.70382165605096</v>
      </c>
      <c r="M574" s="1">
        <f>A574/data!$M$2</f>
        <v>0.91242038216560506</v>
      </c>
      <c r="N574">
        <f t="shared" si="63"/>
        <v>1.0795050453358528</v>
      </c>
    </row>
    <row r="575" spans="1:14" x14ac:dyDescent="0.2">
      <c r="A575">
        <v>574</v>
      </c>
      <c r="B575">
        <f>LARGE(data!G:G,A575)</f>
        <v>0.12877593230000001</v>
      </c>
      <c r="C575">
        <f>COUNTIFS(data!E:E,data!$I$2,data!G:G,"&gt;="&amp;B575)</f>
        <v>262</v>
      </c>
      <c r="D575">
        <f>COUNTIFS(data!E:E,data!$J$2,data!G:G,"&gt;="&amp;B575)</f>
        <v>312</v>
      </c>
      <c r="E575">
        <f>COUNTIFS(data!E:E,data!$J$2,data!G:G,"&lt;"&amp;B575)</f>
        <v>50</v>
      </c>
      <c r="F575">
        <f>COUNTIFS(data!E:E,data!$I$2,data!G:G,"&lt;"&amp;B575)</f>
        <v>4</v>
      </c>
      <c r="G575">
        <f t="shared" si="58"/>
        <v>0.86187845303867405</v>
      </c>
      <c r="H575">
        <f t="shared" si="59"/>
        <v>0.98496240601503759</v>
      </c>
      <c r="I575">
        <f t="shared" si="60"/>
        <v>2.7208906243509803E-3</v>
      </c>
      <c r="J575">
        <f t="shared" si="61"/>
        <v>0.45644599303135891</v>
      </c>
      <c r="K575">
        <f t="shared" si="62"/>
        <v>0.62380952380952392</v>
      </c>
      <c r="L575">
        <f>A575*COUNTIF(data!E:E,$J$2)/data!$M$2</f>
        <v>243.12738853503186</v>
      </c>
      <c r="M575" s="1">
        <f>A575/data!$M$2</f>
        <v>0.9140127388535032</v>
      </c>
      <c r="N575">
        <f t="shared" si="63"/>
        <v>1.077624374525163</v>
      </c>
    </row>
    <row r="576" spans="1:14" x14ac:dyDescent="0.2">
      <c r="A576">
        <v>575</v>
      </c>
      <c r="B576">
        <f>LARGE(data!G:G,A576)</f>
        <v>0.1280602965</v>
      </c>
      <c r="C576">
        <f>COUNTIFS(data!E:E,data!$I$2,data!G:G,"&gt;="&amp;B576)</f>
        <v>262</v>
      </c>
      <c r="D576">
        <f>COUNTIFS(data!E:E,data!$J$2,data!G:G,"&gt;="&amp;B576)</f>
        <v>313</v>
      </c>
      <c r="E576">
        <f>COUNTIFS(data!E:E,data!$J$2,data!G:G,"&lt;"&amp;B576)</f>
        <v>49</v>
      </c>
      <c r="F576">
        <f>COUNTIFS(data!E:E,data!$I$2,data!G:G,"&lt;"&amp;B576)</f>
        <v>4</v>
      </c>
      <c r="G576">
        <f t="shared" si="58"/>
        <v>0.86464088397790051</v>
      </c>
      <c r="H576">
        <f t="shared" si="59"/>
        <v>0.98496240601503759</v>
      </c>
      <c r="I576">
        <f t="shared" si="60"/>
        <v>2.720890624350871E-3</v>
      </c>
      <c r="J576">
        <f t="shared" si="61"/>
        <v>0.45565217391304347</v>
      </c>
      <c r="K576">
        <f t="shared" si="62"/>
        <v>0.62306777645659928</v>
      </c>
      <c r="L576">
        <f>A576*COUNTIF(data!E:E,$J$2)/data!$M$2</f>
        <v>243.55095541401275</v>
      </c>
      <c r="M576" s="1">
        <f>A576/data!$M$2</f>
        <v>0.91560509554140124</v>
      </c>
      <c r="N576">
        <f t="shared" si="63"/>
        <v>1.0757502451781629</v>
      </c>
    </row>
    <row r="577" spans="1:14" x14ac:dyDescent="0.2">
      <c r="A577">
        <v>576</v>
      </c>
      <c r="B577">
        <f>LARGE(data!G:G,A577)</f>
        <v>0.12749383650000001</v>
      </c>
      <c r="C577">
        <f>COUNTIFS(data!E:E,data!$I$2,data!G:G,"&gt;="&amp;B577)</f>
        <v>262</v>
      </c>
      <c r="D577">
        <f>COUNTIFS(data!E:E,data!$J$2,data!G:G,"&gt;="&amp;B577)</f>
        <v>314</v>
      </c>
      <c r="E577">
        <f>COUNTIFS(data!E:E,data!$J$2,data!G:G,"&lt;"&amp;B577)</f>
        <v>48</v>
      </c>
      <c r="F577">
        <f>COUNTIFS(data!E:E,data!$I$2,data!G:G,"&lt;"&amp;B577)</f>
        <v>4</v>
      </c>
      <c r="G577">
        <f t="shared" si="58"/>
        <v>0.86740331491712708</v>
      </c>
      <c r="H577">
        <f t="shared" si="59"/>
        <v>0.98496240601503759</v>
      </c>
      <c r="I577">
        <f t="shared" si="60"/>
        <v>2.7208906243509803E-3</v>
      </c>
      <c r="J577">
        <f t="shared" si="61"/>
        <v>0.4548611111111111</v>
      </c>
      <c r="K577">
        <f t="shared" si="62"/>
        <v>0.62232779097387181</v>
      </c>
      <c r="L577">
        <f>A577*COUNTIF(data!E:E,$J$2)/data!$M$2</f>
        <v>243.97452229299364</v>
      </c>
      <c r="M577" s="1">
        <f>A577/data!$M$2</f>
        <v>0.91719745222929938</v>
      </c>
      <c r="N577">
        <f t="shared" si="63"/>
        <v>1.0738826232247285</v>
      </c>
    </row>
    <row r="578" spans="1:14" x14ac:dyDescent="0.2">
      <c r="A578">
        <v>577</v>
      </c>
      <c r="B578">
        <f>LARGE(data!G:G,A578)</f>
        <v>0.12727740830000001</v>
      </c>
      <c r="C578">
        <f>COUNTIFS(data!E:E,data!$I$2,data!G:G,"&gt;="&amp;B578)</f>
        <v>262</v>
      </c>
      <c r="D578">
        <f>COUNTIFS(data!E:E,data!$J$2,data!G:G,"&gt;="&amp;B578)</f>
        <v>315</v>
      </c>
      <c r="E578">
        <f>COUNTIFS(data!E:E,data!$J$2,data!G:G,"&lt;"&amp;B578)</f>
        <v>47</v>
      </c>
      <c r="F578">
        <f>COUNTIFS(data!E:E,data!$I$2,data!G:G,"&lt;"&amp;B578)</f>
        <v>4</v>
      </c>
      <c r="G578">
        <f t="shared" si="58"/>
        <v>0.87016574585635365</v>
      </c>
      <c r="H578">
        <f t="shared" si="59"/>
        <v>0.98496240601503759</v>
      </c>
      <c r="I578">
        <f t="shared" si="60"/>
        <v>2.7208906243509803E-3</v>
      </c>
      <c r="J578">
        <f t="shared" si="61"/>
        <v>0.45407279029462738</v>
      </c>
      <c r="K578">
        <f t="shared" si="62"/>
        <v>0.62158956109134045</v>
      </c>
      <c r="L578">
        <f>A578*COUNTIF(data!E:E,$J$2)/data!$M$2</f>
        <v>244.39808917197453</v>
      </c>
      <c r="M578" s="1">
        <f>A578/data!$M$2</f>
        <v>0.91878980891719741</v>
      </c>
      <c r="N578">
        <f t="shared" si="63"/>
        <v>1.0720214748309247</v>
      </c>
    </row>
    <row r="579" spans="1:14" x14ac:dyDescent="0.2">
      <c r="A579">
        <v>578</v>
      </c>
      <c r="B579">
        <f>LARGE(data!G:G,A579)</f>
        <v>0.1242962737</v>
      </c>
      <c r="C579">
        <f>COUNTIFS(data!E:E,data!$I$2,data!G:G,"&gt;="&amp;B579)</f>
        <v>262</v>
      </c>
      <c r="D579">
        <f>COUNTIFS(data!E:E,data!$J$2,data!G:G,"&gt;="&amp;B579)</f>
        <v>316</v>
      </c>
      <c r="E579">
        <f>COUNTIFS(data!E:E,data!$J$2,data!G:G,"&lt;"&amp;B579)</f>
        <v>46</v>
      </c>
      <c r="F579">
        <f>COUNTIFS(data!E:E,data!$I$2,data!G:G,"&lt;"&amp;B579)</f>
        <v>4</v>
      </c>
      <c r="G579">
        <f t="shared" si="58"/>
        <v>0.8729281767955801</v>
      </c>
      <c r="H579">
        <f t="shared" si="59"/>
        <v>0.98496240601503759</v>
      </c>
      <c r="I579">
        <f t="shared" si="60"/>
        <v>2.720890624350871E-3</v>
      </c>
      <c r="J579">
        <f t="shared" si="61"/>
        <v>0.45328719723183392</v>
      </c>
      <c r="K579">
        <f t="shared" si="62"/>
        <v>0.62085308056872046</v>
      </c>
      <c r="L579">
        <f>A579*COUNTIF(data!E:E,$J$2)/data!$M$2</f>
        <v>244.82165605095543</v>
      </c>
      <c r="M579" s="1">
        <f>A579/data!$M$2</f>
        <v>0.92038216560509556</v>
      </c>
      <c r="N579">
        <f t="shared" si="63"/>
        <v>1.0701667663969612</v>
      </c>
    </row>
    <row r="580" spans="1:14" x14ac:dyDescent="0.2">
      <c r="A580">
        <v>579</v>
      </c>
      <c r="B580">
        <f>LARGE(data!G:G,A580)</f>
        <v>0.1241725256</v>
      </c>
      <c r="C580">
        <f>COUNTIFS(data!E:E,data!$I$2,data!G:G,"&gt;="&amp;B580)</f>
        <v>262</v>
      </c>
      <c r="D580">
        <f>COUNTIFS(data!E:E,data!$J$2,data!G:G,"&gt;="&amp;B580)</f>
        <v>317</v>
      </c>
      <c r="E580">
        <f>COUNTIFS(data!E:E,data!$J$2,data!G:G,"&lt;"&amp;B580)</f>
        <v>45</v>
      </c>
      <c r="F580">
        <f>COUNTIFS(data!E:E,data!$I$2,data!G:G,"&lt;"&amp;B580)</f>
        <v>4</v>
      </c>
      <c r="G580">
        <f t="shared" si="58"/>
        <v>0.87569060773480667</v>
      </c>
      <c r="H580">
        <f t="shared" si="59"/>
        <v>0.98496240601503759</v>
      </c>
      <c r="I580">
        <f t="shared" si="60"/>
        <v>2.7208906243509803E-3</v>
      </c>
      <c r="J580">
        <f t="shared" si="61"/>
        <v>0.4525043177892919</v>
      </c>
      <c r="K580">
        <f t="shared" si="62"/>
        <v>0.62011834319526637</v>
      </c>
      <c r="L580">
        <f>A580*COUNTIF(data!E:E,$J$2)/data!$M$2</f>
        <v>245.24522292993632</v>
      </c>
      <c r="M580" s="1">
        <f>A580/data!$M$2</f>
        <v>0.92197452229299359</v>
      </c>
      <c r="N580">
        <f t="shared" si="63"/>
        <v>1.0683184645551702</v>
      </c>
    </row>
    <row r="581" spans="1:14" x14ac:dyDescent="0.2">
      <c r="A581">
        <v>580</v>
      </c>
      <c r="B581">
        <f>LARGE(data!G:G,A581)</f>
        <v>0.1240199615</v>
      </c>
      <c r="C581">
        <f>COUNTIFS(data!E:E,data!$I$2,data!G:G,"&gt;="&amp;B581)</f>
        <v>262</v>
      </c>
      <c r="D581">
        <f>COUNTIFS(data!E:E,data!$J$2,data!G:G,"&gt;="&amp;B581)</f>
        <v>318</v>
      </c>
      <c r="E581">
        <f>COUNTIFS(data!E:E,data!$J$2,data!G:G,"&lt;"&amp;B581)</f>
        <v>44</v>
      </c>
      <c r="F581">
        <f>COUNTIFS(data!E:E,data!$I$2,data!G:G,"&lt;"&amp;B581)</f>
        <v>4</v>
      </c>
      <c r="G581">
        <f t="shared" si="58"/>
        <v>0.87845303867403313</v>
      </c>
      <c r="H581">
        <f t="shared" si="59"/>
        <v>0.98496240601503759</v>
      </c>
      <c r="I581">
        <f t="shared" si="60"/>
        <v>2.720890624350871E-3</v>
      </c>
      <c r="J581">
        <f t="shared" si="61"/>
        <v>0.4517241379310345</v>
      </c>
      <c r="K581">
        <f t="shared" si="62"/>
        <v>0.61938534278959811</v>
      </c>
      <c r="L581">
        <f>A581*COUNTIF(data!E:E,$J$2)/data!$M$2</f>
        <v>245.66878980891721</v>
      </c>
      <c r="M581" s="1">
        <f>A581/data!$M$2</f>
        <v>0.92356687898089174</v>
      </c>
      <c r="N581">
        <f t="shared" si="63"/>
        <v>1.0664765361680062</v>
      </c>
    </row>
    <row r="582" spans="1:14" x14ac:dyDescent="0.2">
      <c r="A582">
        <v>581</v>
      </c>
      <c r="B582">
        <f>LARGE(data!G:G,A582)</f>
        <v>0.1223846671</v>
      </c>
      <c r="C582">
        <f>COUNTIFS(data!E:E,data!$I$2,data!G:G,"&gt;="&amp;B582)</f>
        <v>263</v>
      </c>
      <c r="D582">
        <f>COUNTIFS(data!E:E,data!$J$2,data!G:G,"&gt;="&amp;B582)</f>
        <v>318</v>
      </c>
      <c r="E582">
        <f>COUNTIFS(data!E:E,data!$J$2,data!G:G,"&lt;"&amp;B582)</f>
        <v>44</v>
      </c>
      <c r="F582">
        <f>COUNTIFS(data!E:E,data!$I$2,data!G:G,"&lt;"&amp;B582)</f>
        <v>3</v>
      </c>
      <c r="G582">
        <f t="shared" si="58"/>
        <v>0.87845303867403313</v>
      </c>
      <c r="H582">
        <f t="shared" si="59"/>
        <v>0.98872180451127822</v>
      </c>
      <c r="I582">
        <f t="shared" si="60"/>
        <v>0</v>
      </c>
      <c r="J582">
        <f t="shared" si="61"/>
        <v>0.45266781411359724</v>
      </c>
      <c r="K582">
        <f t="shared" si="62"/>
        <v>0.62101534828807559</v>
      </c>
      <c r="L582">
        <f>A582*COUNTIF(data!E:E,$J$2)/data!$M$2</f>
        <v>246.09235668789808</v>
      </c>
      <c r="M582" s="1">
        <f>A582/data!$M$2</f>
        <v>0.92515923566878977</v>
      </c>
      <c r="N582">
        <f t="shared" si="63"/>
        <v>1.0687044633960117</v>
      </c>
    </row>
    <row r="583" spans="1:14" x14ac:dyDescent="0.2">
      <c r="A583">
        <v>582</v>
      </c>
      <c r="B583">
        <f>LARGE(data!G:G,A583)</f>
        <v>0.120928177</v>
      </c>
      <c r="C583">
        <f>COUNTIFS(data!E:E,data!$I$2,data!G:G,"&gt;="&amp;B583)</f>
        <v>263</v>
      </c>
      <c r="D583">
        <f>COUNTIFS(data!E:E,data!$J$2,data!G:G,"&gt;="&amp;B583)</f>
        <v>319</v>
      </c>
      <c r="E583">
        <f>COUNTIFS(data!E:E,data!$J$2,data!G:G,"&lt;"&amp;B583)</f>
        <v>43</v>
      </c>
      <c r="F583">
        <f>COUNTIFS(data!E:E,data!$I$2,data!G:G,"&lt;"&amp;B583)</f>
        <v>3</v>
      </c>
      <c r="G583">
        <f t="shared" si="58"/>
        <v>0.88121546961325969</v>
      </c>
      <c r="H583">
        <f t="shared" si="59"/>
        <v>0.98872180451127822</v>
      </c>
      <c r="I583">
        <f t="shared" si="60"/>
        <v>2.7312757030698771E-3</v>
      </c>
      <c r="J583">
        <f t="shared" si="61"/>
        <v>0.45189003436426117</v>
      </c>
      <c r="K583">
        <f t="shared" si="62"/>
        <v>0.62028301886792458</v>
      </c>
      <c r="L583">
        <f>A583*COUNTIF(data!E:E,$J$2)/data!$M$2</f>
        <v>246.51592356687897</v>
      </c>
      <c r="M583" s="1">
        <f>A583/data!$M$2</f>
        <v>0.92675159235668791</v>
      </c>
      <c r="N583">
        <f t="shared" si="63"/>
        <v>1.0668682014314137</v>
      </c>
    </row>
    <row r="584" spans="1:14" x14ac:dyDescent="0.2">
      <c r="A584">
        <v>583</v>
      </c>
      <c r="B584">
        <f>LARGE(data!G:G,A584)</f>
        <v>0.1205250083</v>
      </c>
      <c r="C584">
        <f>COUNTIFS(data!E:E,data!$I$2,data!G:G,"&gt;="&amp;B584)</f>
        <v>263</v>
      </c>
      <c r="D584">
        <f>COUNTIFS(data!E:E,data!$J$2,data!G:G,"&gt;="&amp;B584)</f>
        <v>320</v>
      </c>
      <c r="E584">
        <f>COUNTIFS(data!E:E,data!$J$2,data!G:G,"&lt;"&amp;B584)</f>
        <v>42</v>
      </c>
      <c r="F584">
        <f>COUNTIFS(data!E:E,data!$I$2,data!G:G,"&lt;"&amp;B584)</f>
        <v>3</v>
      </c>
      <c r="G584">
        <f t="shared" si="58"/>
        <v>0.88397790055248615</v>
      </c>
      <c r="H584">
        <f t="shared" si="59"/>
        <v>0.98872180451127822</v>
      </c>
      <c r="I584">
        <f t="shared" si="60"/>
        <v>2.7312757030697674E-3</v>
      </c>
      <c r="J584">
        <f t="shared" si="61"/>
        <v>0.451114922813036</v>
      </c>
      <c r="K584">
        <f t="shared" si="62"/>
        <v>0.6195524146054181</v>
      </c>
      <c r="L584">
        <f>A584*COUNTIF(data!E:E,$J$2)/data!$M$2</f>
        <v>246.93949044585986</v>
      </c>
      <c r="M584" s="1">
        <f>A584/data!$M$2</f>
        <v>0.92834394904458595</v>
      </c>
      <c r="N584">
        <f t="shared" si="63"/>
        <v>1.0650382388217543</v>
      </c>
    </row>
    <row r="585" spans="1:14" x14ac:dyDescent="0.2">
      <c r="A585">
        <v>584</v>
      </c>
      <c r="B585">
        <f>LARGE(data!G:G,A585)</f>
        <v>0.1199414134</v>
      </c>
      <c r="C585">
        <f>COUNTIFS(data!E:E,data!$I$2,data!G:G,"&gt;="&amp;B585)</f>
        <v>264</v>
      </c>
      <c r="D585">
        <f>COUNTIFS(data!E:E,data!$J$2,data!G:G,"&gt;="&amp;B585)</f>
        <v>320</v>
      </c>
      <c r="E585">
        <f>COUNTIFS(data!E:E,data!$J$2,data!G:G,"&lt;"&amp;B585)</f>
        <v>42</v>
      </c>
      <c r="F585">
        <f>COUNTIFS(data!E:E,data!$I$2,data!G:G,"&lt;"&amp;B585)</f>
        <v>2</v>
      </c>
      <c r="G585">
        <f t="shared" si="58"/>
        <v>0.88397790055248615</v>
      </c>
      <c r="H585">
        <f t="shared" si="59"/>
        <v>0.99248120300751874</v>
      </c>
      <c r="I585">
        <f t="shared" si="60"/>
        <v>0</v>
      </c>
      <c r="J585">
        <f t="shared" si="61"/>
        <v>0.45205479452054792</v>
      </c>
      <c r="K585">
        <f t="shared" si="62"/>
        <v>0.62117647058823522</v>
      </c>
      <c r="L585">
        <f>A585*COUNTIF(data!E:E,$J$2)/data!$M$2</f>
        <v>247.36305732484075</v>
      </c>
      <c r="M585" s="1">
        <f>A585/data!$M$2</f>
        <v>0.92993630573248409</v>
      </c>
      <c r="N585">
        <f t="shared" si="63"/>
        <v>1.0672571840560305</v>
      </c>
    </row>
    <row r="586" spans="1:14" x14ac:dyDescent="0.2">
      <c r="A586">
        <v>585</v>
      </c>
      <c r="B586">
        <f>LARGE(data!G:G,A586)</f>
        <v>0.1166324239</v>
      </c>
      <c r="C586">
        <f>COUNTIFS(data!E:E,data!$I$2,data!G:G,"&gt;="&amp;B586)</f>
        <v>264</v>
      </c>
      <c r="D586">
        <f>COUNTIFS(data!E:E,data!$J$2,data!G:G,"&gt;="&amp;B586)</f>
        <v>321</v>
      </c>
      <c r="E586">
        <f>COUNTIFS(data!E:E,data!$J$2,data!G:G,"&lt;"&amp;B586)</f>
        <v>41</v>
      </c>
      <c r="F586">
        <f>COUNTIFS(data!E:E,data!$I$2,data!G:G,"&lt;"&amp;B586)</f>
        <v>2</v>
      </c>
      <c r="G586">
        <f t="shared" si="58"/>
        <v>0.88674033149171272</v>
      </c>
      <c r="H586">
        <f t="shared" si="59"/>
        <v>0.99248120300751874</v>
      </c>
      <c r="I586">
        <f t="shared" si="60"/>
        <v>2.7416607817887738E-3</v>
      </c>
      <c r="J586">
        <f t="shared" si="61"/>
        <v>0.45128205128205129</v>
      </c>
      <c r="K586">
        <f t="shared" si="62"/>
        <v>0.62044653349001178</v>
      </c>
      <c r="L586">
        <f>A586*COUNTIF(data!E:E,$J$2)/data!$M$2</f>
        <v>247.78662420382165</v>
      </c>
      <c r="M586" s="1">
        <f>A586/data!$M$2</f>
        <v>0.93152866242038213</v>
      </c>
      <c r="N586">
        <f t="shared" si="63"/>
        <v>1.0654328128012338</v>
      </c>
    </row>
    <row r="587" spans="1:14" x14ac:dyDescent="0.2">
      <c r="A587">
        <v>586</v>
      </c>
      <c r="B587">
        <f>LARGE(data!G:G,A587)</f>
        <v>0.1143510688</v>
      </c>
      <c r="C587">
        <f>COUNTIFS(data!E:E,data!$I$2,data!G:G,"&gt;="&amp;B587)</f>
        <v>264</v>
      </c>
      <c r="D587">
        <f>COUNTIFS(data!E:E,data!$J$2,data!G:G,"&gt;="&amp;B587)</f>
        <v>322</v>
      </c>
      <c r="E587">
        <f>COUNTIFS(data!E:E,data!$J$2,data!G:G,"&lt;"&amp;B587)</f>
        <v>40</v>
      </c>
      <c r="F587">
        <f>COUNTIFS(data!E:E,data!$I$2,data!G:G,"&lt;"&amp;B587)</f>
        <v>2</v>
      </c>
      <c r="G587">
        <f t="shared" si="58"/>
        <v>0.88950276243093918</v>
      </c>
      <c r="H587">
        <f t="shared" si="59"/>
        <v>0.99248120300751874</v>
      </c>
      <c r="I587">
        <f t="shared" si="60"/>
        <v>2.7416607817886637E-3</v>
      </c>
      <c r="J587">
        <f t="shared" si="61"/>
        <v>0.45051194539249145</v>
      </c>
      <c r="K587">
        <f t="shared" si="62"/>
        <v>0.61971830985915488</v>
      </c>
      <c r="L587">
        <f>A587*COUNTIF(data!E:E,$J$2)/data!$M$2</f>
        <v>248.21019108280254</v>
      </c>
      <c r="M587" s="1">
        <f>A587/data!$M$2</f>
        <v>0.93312101910828027</v>
      </c>
      <c r="N587">
        <f t="shared" si="63"/>
        <v>1.0636146680694911</v>
      </c>
    </row>
    <row r="588" spans="1:14" x14ac:dyDescent="0.2">
      <c r="A588">
        <v>587</v>
      </c>
      <c r="B588">
        <f>LARGE(data!G:G,A588)</f>
        <v>0.1139324845</v>
      </c>
      <c r="C588">
        <f>COUNTIFS(data!E:E,data!$I$2,data!G:G,"&gt;="&amp;B588)</f>
        <v>265</v>
      </c>
      <c r="D588">
        <f>COUNTIFS(data!E:E,data!$J$2,data!G:G,"&gt;="&amp;B588)</f>
        <v>322</v>
      </c>
      <c r="E588">
        <f>COUNTIFS(data!E:E,data!$J$2,data!G:G,"&lt;"&amp;B588)</f>
        <v>40</v>
      </c>
      <c r="F588">
        <f>COUNTIFS(data!E:E,data!$I$2,data!G:G,"&lt;"&amp;B588)</f>
        <v>1</v>
      </c>
      <c r="G588">
        <f t="shared" si="58"/>
        <v>0.88950276243093918</v>
      </c>
      <c r="H588">
        <f t="shared" si="59"/>
        <v>0.99624060150375937</v>
      </c>
      <c r="I588">
        <f t="shared" si="60"/>
        <v>0</v>
      </c>
      <c r="J588">
        <f t="shared" si="61"/>
        <v>0.45144804088586032</v>
      </c>
      <c r="K588">
        <f t="shared" si="62"/>
        <v>0.62133645955451355</v>
      </c>
      <c r="L588">
        <f>A588*COUNTIF(data!E:E,$J$2)/data!$M$2</f>
        <v>248.63375796178343</v>
      </c>
      <c r="M588" s="1">
        <f>A588/data!$M$2</f>
        <v>0.9347133757961783</v>
      </c>
      <c r="N588">
        <f t="shared" si="63"/>
        <v>1.0658246980312793</v>
      </c>
    </row>
    <row r="589" spans="1:14" x14ac:dyDescent="0.2">
      <c r="A589">
        <v>588</v>
      </c>
      <c r="B589">
        <f>LARGE(data!G:G,A589)</f>
        <v>0.11359024550000001</v>
      </c>
      <c r="C589">
        <f>COUNTIFS(data!E:E,data!$I$2,data!G:G,"&gt;="&amp;B589)</f>
        <v>265</v>
      </c>
      <c r="D589">
        <f>COUNTIFS(data!E:E,data!$J$2,data!G:G,"&gt;="&amp;B589)</f>
        <v>323</v>
      </c>
      <c r="E589">
        <f>COUNTIFS(data!E:E,data!$J$2,data!G:G,"&lt;"&amp;B589)</f>
        <v>39</v>
      </c>
      <c r="F589">
        <f>COUNTIFS(data!E:E,data!$I$2,data!G:G,"&lt;"&amp;B589)</f>
        <v>1</v>
      </c>
      <c r="G589">
        <f t="shared" si="58"/>
        <v>0.89226519337016574</v>
      </c>
      <c r="H589">
        <f t="shared" si="59"/>
        <v>0.99624060150375937</v>
      </c>
      <c r="I589">
        <f t="shared" si="60"/>
        <v>2.752045860507671E-3</v>
      </c>
      <c r="J589">
        <f t="shared" si="61"/>
        <v>0.45068027210884354</v>
      </c>
      <c r="K589">
        <f t="shared" si="62"/>
        <v>0.62060889929742391</v>
      </c>
      <c r="L589">
        <f>A589*COUNTIF(data!E:E,$J$2)/data!$M$2</f>
        <v>249.05732484076432</v>
      </c>
      <c r="M589" s="1">
        <f>A589/data!$M$2</f>
        <v>0.93630573248407645</v>
      </c>
      <c r="N589">
        <f t="shared" si="63"/>
        <v>1.064012070993811</v>
      </c>
    </row>
    <row r="590" spans="1:14" x14ac:dyDescent="0.2">
      <c r="A590">
        <v>589</v>
      </c>
      <c r="B590">
        <f>LARGE(data!G:G,A590)</f>
        <v>0.1134699233</v>
      </c>
      <c r="C590">
        <f>COUNTIFS(data!E:E,data!$I$2,data!G:G,"&gt;="&amp;B590)</f>
        <v>265</v>
      </c>
      <c r="D590">
        <f>COUNTIFS(data!E:E,data!$J$2,data!G:G,"&gt;="&amp;B590)</f>
        <v>324</v>
      </c>
      <c r="E590">
        <f>COUNTIFS(data!E:E,data!$J$2,data!G:G,"&lt;"&amp;B590)</f>
        <v>38</v>
      </c>
      <c r="F590">
        <f>COUNTIFS(data!E:E,data!$I$2,data!G:G,"&lt;"&amp;B590)</f>
        <v>1</v>
      </c>
      <c r="G590">
        <f t="shared" si="58"/>
        <v>0.89502762430939231</v>
      </c>
      <c r="H590">
        <f t="shared" si="59"/>
        <v>0.99624060150375937</v>
      </c>
      <c r="I590">
        <f t="shared" si="60"/>
        <v>2.752045860507671E-3</v>
      </c>
      <c r="J590">
        <f t="shared" si="61"/>
        <v>0.44991511035653653</v>
      </c>
      <c r="K590">
        <f t="shared" si="62"/>
        <v>0.61988304093567259</v>
      </c>
      <c r="L590">
        <f>A590*COUNTIF(data!E:E,$J$2)/data!$M$2</f>
        <v>249.48089171974522</v>
      </c>
      <c r="M590" s="1">
        <f>A590/data!$M$2</f>
        <v>0.93789808917197448</v>
      </c>
      <c r="N590">
        <f t="shared" si="63"/>
        <v>1.0622055988868606</v>
      </c>
    </row>
    <row r="591" spans="1:14" x14ac:dyDescent="0.2">
      <c r="A591">
        <v>590</v>
      </c>
      <c r="B591">
        <f>LARGE(data!G:G,A591)</f>
        <v>0.11168810210000001</v>
      </c>
      <c r="C591">
        <f>COUNTIFS(data!E:E,data!$I$2,data!G:G,"&gt;="&amp;B591)</f>
        <v>265</v>
      </c>
      <c r="D591">
        <f>COUNTIFS(data!E:E,data!$J$2,data!G:G,"&gt;="&amp;B591)</f>
        <v>325</v>
      </c>
      <c r="E591">
        <f>COUNTIFS(data!E:E,data!$J$2,data!G:G,"&lt;"&amp;B591)</f>
        <v>37</v>
      </c>
      <c r="F591">
        <f>COUNTIFS(data!E:E,data!$I$2,data!G:G,"&lt;"&amp;B591)</f>
        <v>1</v>
      </c>
      <c r="G591">
        <f t="shared" si="58"/>
        <v>0.89779005524861877</v>
      </c>
      <c r="H591">
        <f t="shared" si="59"/>
        <v>0.99624060150375937</v>
      </c>
      <c r="I591">
        <f t="shared" si="60"/>
        <v>2.7520458605075604E-3</v>
      </c>
      <c r="J591">
        <f t="shared" si="61"/>
        <v>0.44915254237288138</v>
      </c>
      <c r="K591">
        <f t="shared" si="62"/>
        <v>0.61915887850467288</v>
      </c>
      <c r="L591">
        <f>A591*COUNTIF(data!E:E,$J$2)/data!$M$2</f>
        <v>249.90445859872611</v>
      </c>
      <c r="M591" s="1">
        <f>A591/data!$M$2</f>
        <v>0.93949044585987262</v>
      </c>
      <c r="N591">
        <f t="shared" si="63"/>
        <v>1.060405250414171</v>
      </c>
    </row>
    <row r="592" spans="1:14" x14ac:dyDescent="0.2">
      <c r="A592">
        <v>591</v>
      </c>
      <c r="B592">
        <f>LARGE(data!G:G,A592)</f>
        <v>0.1107392405</v>
      </c>
      <c r="C592">
        <f>COUNTIFS(data!E:E,data!$I$2,data!G:G,"&gt;="&amp;B592)</f>
        <v>265</v>
      </c>
      <c r="D592">
        <f>COUNTIFS(data!E:E,data!$J$2,data!G:G,"&gt;="&amp;B592)</f>
        <v>326</v>
      </c>
      <c r="E592">
        <f>COUNTIFS(data!E:E,data!$J$2,data!G:G,"&lt;"&amp;B592)</f>
        <v>36</v>
      </c>
      <c r="F592">
        <f>COUNTIFS(data!E:E,data!$I$2,data!G:G,"&lt;"&amp;B592)</f>
        <v>1</v>
      </c>
      <c r="G592">
        <f t="shared" si="58"/>
        <v>0.90055248618784534</v>
      </c>
      <c r="H592">
        <f t="shared" si="59"/>
        <v>0.99624060150375937</v>
      </c>
      <c r="I592">
        <f t="shared" si="60"/>
        <v>2.752045860507671E-3</v>
      </c>
      <c r="J592">
        <f t="shared" si="61"/>
        <v>0.44839255499153974</v>
      </c>
      <c r="K592">
        <f t="shared" si="62"/>
        <v>0.61843640606767791</v>
      </c>
      <c r="L592">
        <f>A592*COUNTIF(data!E:E,$J$2)/data!$M$2</f>
        <v>250.328025477707</v>
      </c>
      <c r="M592" s="1">
        <f>A592/data!$M$2</f>
        <v>0.94108280254777066</v>
      </c>
      <c r="N592">
        <f t="shared" si="63"/>
        <v>1.0586109944913045</v>
      </c>
    </row>
    <row r="593" spans="1:14" x14ac:dyDescent="0.2">
      <c r="A593">
        <v>592</v>
      </c>
      <c r="B593">
        <f>LARGE(data!G:G,A593)</f>
        <v>0.1105395235</v>
      </c>
      <c r="C593">
        <f>COUNTIFS(data!E:E,data!$I$2,data!G:G,"&gt;="&amp;B593)</f>
        <v>265</v>
      </c>
      <c r="D593">
        <f>COUNTIFS(data!E:E,data!$J$2,data!G:G,"&gt;="&amp;B593)</f>
        <v>327</v>
      </c>
      <c r="E593">
        <f>COUNTIFS(data!E:E,data!$J$2,data!G:G,"&lt;"&amp;B593)</f>
        <v>35</v>
      </c>
      <c r="F593">
        <f>COUNTIFS(data!E:E,data!$I$2,data!G:G,"&lt;"&amp;B593)</f>
        <v>1</v>
      </c>
      <c r="G593">
        <f t="shared" si="58"/>
        <v>0.90331491712707179</v>
      </c>
      <c r="H593">
        <f t="shared" si="59"/>
        <v>0.99624060150375937</v>
      </c>
      <c r="I593">
        <f t="shared" si="60"/>
        <v>2.7520458605075604E-3</v>
      </c>
      <c r="J593">
        <f t="shared" si="61"/>
        <v>0.44763513513513514</v>
      </c>
      <c r="K593">
        <f t="shared" si="62"/>
        <v>0.61771561771561767</v>
      </c>
      <c r="L593">
        <f>A593*COUNTIF(data!E:E,$J$2)/data!$M$2</f>
        <v>250.75159235668789</v>
      </c>
      <c r="M593" s="1">
        <f>A593/data!$M$2</f>
        <v>0.9426751592356688</v>
      </c>
      <c r="N593">
        <f t="shared" si="63"/>
        <v>1.0568228002438529</v>
      </c>
    </row>
    <row r="594" spans="1:14" x14ac:dyDescent="0.2">
      <c r="A594">
        <v>593</v>
      </c>
      <c r="B594">
        <f>LARGE(data!G:G,A594)</f>
        <v>0.1095387515</v>
      </c>
      <c r="C594">
        <f>COUNTIFS(data!E:E,data!$I$2,data!G:G,"&gt;="&amp;B594)</f>
        <v>265</v>
      </c>
      <c r="D594">
        <f>COUNTIFS(data!E:E,data!$J$2,data!G:G,"&gt;="&amp;B594)</f>
        <v>328</v>
      </c>
      <c r="E594">
        <f>COUNTIFS(data!E:E,data!$J$2,data!G:G,"&lt;"&amp;B594)</f>
        <v>34</v>
      </c>
      <c r="F594">
        <f>COUNTIFS(data!E:E,data!$I$2,data!G:G,"&lt;"&amp;B594)</f>
        <v>1</v>
      </c>
      <c r="G594">
        <f t="shared" si="58"/>
        <v>0.90607734806629836</v>
      </c>
      <c r="H594">
        <f t="shared" si="59"/>
        <v>0.99624060150375937</v>
      </c>
      <c r="I594">
        <f t="shared" si="60"/>
        <v>2.752045860507671E-3</v>
      </c>
      <c r="J594">
        <f t="shared" si="61"/>
        <v>0.44688026981450252</v>
      </c>
      <c r="K594">
        <f t="shared" si="62"/>
        <v>0.61699650756693825</v>
      </c>
      <c r="L594">
        <f>A594*COUNTIF(data!E:E,$J$2)/data!$M$2</f>
        <v>251.17515923566879</v>
      </c>
      <c r="M594" s="1">
        <f>A594/data!$M$2</f>
        <v>0.94426751592356684</v>
      </c>
      <c r="N594">
        <f t="shared" si="63"/>
        <v>1.0550406370056677</v>
      </c>
    </row>
    <row r="595" spans="1:14" x14ac:dyDescent="0.2">
      <c r="A595">
        <v>594</v>
      </c>
      <c r="B595">
        <f>LARGE(data!G:G,A595)</f>
        <v>0.10877410899999999</v>
      </c>
      <c r="C595">
        <f>COUNTIFS(data!E:E,data!$I$2,data!G:G,"&gt;="&amp;B595)</f>
        <v>265</v>
      </c>
      <c r="D595">
        <f>COUNTIFS(data!E:E,data!$J$2,data!G:G,"&gt;="&amp;B595)</f>
        <v>329</v>
      </c>
      <c r="E595">
        <f>COUNTIFS(data!E:E,data!$J$2,data!G:G,"&lt;"&amp;B595)</f>
        <v>33</v>
      </c>
      <c r="F595">
        <f>COUNTIFS(data!E:E,data!$I$2,data!G:G,"&lt;"&amp;B595)</f>
        <v>1</v>
      </c>
      <c r="G595">
        <f t="shared" si="58"/>
        <v>0.90883977900552482</v>
      </c>
      <c r="H595">
        <f t="shared" si="59"/>
        <v>0.99624060150375937</v>
      </c>
      <c r="I595">
        <f t="shared" si="60"/>
        <v>2.7520458605075604E-3</v>
      </c>
      <c r="J595">
        <f t="shared" si="61"/>
        <v>0.44612794612794615</v>
      </c>
      <c r="K595">
        <f t="shared" si="62"/>
        <v>0.61627906976744196</v>
      </c>
      <c r="L595">
        <f>A595*COUNTIF(data!E:E,$J$2)/data!$M$2</f>
        <v>251.59872611464968</v>
      </c>
      <c r="M595" s="1">
        <f>A595/data!$M$2</f>
        <v>0.94585987261146498</v>
      </c>
      <c r="N595">
        <f t="shared" si="63"/>
        <v>1.053264474317106</v>
      </c>
    </row>
    <row r="596" spans="1:14" x14ac:dyDescent="0.2">
      <c r="A596">
        <v>595</v>
      </c>
      <c r="B596">
        <f>LARGE(data!G:G,A596)</f>
        <v>0.1084404685</v>
      </c>
      <c r="C596">
        <f>COUNTIFS(data!E:E,data!$I$2,data!G:G,"&gt;="&amp;B596)</f>
        <v>265</v>
      </c>
      <c r="D596">
        <f>COUNTIFS(data!E:E,data!$J$2,data!G:G,"&gt;="&amp;B596)</f>
        <v>330</v>
      </c>
      <c r="E596">
        <f>COUNTIFS(data!E:E,data!$J$2,data!G:G,"&lt;"&amp;B596)</f>
        <v>32</v>
      </c>
      <c r="F596">
        <f>COUNTIFS(data!E:E,data!$I$2,data!G:G,"&lt;"&amp;B596)</f>
        <v>1</v>
      </c>
      <c r="G596">
        <f t="shared" si="58"/>
        <v>0.91160220994475138</v>
      </c>
      <c r="H596">
        <f t="shared" si="59"/>
        <v>0.99624060150375937</v>
      </c>
      <c r="I596">
        <f t="shared" si="60"/>
        <v>2.752045860507671E-3</v>
      </c>
      <c r="J596">
        <f t="shared" si="61"/>
        <v>0.44537815126050423</v>
      </c>
      <c r="K596">
        <f t="shared" si="62"/>
        <v>0.6155632984901277</v>
      </c>
      <c r="L596">
        <f>A596*COUNTIF(data!E:E,$J$2)/data!$M$2</f>
        <v>252.02229299363057</v>
      </c>
      <c r="M596" s="1">
        <f>A596/data!$M$2</f>
        <v>0.94745222929936301</v>
      </c>
      <c r="N596">
        <f t="shared" si="63"/>
        <v>1.0514942819232957</v>
      </c>
    </row>
    <row r="597" spans="1:14" x14ac:dyDescent="0.2">
      <c r="A597">
        <v>596</v>
      </c>
      <c r="B597">
        <f>LARGE(data!G:G,A597)</f>
        <v>0.1081612969</v>
      </c>
      <c r="C597">
        <f>COUNTIFS(data!E:E,data!$I$2,data!G:G,"&gt;="&amp;B597)</f>
        <v>265</v>
      </c>
      <c r="D597">
        <f>COUNTIFS(data!E:E,data!$J$2,data!G:G,"&gt;="&amp;B597)</f>
        <v>331</v>
      </c>
      <c r="E597">
        <f>COUNTIFS(data!E:E,data!$J$2,data!G:G,"&lt;"&amp;B597)</f>
        <v>31</v>
      </c>
      <c r="F597">
        <f>COUNTIFS(data!E:E,data!$I$2,data!G:G,"&lt;"&amp;B597)</f>
        <v>1</v>
      </c>
      <c r="G597">
        <f t="shared" si="58"/>
        <v>0.91436464088397795</v>
      </c>
      <c r="H597">
        <f t="shared" si="59"/>
        <v>0.99624060150375937</v>
      </c>
      <c r="I597">
        <f t="shared" si="60"/>
        <v>2.752045860507671E-3</v>
      </c>
      <c r="J597">
        <f t="shared" si="61"/>
        <v>0.44463087248322147</v>
      </c>
      <c r="K597">
        <f t="shared" si="62"/>
        <v>0.61484918793503485</v>
      </c>
      <c r="L597">
        <f>A597*COUNTIF(data!E:E,$J$2)/data!$M$2</f>
        <v>252.44585987261146</v>
      </c>
      <c r="M597" s="1">
        <f>A597/data!$M$2</f>
        <v>0.94904458598726116</v>
      </c>
      <c r="N597">
        <f t="shared" si="63"/>
        <v>1.0497300297724177</v>
      </c>
    </row>
    <row r="598" spans="1:14" x14ac:dyDescent="0.2">
      <c r="A598">
        <v>597</v>
      </c>
      <c r="B598">
        <f>LARGE(data!G:G,A598)</f>
        <v>0.1067067994</v>
      </c>
      <c r="C598">
        <f>COUNTIFS(data!E:E,data!$I$2,data!G:G,"&gt;="&amp;B598)</f>
        <v>265</v>
      </c>
      <c r="D598">
        <f>COUNTIFS(data!E:E,data!$J$2,data!G:G,"&gt;="&amp;B598)</f>
        <v>332</v>
      </c>
      <c r="E598">
        <f>COUNTIFS(data!E:E,data!$J$2,data!G:G,"&lt;"&amp;B598)</f>
        <v>30</v>
      </c>
      <c r="F598">
        <f>COUNTIFS(data!E:E,data!$I$2,data!G:G,"&lt;"&amp;B598)</f>
        <v>1</v>
      </c>
      <c r="G598">
        <f t="shared" si="58"/>
        <v>0.91712707182320441</v>
      </c>
      <c r="H598">
        <f t="shared" si="59"/>
        <v>0.99624060150375937</v>
      </c>
      <c r="I598">
        <f t="shared" si="60"/>
        <v>2.7520458605075604E-3</v>
      </c>
      <c r="J598">
        <f t="shared" si="61"/>
        <v>0.44388609715242883</v>
      </c>
      <c r="K598">
        <f t="shared" si="62"/>
        <v>0.6141367323290845</v>
      </c>
      <c r="L598">
        <f>A598*COUNTIF(data!E:E,$J$2)/data!$M$2</f>
        <v>252.86942675159236</v>
      </c>
      <c r="M598" s="1">
        <f>A598/data!$M$2</f>
        <v>0.95063694267515919</v>
      </c>
      <c r="N598">
        <f t="shared" si="63"/>
        <v>1.0479716880140049</v>
      </c>
    </row>
    <row r="599" spans="1:14" x14ac:dyDescent="0.2">
      <c r="A599">
        <v>598</v>
      </c>
      <c r="B599">
        <f>LARGE(data!G:G,A599)</f>
        <v>0.10628441280000001</v>
      </c>
      <c r="C599">
        <f>COUNTIFS(data!E:E,data!$I$2,data!G:G,"&gt;="&amp;B599)</f>
        <v>265</v>
      </c>
      <c r="D599">
        <f>COUNTIFS(data!E:E,data!$J$2,data!G:G,"&gt;="&amp;B599)</f>
        <v>333</v>
      </c>
      <c r="E599">
        <f>COUNTIFS(data!E:E,data!$J$2,data!G:G,"&lt;"&amp;B599)</f>
        <v>29</v>
      </c>
      <c r="F599">
        <f>COUNTIFS(data!E:E,data!$I$2,data!G:G,"&lt;"&amp;B599)</f>
        <v>1</v>
      </c>
      <c r="G599">
        <f t="shared" si="58"/>
        <v>0.91988950276243098</v>
      </c>
      <c r="H599">
        <f t="shared" si="59"/>
        <v>0.99624060150375937</v>
      </c>
      <c r="I599">
        <f t="shared" si="60"/>
        <v>2.752045860507671E-3</v>
      </c>
      <c r="J599">
        <f t="shared" si="61"/>
        <v>0.44314381270903008</v>
      </c>
      <c r="K599">
        <f t="shared" si="62"/>
        <v>0.61342592592592593</v>
      </c>
      <c r="L599">
        <f>A599*COUNTIF(data!E:E,$J$2)/data!$M$2</f>
        <v>253.29299363057325</v>
      </c>
      <c r="M599" s="1">
        <f>A599/data!$M$2</f>
        <v>0.95222929936305734</v>
      </c>
      <c r="N599">
        <f t="shared" si="63"/>
        <v>1.046219226997259</v>
      </c>
    </row>
    <row r="600" spans="1:14" x14ac:dyDescent="0.2">
      <c r="A600">
        <v>599</v>
      </c>
      <c r="B600">
        <f>LARGE(data!G:G,A600)</f>
        <v>0.10590006170000001</v>
      </c>
      <c r="C600">
        <f>COUNTIFS(data!E:E,data!$I$2,data!G:G,"&gt;="&amp;B600)</f>
        <v>265</v>
      </c>
      <c r="D600">
        <f>COUNTIFS(data!E:E,data!$J$2,data!G:G,"&gt;="&amp;B600)</f>
        <v>334</v>
      </c>
      <c r="E600">
        <f>COUNTIFS(data!E:E,data!$J$2,data!G:G,"&lt;"&amp;B600)</f>
        <v>28</v>
      </c>
      <c r="F600">
        <f>COUNTIFS(data!E:E,data!$I$2,data!G:G,"&lt;"&amp;B600)</f>
        <v>1</v>
      </c>
      <c r="G600">
        <f t="shared" si="58"/>
        <v>0.92265193370165743</v>
      </c>
      <c r="H600">
        <f t="shared" si="59"/>
        <v>0.99624060150375937</v>
      </c>
      <c r="I600">
        <f t="shared" si="60"/>
        <v>2.7520458605075604E-3</v>
      </c>
      <c r="J600">
        <f t="shared" si="61"/>
        <v>0.44240400667779634</v>
      </c>
      <c r="K600">
        <f t="shared" si="62"/>
        <v>0.61271676300578026</v>
      </c>
      <c r="L600">
        <f>A600*COUNTIF(data!E:E,$J$2)/data!$M$2</f>
        <v>253.71656050955414</v>
      </c>
      <c r="M600" s="1">
        <f>A600/data!$M$2</f>
        <v>0.95382165605095537</v>
      </c>
      <c r="N600">
        <f t="shared" si="63"/>
        <v>1.0444726172693839</v>
      </c>
    </row>
    <row r="601" spans="1:14" x14ac:dyDescent="0.2">
      <c r="A601">
        <v>600</v>
      </c>
      <c r="B601">
        <f>LARGE(data!G:G,A601)</f>
        <v>0.1041414797</v>
      </c>
      <c r="C601">
        <f>COUNTIFS(data!E:E,data!$I$2,data!G:G,"&gt;="&amp;B601)</f>
        <v>265</v>
      </c>
      <c r="D601">
        <f>COUNTIFS(data!E:E,data!$J$2,data!G:G,"&gt;="&amp;B601)</f>
        <v>335</v>
      </c>
      <c r="E601">
        <f>COUNTIFS(data!E:E,data!$J$2,data!G:G,"&lt;"&amp;B601)</f>
        <v>27</v>
      </c>
      <c r="F601">
        <f>COUNTIFS(data!E:E,data!$I$2,data!G:G,"&lt;"&amp;B601)</f>
        <v>1</v>
      </c>
      <c r="G601">
        <f t="shared" si="58"/>
        <v>0.925414364640884</v>
      </c>
      <c r="H601">
        <f t="shared" si="59"/>
        <v>0.99624060150375937</v>
      </c>
      <c r="I601">
        <f t="shared" si="60"/>
        <v>2.752045860507671E-3</v>
      </c>
      <c r="J601">
        <f t="shared" si="61"/>
        <v>0.44166666666666665</v>
      </c>
      <c r="K601">
        <f t="shared" si="62"/>
        <v>0.61200923787528871</v>
      </c>
      <c r="L601">
        <f>A601*COUNTIF(data!E:E,$J$2)/data!$M$2</f>
        <v>254.14012738853503</v>
      </c>
      <c r="M601" s="1">
        <f>A601/data!$M$2</f>
        <v>0.95541401273885351</v>
      </c>
      <c r="N601">
        <f t="shared" si="63"/>
        <v>1.0427318295739347</v>
      </c>
    </row>
    <row r="602" spans="1:14" x14ac:dyDescent="0.2">
      <c r="A602">
        <v>601</v>
      </c>
      <c r="B602">
        <f>LARGE(data!G:G,A602)</f>
        <v>0.1030375672</v>
      </c>
      <c r="C602">
        <f>COUNTIFS(data!E:E,data!$I$2,data!G:G,"&gt;="&amp;B602)</f>
        <v>265</v>
      </c>
      <c r="D602">
        <f>COUNTIFS(data!E:E,data!$J$2,data!G:G,"&gt;="&amp;B602)</f>
        <v>336</v>
      </c>
      <c r="E602">
        <f>COUNTIFS(data!E:E,data!$J$2,data!G:G,"&lt;"&amp;B602)</f>
        <v>26</v>
      </c>
      <c r="F602">
        <f>COUNTIFS(data!E:E,data!$I$2,data!G:G,"&lt;"&amp;B602)</f>
        <v>1</v>
      </c>
      <c r="G602">
        <f t="shared" si="58"/>
        <v>0.92817679558011046</v>
      </c>
      <c r="H602">
        <f t="shared" si="59"/>
        <v>0.99624060150375937</v>
      </c>
      <c r="I602">
        <f t="shared" si="60"/>
        <v>2.7520458605075604E-3</v>
      </c>
      <c r="J602">
        <f t="shared" si="61"/>
        <v>0.44093178036605657</v>
      </c>
      <c r="K602">
        <f t="shared" si="62"/>
        <v>0.61130334486735871</v>
      </c>
      <c r="L602">
        <f>A602*COUNTIF(data!E:E,$J$2)/data!$M$2</f>
        <v>254.56369426751593</v>
      </c>
      <c r="M602" s="1">
        <f>A602/data!$M$2</f>
        <v>0.95700636942675155</v>
      </c>
      <c r="N602">
        <f t="shared" si="63"/>
        <v>1.0409968348491863</v>
      </c>
    </row>
    <row r="603" spans="1:14" x14ac:dyDescent="0.2">
      <c r="A603">
        <v>602</v>
      </c>
      <c r="B603">
        <f>LARGE(data!G:G,A603)</f>
        <v>0.10275920819999999</v>
      </c>
      <c r="C603">
        <f>COUNTIFS(data!E:E,data!$I$2,data!G:G,"&gt;="&amp;B603)</f>
        <v>265</v>
      </c>
      <c r="D603">
        <f>COUNTIFS(data!E:E,data!$J$2,data!G:G,"&gt;="&amp;B603)</f>
        <v>337</v>
      </c>
      <c r="E603">
        <f>COUNTIFS(data!E:E,data!$J$2,data!G:G,"&lt;"&amp;B603)</f>
        <v>25</v>
      </c>
      <c r="F603">
        <f>COUNTIFS(data!E:E,data!$I$2,data!G:G,"&lt;"&amp;B603)</f>
        <v>1</v>
      </c>
      <c r="G603">
        <f t="shared" si="58"/>
        <v>0.93093922651933703</v>
      </c>
      <c r="H603">
        <f t="shared" si="59"/>
        <v>0.99624060150375937</v>
      </c>
      <c r="I603">
        <f t="shared" si="60"/>
        <v>2.752045860507671E-3</v>
      </c>
      <c r="J603">
        <f t="shared" si="61"/>
        <v>0.44019933554817275</v>
      </c>
      <c r="K603">
        <f t="shared" si="62"/>
        <v>0.61059907834101379</v>
      </c>
      <c r="L603">
        <f>A603*COUNTIF(data!E:E,$J$2)/data!$M$2</f>
        <v>254.98726114649682</v>
      </c>
      <c r="M603" s="1">
        <f>A603/data!$M$2</f>
        <v>0.95859872611464969</v>
      </c>
      <c r="N603">
        <f t="shared" si="63"/>
        <v>1.0392676042265132</v>
      </c>
    </row>
    <row r="604" spans="1:14" x14ac:dyDescent="0.2">
      <c r="A604">
        <v>603</v>
      </c>
      <c r="B604">
        <f>LARGE(data!G:G,A604)</f>
        <v>0.10226534399999999</v>
      </c>
      <c r="C604">
        <f>COUNTIFS(data!E:E,data!$I$2,data!G:G,"&gt;="&amp;B604)</f>
        <v>265</v>
      </c>
      <c r="D604">
        <f>COUNTIFS(data!E:E,data!$J$2,data!G:G,"&gt;="&amp;B604)</f>
        <v>338</v>
      </c>
      <c r="E604">
        <f>COUNTIFS(data!E:E,data!$J$2,data!G:G,"&lt;"&amp;B604)</f>
        <v>24</v>
      </c>
      <c r="F604">
        <f>COUNTIFS(data!E:E,data!$I$2,data!G:G,"&lt;"&amp;B604)</f>
        <v>1</v>
      </c>
      <c r="G604">
        <f t="shared" si="58"/>
        <v>0.93370165745856348</v>
      </c>
      <c r="H604">
        <f t="shared" si="59"/>
        <v>0.99624060150375937</v>
      </c>
      <c r="I604">
        <f t="shared" si="60"/>
        <v>2.7520458605075604E-3</v>
      </c>
      <c r="J604">
        <f t="shared" si="61"/>
        <v>0.43946932006633499</v>
      </c>
      <c r="K604">
        <f t="shared" si="62"/>
        <v>0.60989643268124283</v>
      </c>
      <c r="L604">
        <f>A604*COUNTIF(data!E:E,$J$2)/data!$M$2</f>
        <v>255.41082802547771</v>
      </c>
      <c r="M604" s="1">
        <f>A604/data!$M$2</f>
        <v>0.96019108280254772</v>
      </c>
      <c r="N604">
        <f t="shared" si="63"/>
        <v>1.0375441090287909</v>
      </c>
    </row>
    <row r="605" spans="1:14" x14ac:dyDescent="0.2">
      <c r="A605">
        <v>604</v>
      </c>
      <c r="B605">
        <f>LARGE(data!G:G,A605)</f>
        <v>0.1020532909</v>
      </c>
      <c r="C605">
        <f>COUNTIFS(data!E:E,data!$I$2,data!G:G,"&gt;="&amp;B605)</f>
        <v>265</v>
      </c>
      <c r="D605">
        <f>COUNTIFS(data!E:E,data!$J$2,data!G:G,"&gt;="&amp;B605)</f>
        <v>339</v>
      </c>
      <c r="E605">
        <f>COUNTIFS(data!E:E,data!$J$2,data!G:G,"&lt;"&amp;B605)</f>
        <v>23</v>
      </c>
      <c r="F605">
        <f>COUNTIFS(data!E:E,data!$I$2,data!G:G,"&lt;"&amp;B605)</f>
        <v>1</v>
      </c>
      <c r="G605">
        <f t="shared" si="58"/>
        <v>0.93646408839779005</v>
      </c>
      <c r="H605">
        <f t="shared" si="59"/>
        <v>0.99624060150375937</v>
      </c>
      <c r="I605">
        <f t="shared" si="60"/>
        <v>2.752045860507671E-3</v>
      </c>
      <c r="J605">
        <f t="shared" si="61"/>
        <v>0.43874172185430466</v>
      </c>
      <c r="K605">
        <f t="shared" si="62"/>
        <v>0.60919540229885061</v>
      </c>
      <c r="L605">
        <f>A605*COUNTIF(data!E:E,$J$2)/data!$M$2</f>
        <v>255.83439490445861</v>
      </c>
      <c r="M605" s="1">
        <f>A605/data!$M$2</f>
        <v>0.96178343949044587</v>
      </c>
      <c r="N605">
        <f t="shared" si="63"/>
        <v>1.0358263207688094</v>
      </c>
    </row>
    <row r="606" spans="1:14" x14ac:dyDescent="0.2">
      <c r="A606">
        <v>605</v>
      </c>
      <c r="B606">
        <f>LARGE(data!G:G,A606)</f>
        <v>0.10205004049999999</v>
      </c>
      <c r="C606">
        <f>COUNTIFS(data!E:E,data!$I$2,data!G:G,"&gt;="&amp;B606)</f>
        <v>265</v>
      </c>
      <c r="D606">
        <f>COUNTIFS(data!E:E,data!$J$2,data!G:G,"&gt;="&amp;B606)</f>
        <v>340</v>
      </c>
      <c r="E606">
        <f>COUNTIFS(data!E:E,data!$J$2,data!G:G,"&lt;"&amp;B606)</f>
        <v>22</v>
      </c>
      <c r="F606">
        <f>COUNTIFS(data!E:E,data!$I$2,data!G:G,"&lt;"&amp;B606)</f>
        <v>1</v>
      </c>
      <c r="G606">
        <f t="shared" si="58"/>
        <v>0.93922651933701662</v>
      </c>
      <c r="H606">
        <f t="shared" si="59"/>
        <v>0.99624060150375937</v>
      </c>
      <c r="I606">
        <f t="shared" si="60"/>
        <v>2.752045860507671E-3</v>
      </c>
      <c r="J606">
        <f t="shared" si="61"/>
        <v>0.43801652892561982</v>
      </c>
      <c r="K606">
        <f t="shared" si="62"/>
        <v>0.60849598163030993</v>
      </c>
      <c r="L606">
        <f>A606*COUNTIF(data!E:E,$J$2)/data!$M$2</f>
        <v>256.2579617834395</v>
      </c>
      <c r="M606" s="1">
        <f>A606/data!$M$2</f>
        <v>0.9633757961783439</v>
      </c>
      <c r="N606">
        <f t="shared" si="63"/>
        <v>1.034114211147704</v>
      </c>
    </row>
    <row r="607" spans="1:14" x14ac:dyDescent="0.2">
      <c r="A607">
        <v>606</v>
      </c>
      <c r="B607">
        <f>LARGE(data!G:G,A607)</f>
        <v>0.100451332</v>
      </c>
      <c r="C607">
        <f>COUNTIFS(data!E:E,data!$I$2,data!G:G,"&gt;="&amp;B607)</f>
        <v>265</v>
      </c>
      <c r="D607">
        <f>COUNTIFS(data!E:E,data!$J$2,data!G:G,"&gt;="&amp;B607)</f>
        <v>341</v>
      </c>
      <c r="E607">
        <f>COUNTIFS(data!E:E,data!$J$2,data!G:G,"&lt;"&amp;B607)</f>
        <v>21</v>
      </c>
      <c r="F607">
        <f>COUNTIFS(data!E:E,data!$I$2,data!G:G,"&lt;"&amp;B607)</f>
        <v>1</v>
      </c>
      <c r="G607">
        <f t="shared" si="58"/>
        <v>0.94198895027624308</v>
      </c>
      <c r="H607">
        <f t="shared" si="59"/>
        <v>0.99624060150375937</v>
      </c>
      <c r="I607">
        <f t="shared" si="60"/>
        <v>2.7520458605075604E-3</v>
      </c>
      <c r="J607">
        <f t="shared" si="61"/>
        <v>0.43729372937293731</v>
      </c>
      <c r="K607">
        <f t="shared" si="62"/>
        <v>0.60779816513761475</v>
      </c>
      <c r="L607">
        <f>A607*COUNTIF(data!E:E,$J$2)/data!$M$2</f>
        <v>256.68152866242036</v>
      </c>
      <c r="M607" s="1">
        <f>A607/data!$M$2</f>
        <v>0.96496815286624205</v>
      </c>
      <c r="N607">
        <f t="shared" si="63"/>
        <v>1.032407752053401</v>
      </c>
    </row>
    <row r="608" spans="1:14" x14ac:dyDescent="0.2">
      <c r="A608">
        <v>607</v>
      </c>
      <c r="B608">
        <f>LARGE(data!G:G,A608)</f>
        <v>0.100047355</v>
      </c>
      <c r="C608">
        <f>COUNTIFS(data!E:E,data!$I$2,data!G:G,"&gt;="&amp;B608)</f>
        <v>265</v>
      </c>
      <c r="D608">
        <f>COUNTIFS(data!E:E,data!$J$2,data!G:G,"&gt;="&amp;B608)</f>
        <v>342</v>
      </c>
      <c r="E608">
        <f>COUNTIFS(data!E:E,data!$J$2,data!G:G,"&lt;"&amp;B608)</f>
        <v>20</v>
      </c>
      <c r="F608">
        <f>COUNTIFS(data!E:E,data!$I$2,data!G:G,"&lt;"&amp;B608)</f>
        <v>1</v>
      </c>
      <c r="G608">
        <f t="shared" si="58"/>
        <v>0.94475138121546964</v>
      </c>
      <c r="H608">
        <f t="shared" si="59"/>
        <v>0.99624060150375937</v>
      </c>
      <c r="I608">
        <f t="shared" si="60"/>
        <v>2.752045860507671E-3</v>
      </c>
      <c r="J608">
        <f t="shared" si="61"/>
        <v>0.43657331136738053</v>
      </c>
      <c r="K608">
        <f t="shared" si="62"/>
        <v>0.60710194730813283</v>
      </c>
      <c r="L608">
        <f>A608*COUNTIF(data!E:E,$J$2)/data!$M$2</f>
        <v>257.10509554140128</v>
      </c>
      <c r="M608" s="1">
        <f>A608/data!$M$2</f>
        <v>0.96656050955414008</v>
      </c>
      <c r="N608">
        <f t="shared" si="63"/>
        <v>1.0307069155590789</v>
      </c>
    </row>
    <row r="609" spans="1:14" x14ac:dyDescent="0.2">
      <c r="A609">
        <v>608</v>
      </c>
      <c r="B609">
        <f>LARGE(data!G:G,A609)</f>
        <v>9.8375525599999999E-2</v>
      </c>
      <c r="C609">
        <f>COUNTIFS(data!E:E,data!$I$2,data!G:G,"&gt;="&amp;B609)</f>
        <v>266</v>
      </c>
      <c r="D609">
        <f>COUNTIFS(data!E:E,data!$J$2,data!G:G,"&gt;="&amp;B609)</f>
        <v>342</v>
      </c>
      <c r="E609">
        <f>COUNTIFS(data!E:E,data!$J$2,data!G:G,"&lt;"&amp;B609)</f>
        <v>20</v>
      </c>
      <c r="F609">
        <f>COUNTIFS(data!E:E,data!$I$2,data!G:G,"&lt;"&amp;B609)</f>
        <v>0</v>
      </c>
      <c r="G609">
        <f t="shared" si="58"/>
        <v>0.94475138121546964</v>
      </c>
      <c r="H609">
        <f t="shared" si="59"/>
        <v>1</v>
      </c>
      <c r="I609">
        <f t="shared" si="60"/>
        <v>0</v>
      </c>
      <c r="J609">
        <f t="shared" si="61"/>
        <v>0.4375</v>
      </c>
      <c r="K609">
        <f t="shared" si="62"/>
        <v>0.60869565217391308</v>
      </c>
      <c r="L609">
        <f>A609*COUNTIF(data!E:E,$J$2)/data!$M$2</f>
        <v>257.52866242038215</v>
      </c>
      <c r="M609" s="1">
        <f>A609/data!$M$2</f>
        <v>0.96815286624203822</v>
      </c>
      <c r="N609">
        <f t="shared" si="63"/>
        <v>1.0328947368421053</v>
      </c>
    </row>
    <row r="610" spans="1:14" x14ac:dyDescent="0.2">
      <c r="A610">
        <v>609</v>
      </c>
      <c r="B610">
        <f>LARGE(data!G:G,A610)</f>
        <v>9.7485189299999997E-2</v>
      </c>
      <c r="C610">
        <f>COUNTIFS(data!E:E,data!$I$2,data!G:G,"&gt;="&amp;B610)</f>
        <v>266</v>
      </c>
      <c r="D610">
        <f>COUNTIFS(data!E:E,data!$J$2,data!G:G,"&gt;="&amp;B610)</f>
        <v>343</v>
      </c>
      <c r="E610">
        <f>COUNTIFS(data!E:E,data!$J$2,data!G:G,"&lt;"&amp;B610)</f>
        <v>19</v>
      </c>
      <c r="F610">
        <f>COUNTIFS(data!E:E,data!$I$2,data!G:G,"&lt;"&amp;B610)</f>
        <v>0</v>
      </c>
      <c r="G610">
        <f t="shared" si="58"/>
        <v>0.9475138121546961</v>
      </c>
      <c r="H610">
        <f t="shared" si="59"/>
        <v>1</v>
      </c>
      <c r="I610">
        <f t="shared" si="60"/>
        <v>2.7624309392264568E-3</v>
      </c>
      <c r="J610">
        <f t="shared" si="61"/>
        <v>0.43678160919540232</v>
      </c>
      <c r="K610">
        <f t="shared" si="62"/>
        <v>0.60799999999999998</v>
      </c>
      <c r="L610">
        <f>A610*COUNTIF(data!E:E,$J$2)/data!$M$2</f>
        <v>257.95222929936307</v>
      </c>
      <c r="M610" s="1">
        <f>A610/data!$M$2</f>
        <v>0.96974522292993626</v>
      </c>
      <c r="N610">
        <f t="shared" si="63"/>
        <v>1.0311986863711</v>
      </c>
    </row>
    <row r="611" spans="1:14" x14ac:dyDescent="0.2">
      <c r="A611">
        <v>610</v>
      </c>
      <c r="B611">
        <f>LARGE(data!G:G,A611)</f>
        <v>9.73878933E-2</v>
      </c>
      <c r="C611">
        <f>COUNTIFS(data!E:E,data!$I$2,data!G:G,"&gt;="&amp;B611)</f>
        <v>266</v>
      </c>
      <c r="D611">
        <f>COUNTIFS(data!E:E,data!$J$2,data!G:G,"&gt;="&amp;B611)</f>
        <v>344</v>
      </c>
      <c r="E611">
        <f>COUNTIFS(data!E:E,data!$J$2,data!G:G,"&lt;"&amp;B611)</f>
        <v>18</v>
      </c>
      <c r="F611">
        <f>COUNTIFS(data!E:E,data!$I$2,data!G:G,"&lt;"&amp;B611)</f>
        <v>0</v>
      </c>
      <c r="G611">
        <f t="shared" si="58"/>
        <v>0.95027624309392267</v>
      </c>
      <c r="H611">
        <f t="shared" si="59"/>
        <v>1</v>
      </c>
      <c r="I611">
        <f t="shared" si="60"/>
        <v>2.7624309392265678E-3</v>
      </c>
      <c r="J611">
        <f t="shared" si="61"/>
        <v>0.43606557377049182</v>
      </c>
      <c r="K611">
        <f t="shared" si="62"/>
        <v>0.60730593607305938</v>
      </c>
      <c r="L611">
        <f>A611*COUNTIF(data!E:E,$J$2)/data!$M$2</f>
        <v>258.37579617834393</v>
      </c>
      <c r="M611" s="1">
        <f>A611/data!$M$2</f>
        <v>0.9713375796178344</v>
      </c>
      <c r="N611">
        <f t="shared" si="63"/>
        <v>1.0295081967213116</v>
      </c>
    </row>
    <row r="612" spans="1:14" x14ac:dyDescent="0.2">
      <c r="A612">
        <v>611</v>
      </c>
      <c r="B612">
        <f>LARGE(data!G:G,A612)</f>
        <v>9.5887144300000005E-2</v>
      </c>
      <c r="C612">
        <f>COUNTIFS(data!E:E,data!$I$2,data!G:G,"&gt;="&amp;B612)</f>
        <v>266</v>
      </c>
      <c r="D612">
        <f>COUNTIFS(data!E:E,data!$J$2,data!G:G,"&gt;="&amp;B612)</f>
        <v>345</v>
      </c>
      <c r="E612">
        <f>COUNTIFS(data!E:E,data!$J$2,data!G:G,"&lt;"&amp;B612)</f>
        <v>17</v>
      </c>
      <c r="F612">
        <f>COUNTIFS(data!E:E,data!$I$2,data!G:G,"&lt;"&amp;B612)</f>
        <v>0</v>
      </c>
      <c r="G612">
        <f t="shared" si="58"/>
        <v>0.95303867403314912</v>
      </c>
      <c r="H612">
        <f t="shared" si="59"/>
        <v>1</v>
      </c>
      <c r="I612">
        <f t="shared" si="60"/>
        <v>2.7624309392264568E-3</v>
      </c>
      <c r="J612">
        <f t="shared" si="61"/>
        <v>0.43535188216039278</v>
      </c>
      <c r="K612">
        <f t="shared" si="62"/>
        <v>0.60661345496009123</v>
      </c>
      <c r="L612">
        <f>A612*COUNTIF(data!E:E,$J$2)/data!$M$2</f>
        <v>258.79936305732485</v>
      </c>
      <c r="M612" s="1">
        <f>A612/data!$M$2</f>
        <v>0.97292993630573243</v>
      </c>
      <c r="N612">
        <f t="shared" si="63"/>
        <v>1.0278232405891981</v>
      </c>
    </row>
    <row r="613" spans="1:14" x14ac:dyDescent="0.2">
      <c r="A613">
        <v>612</v>
      </c>
      <c r="B613">
        <f>LARGE(data!G:G,A613)</f>
        <v>9.5818277600000001E-2</v>
      </c>
      <c r="C613">
        <f>COUNTIFS(data!E:E,data!$I$2,data!G:G,"&gt;="&amp;B613)</f>
        <v>266</v>
      </c>
      <c r="D613">
        <f>COUNTIFS(data!E:E,data!$J$2,data!G:G,"&gt;="&amp;B613)</f>
        <v>346</v>
      </c>
      <c r="E613">
        <f>COUNTIFS(data!E:E,data!$J$2,data!G:G,"&lt;"&amp;B613)</f>
        <v>16</v>
      </c>
      <c r="F613">
        <f>COUNTIFS(data!E:E,data!$I$2,data!G:G,"&lt;"&amp;B613)</f>
        <v>0</v>
      </c>
      <c r="G613">
        <f t="shared" si="58"/>
        <v>0.95580110497237569</v>
      </c>
      <c r="H613">
        <f t="shared" si="59"/>
        <v>1</v>
      </c>
      <c r="I613">
        <f t="shared" si="60"/>
        <v>2.7624309392265678E-3</v>
      </c>
      <c r="J613">
        <f t="shared" si="61"/>
        <v>0.434640522875817</v>
      </c>
      <c r="K613">
        <f t="shared" si="62"/>
        <v>0.60592255125284744</v>
      </c>
      <c r="L613">
        <f>A613*COUNTIF(data!E:E,$J$2)/data!$M$2</f>
        <v>259.22292993630572</v>
      </c>
      <c r="M613" s="1">
        <f>A613/data!$M$2</f>
        <v>0.97452229299363058</v>
      </c>
      <c r="N613">
        <f t="shared" si="63"/>
        <v>1.0261437908496733</v>
      </c>
    </row>
    <row r="614" spans="1:14" x14ac:dyDescent="0.2">
      <c r="A614">
        <v>613</v>
      </c>
      <c r="B614">
        <f>LARGE(data!G:G,A614)</f>
        <v>9.5335569699999997E-2</v>
      </c>
      <c r="C614">
        <f>COUNTIFS(data!E:E,data!$I$2,data!G:G,"&gt;="&amp;B614)</f>
        <v>266</v>
      </c>
      <c r="D614">
        <f>COUNTIFS(data!E:E,data!$J$2,data!G:G,"&gt;="&amp;B614)</f>
        <v>347</v>
      </c>
      <c r="E614">
        <f>COUNTIFS(data!E:E,data!$J$2,data!G:G,"&lt;"&amp;B614)</f>
        <v>15</v>
      </c>
      <c r="F614">
        <f>COUNTIFS(data!E:E,data!$I$2,data!G:G,"&lt;"&amp;B614)</f>
        <v>0</v>
      </c>
      <c r="G614">
        <f t="shared" si="58"/>
        <v>0.95856353591160226</v>
      </c>
      <c r="H614">
        <f t="shared" si="59"/>
        <v>1</v>
      </c>
      <c r="I614">
        <f t="shared" si="60"/>
        <v>2.7624309392265678E-3</v>
      </c>
      <c r="J614">
        <f t="shared" si="61"/>
        <v>0.43393148450244701</v>
      </c>
      <c r="K614">
        <f t="shared" si="62"/>
        <v>0.60523321956769061</v>
      </c>
      <c r="L614">
        <f>A614*COUNTIF(data!E:E,$J$2)/data!$M$2</f>
        <v>259.64649681528664</v>
      </c>
      <c r="M614" s="1">
        <f>A614/data!$M$2</f>
        <v>0.97611464968152861</v>
      </c>
      <c r="N614">
        <f t="shared" si="63"/>
        <v>1.0244698205546492</v>
      </c>
    </row>
    <row r="615" spans="1:14" x14ac:dyDescent="0.2">
      <c r="A615">
        <v>614</v>
      </c>
      <c r="B615">
        <f>LARGE(data!G:G,A615)</f>
        <v>9.5001273900000002E-2</v>
      </c>
      <c r="C615">
        <f>COUNTIFS(data!E:E,data!$I$2,data!G:G,"&gt;="&amp;B615)</f>
        <v>266</v>
      </c>
      <c r="D615">
        <f>COUNTIFS(data!E:E,data!$J$2,data!G:G,"&gt;="&amp;B615)</f>
        <v>348</v>
      </c>
      <c r="E615">
        <f>COUNTIFS(data!E:E,data!$J$2,data!G:G,"&lt;"&amp;B615)</f>
        <v>14</v>
      </c>
      <c r="F615">
        <f>COUNTIFS(data!E:E,data!$I$2,data!G:G,"&lt;"&amp;B615)</f>
        <v>0</v>
      </c>
      <c r="G615">
        <f t="shared" si="58"/>
        <v>0.96132596685082872</v>
      </c>
      <c r="H615">
        <f t="shared" si="59"/>
        <v>1</v>
      </c>
      <c r="I615">
        <f t="shared" si="60"/>
        <v>2.7624309392264568E-3</v>
      </c>
      <c r="J615">
        <f t="shared" si="61"/>
        <v>0.43322475570032576</v>
      </c>
      <c r="K615">
        <f t="shared" si="62"/>
        <v>0.60454545454545461</v>
      </c>
      <c r="L615">
        <f>A615*COUNTIF(data!E:E,$J$2)/data!$M$2</f>
        <v>260.0700636942675</v>
      </c>
      <c r="M615" s="1">
        <f>A615/data!$M$2</f>
        <v>0.97770700636942676</v>
      </c>
      <c r="N615">
        <f t="shared" si="63"/>
        <v>1.0228013029315961</v>
      </c>
    </row>
    <row r="616" spans="1:14" x14ac:dyDescent="0.2">
      <c r="A616">
        <v>615</v>
      </c>
      <c r="B616">
        <f>LARGE(data!G:G,A616)</f>
        <v>9.4920645600000006E-2</v>
      </c>
      <c r="C616">
        <f>COUNTIFS(data!E:E,data!$I$2,data!G:G,"&gt;="&amp;B616)</f>
        <v>266</v>
      </c>
      <c r="D616">
        <f>COUNTIFS(data!E:E,data!$J$2,data!G:G,"&gt;="&amp;B616)</f>
        <v>349</v>
      </c>
      <c r="E616">
        <f>COUNTIFS(data!E:E,data!$J$2,data!G:G,"&lt;"&amp;B616)</f>
        <v>13</v>
      </c>
      <c r="F616">
        <f>COUNTIFS(data!E:E,data!$I$2,data!G:G,"&lt;"&amp;B616)</f>
        <v>0</v>
      </c>
      <c r="G616">
        <f t="shared" si="58"/>
        <v>0.96408839779005528</v>
      </c>
      <c r="H616">
        <f t="shared" si="59"/>
        <v>1</v>
      </c>
      <c r="I616">
        <f t="shared" si="60"/>
        <v>2.7624309392265678E-3</v>
      </c>
      <c r="J616">
        <f t="shared" si="61"/>
        <v>0.43252032520325201</v>
      </c>
      <c r="K616">
        <f t="shared" si="62"/>
        <v>0.60385925085130532</v>
      </c>
      <c r="L616">
        <f>A616*COUNTIF(data!E:E,$J$2)/data!$M$2</f>
        <v>260.49363057324842</v>
      </c>
      <c r="M616" s="1">
        <f>A616/data!$M$2</f>
        <v>0.97929936305732479</v>
      </c>
      <c r="N616">
        <f t="shared" si="63"/>
        <v>1.0211382113821137</v>
      </c>
    </row>
    <row r="617" spans="1:14" x14ac:dyDescent="0.2">
      <c r="A617">
        <v>616</v>
      </c>
      <c r="B617">
        <f>LARGE(data!G:G,A617)</f>
        <v>9.4202579800000005E-2</v>
      </c>
      <c r="C617">
        <f>COUNTIFS(data!E:E,data!$I$2,data!G:G,"&gt;="&amp;B617)</f>
        <v>266</v>
      </c>
      <c r="D617">
        <f>COUNTIFS(data!E:E,data!$J$2,data!G:G,"&gt;="&amp;B617)</f>
        <v>350</v>
      </c>
      <c r="E617">
        <f>COUNTIFS(data!E:E,data!$J$2,data!G:G,"&lt;"&amp;B617)</f>
        <v>12</v>
      </c>
      <c r="F617">
        <f>COUNTIFS(data!E:E,data!$I$2,data!G:G,"&lt;"&amp;B617)</f>
        <v>0</v>
      </c>
      <c r="G617">
        <f t="shared" si="58"/>
        <v>0.96685082872928174</v>
      </c>
      <c r="H617">
        <f t="shared" si="59"/>
        <v>1</v>
      </c>
      <c r="I617">
        <f t="shared" si="60"/>
        <v>2.7624309392264568E-3</v>
      </c>
      <c r="J617">
        <f t="shared" si="61"/>
        <v>0.43181818181818182</v>
      </c>
      <c r="K617">
        <f t="shared" si="62"/>
        <v>0.60317460317460314</v>
      </c>
      <c r="L617">
        <f>A617*COUNTIF(data!E:E,$J$2)/data!$M$2</f>
        <v>260.91719745222929</v>
      </c>
      <c r="M617" s="1">
        <f>A617/data!$M$2</f>
        <v>0.98089171974522293</v>
      </c>
      <c r="N617">
        <f t="shared" si="63"/>
        <v>1.0194805194805194</v>
      </c>
    </row>
    <row r="618" spans="1:14" x14ac:dyDescent="0.2">
      <c r="A618">
        <v>617</v>
      </c>
      <c r="B618">
        <f>LARGE(data!G:G,A618)</f>
        <v>9.2922023699999995E-2</v>
      </c>
      <c r="C618">
        <f>COUNTIFS(data!E:E,data!$I$2,data!G:G,"&gt;="&amp;B618)</f>
        <v>266</v>
      </c>
      <c r="D618">
        <f>COUNTIFS(data!E:E,data!$J$2,data!G:G,"&gt;="&amp;B618)</f>
        <v>351</v>
      </c>
      <c r="E618">
        <f>COUNTIFS(data!E:E,data!$J$2,data!G:G,"&lt;"&amp;B618)</f>
        <v>11</v>
      </c>
      <c r="F618">
        <f>COUNTIFS(data!E:E,data!$I$2,data!G:G,"&lt;"&amp;B618)</f>
        <v>0</v>
      </c>
      <c r="G618">
        <f t="shared" si="58"/>
        <v>0.96961325966850831</v>
      </c>
      <c r="H618">
        <f t="shared" si="59"/>
        <v>1</v>
      </c>
      <c r="I618">
        <f t="shared" si="60"/>
        <v>2.7624309392265678E-3</v>
      </c>
      <c r="J618">
        <f t="shared" si="61"/>
        <v>0.43111831442463533</v>
      </c>
      <c r="K618">
        <f t="shared" si="62"/>
        <v>0.60249150622876557</v>
      </c>
      <c r="L618">
        <f>A618*COUNTIF(data!E:E,$J$2)/data!$M$2</f>
        <v>261.34076433121021</v>
      </c>
      <c r="M618" s="1">
        <f>A618/data!$M$2</f>
        <v>0.98248407643312097</v>
      </c>
      <c r="N618">
        <f t="shared" si="63"/>
        <v>1.0178282009724473</v>
      </c>
    </row>
    <row r="619" spans="1:14" x14ac:dyDescent="0.2">
      <c r="A619">
        <v>618</v>
      </c>
      <c r="B619">
        <f>LARGE(data!G:G,A619)</f>
        <v>9.28852394E-2</v>
      </c>
      <c r="C619">
        <f>COUNTIFS(data!E:E,data!$I$2,data!G:G,"&gt;="&amp;B619)</f>
        <v>266</v>
      </c>
      <c r="D619">
        <f>COUNTIFS(data!E:E,data!$J$2,data!G:G,"&gt;="&amp;B619)</f>
        <v>352</v>
      </c>
      <c r="E619">
        <f>COUNTIFS(data!E:E,data!$J$2,data!G:G,"&lt;"&amp;B619)</f>
        <v>10</v>
      </c>
      <c r="F619">
        <f>COUNTIFS(data!E:E,data!$I$2,data!G:G,"&lt;"&amp;B619)</f>
        <v>0</v>
      </c>
      <c r="G619">
        <f t="shared" si="58"/>
        <v>0.97237569060773477</v>
      </c>
      <c r="H619">
        <f t="shared" si="59"/>
        <v>1</v>
      </c>
      <c r="I619">
        <f t="shared" si="60"/>
        <v>2.7624309392264568E-3</v>
      </c>
      <c r="J619">
        <f t="shared" si="61"/>
        <v>0.43042071197411003</v>
      </c>
      <c r="K619">
        <f t="shared" si="62"/>
        <v>0.60180995475113119</v>
      </c>
      <c r="L619">
        <f>A619*COUNTIF(data!E:E,$J$2)/data!$M$2</f>
        <v>261.76433121019107</v>
      </c>
      <c r="M619" s="1">
        <f>A619/data!$M$2</f>
        <v>0.98407643312101911</v>
      </c>
      <c r="N619">
        <f t="shared" si="63"/>
        <v>1.0161812297734629</v>
      </c>
    </row>
    <row r="620" spans="1:14" x14ac:dyDescent="0.2">
      <c r="A620">
        <v>619</v>
      </c>
      <c r="B620">
        <f>LARGE(data!G:G,A620)</f>
        <v>9.2822218299999995E-2</v>
      </c>
      <c r="C620">
        <f>COUNTIFS(data!E:E,data!$I$2,data!G:G,"&gt;="&amp;B620)</f>
        <v>266</v>
      </c>
      <c r="D620">
        <f>COUNTIFS(data!E:E,data!$J$2,data!G:G,"&gt;="&amp;B620)</f>
        <v>353</v>
      </c>
      <c r="E620">
        <f>COUNTIFS(data!E:E,data!$J$2,data!G:G,"&lt;"&amp;B620)</f>
        <v>9</v>
      </c>
      <c r="F620">
        <f>COUNTIFS(data!E:E,data!$I$2,data!G:G,"&lt;"&amp;B620)</f>
        <v>0</v>
      </c>
      <c r="G620">
        <f t="shared" si="58"/>
        <v>0.97513812154696133</v>
      </c>
      <c r="H620">
        <f t="shared" si="59"/>
        <v>1</v>
      </c>
      <c r="I620">
        <f t="shared" si="60"/>
        <v>2.7624309392265678E-3</v>
      </c>
      <c r="J620">
        <f t="shared" si="61"/>
        <v>0.42972536348949919</v>
      </c>
      <c r="K620">
        <f t="shared" si="62"/>
        <v>0.60112994350282478</v>
      </c>
      <c r="L620">
        <f>A620*COUNTIF(data!E:E,$J$2)/data!$M$2</f>
        <v>262.18789808917199</v>
      </c>
      <c r="M620" s="1">
        <f>A620/data!$M$2</f>
        <v>0.98566878980891715</v>
      </c>
      <c r="N620">
        <f t="shared" si="63"/>
        <v>1.0145395799676897</v>
      </c>
    </row>
    <row r="621" spans="1:14" x14ac:dyDescent="0.2">
      <c r="A621">
        <v>620</v>
      </c>
      <c r="B621">
        <f>LARGE(data!G:G,A621)</f>
        <v>9.1748096700000004E-2</v>
      </c>
      <c r="C621">
        <f>COUNTIFS(data!E:E,data!$I$2,data!G:G,"&gt;="&amp;B621)</f>
        <v>266</v>
      </c>
      <c r="D621">
        <f>COUNTIFS(data!E:E,data!$J$2,data!G:G,"&gt;="&amp;B621)</f>
        <v>354</v>
      </c>
      <c r="E621">
        <f>COUNTIFS(data!E:E,data!$J$2,data!G:G,"&lt;"&amp;B621)</f>
        <v>8</v>
      </c>
      <c r="F621">
        <f>COUNTIFS(data!E:E,data!$I$2,data!G:G,"&lt;"&amp;B621)</f>
        <v>0</v>
      </c>
      <c r="G621">
        <f t="shared" si="58"/>
        <v>0.97790055248618779</v>
      </c>
      <c r="H621">
        <f t="shared" si="59"/>
        <v>1</v>
      </c>
      <c r="I621">
        <f t="shared" si="60"/>
        <v>2.7624309392264568E-3</v>
      </c>
      <c r="J621">
        <f t="shared" si="61"/>
        <v>0.42903225806451611</v>
      </c>
      <c r="K621">
        <f t="shared" si="62"/>
        <v>0.60045146726862308</v>
      </c>
      <c r="L621">
        <f>A621*COUNTIF(data!E:E,$J$2)/data!$M$2</f>
        <v>262.61146496815286</v>
      </c>
      <c r="M621" s="1">
        <f>A621/data!$M$2</f>
        <v>0.98726114649681529</v>
      </c>
      <c r="N621">
        <f t="shared" si="63"/>
        <v>1.0129032258064516</v>
      </c>
    </row>
    <row r="622" spans="1:14" x14ac:dyDescent="0.2">
      <c r="A622">
        <v>621</v>
      </c>
      <c r="B622">
        <f>LARGE(data!G:G,A622)</f>
        <v>9.1669649699999994E-2</v>
      </c>
      <c r="C622">
        <f>COUNTIFS(data!E:E,data!$I$2,data!G:G,"&gt;="&amp;B622)</f>
        <v>266</v>
      </c>
      <c r="D622">
        <f>COUNTIFS(data!E:E,data!$J$2,data!G:G,"&gt;="&amp;B622)</f>
        <v>355</v>
      </c>
      <c r="E622">
        <f>COUNTIFS(data!E:E,data!$J$2,data!G:G,"&lt;"&amp;B622)</f>
        <v>7</v>
      </c>
      <c r="F622">
        <f>COUNTIFS(data!E:E,data!$I$2,data!G:G,"&lt;"&amp;B622)</f>
        <v>0</v>
      </c>
      <c r="G622">
        <f t="shared" si="58"/>
        <v>0.98066298342541436</v>
      </c>
      <c r="H622">
        <f t="shared" si="59"/>
        <v>1</v>
      </c>
      <c r="I622">
        <f t="shared" si="60"/>
        <v>2.7624309392265678E-3</v>
      </c>
      <c r="J622">
        <f t="shared" si="61"/>
        <v>0.42834138486312401</v>
      </c>
      <c r="K622">
        <f t="shared" si="62"/>
        <v>0.5997745208568207</v>
      </c>
      <c r="L622">
        <f>A622*COUNTIF(data!E:E,$J$2)/data!$M$2</f>
        <v>263.03503184713378</v>
      </c>
      <c r="M622" s="1">
        <f>A622/data!$M$2</f>
        <v>0.98885350318471332</v>
      </c>
      <c r="N622">
        <f t="shared" si="63"/>
        <v>1.0112721417069241</v>
      </c>
    </row>
    <row r="623" spans="1:14" x14ac:dyDescent="0.2">
      <c r="A623">
        <v>622</v>
      </c>
      <c r="B623">
        <f>LARGE(data!G:G,A623)</f>
        <v>9.1457831599999997E-2</v>
      </c>
      <c r="C623">
        <f>COUNTIFS(data!E:E,data!$I$2,data!G:G,"&gt;="&amp;B623)</f>
        <v>266</v>
      </c>
      <c r="D623">
        <f>COUNTIFS(data!E:E,data!$J$2,data!G:G,"&gt;="&amp;B623)</f>
        <v>356</v>
      </c>
      <c r="E623">
        <f>COUNTIFS(data!E:E,data!$J$2,data!G:G,"&lt;"&amp;B623)</f>
        <v>6</v>
      </c>
      <c r="F623">
        <f>COUNTIFS(data!E:E,data!$I$2,data!G:G,"&lt;"&amp;B623)</f>
        <v>0</v>
      </c>
      <c r="G623">
        <f t="shared" si="58"/>
        <v>0.98342541436464093</v>
      </c>
      <c r="H623">
        <f t="shared" si="59"/>
        <v>1</v>
      </c>
      <c r="I623">
        <f t="shared" si="60"/>
        <v>2.7624309392265678E-3</v>
      </c>
      <c r="J623">
        <f t="shared" si="61"/>
        <v>0.42765273311897106</v>
      </c>
      <c r="K623">
        <f t="shared" si="62"/>
        <v>0.59909909909909909</v>
      </c>
      <c r="L623">
        <f>A623*COUNTIF(data!E:E,$J$2)/data!$M$2</f>
        <v>263.45859872611464</v>
      </c>
      <c r="M623" s="1">
        <f>A623/data!$M$2</f>
        <v>0.99044585987261147</v>
      </c>
      <c r="N623">
        <f t="shared" si="63"/>
        <v>1.009646302250804</v>
      </c>
    </row>
    <row r="624" spans="1:14" x14ac:dyDescent="0.2">
      <c r="A624">
        <v>623</v>
      </c>
      <c r="B624">
        <f>LARGE(data!G:G,A624)</f>
        <v>9.0329870399999998E-2</v>
      </c>
      <c r="C624">
        <f>COUNTIFS(data!E:E,data!$I$2,data!G:G,"&gt;="&amp;B624)</f>
        <v>266</v>
      </c>
      <c r="D624">
        <f>COUNTIFS(data!E:E,data!$J$2,data!G:G,"&gt;="&amp;B624)</f>
        <v>357</v>
      </c>
      <c r="E624">
        <f>COUNTIFS(data!E:E,data!$J$2,data!G:G,"&lt;"&amp;B624)</f>
        <v>5</v>
      </c>
      <c r="F624">
        <f>COUNTIFS(data!E:E,data!$I$2,data!G:G,"&lt;"&amp;B624)</f>
        <v>0</v>
      </c>
      <c r="G624">
        <f t="shared" si="58"/>
        <v>0.98618784530386738</v>
      </c>
      <c r="H624">
        <f t="shared" si="59"/>
        <v>1</v>
      </c>
      <c r="I624">
        <f t="shared" si="60"/>
        <v>2.7624309392264568E-3</v>
      </c>
      <c r="J624">
        <f t="shared" si="61"/>
        <v>0.42696629213483145</v>
      </c>
      <c r="K624">
        <f t="shared" si="62"/>
        <v>0.59842519685039375</v>
      </c>
      <c r="L624">
        <f>A624*COUNTIF(data!E:E,$J$2)/data!$M$2</f>
        <v>263.88216560509557</v>
      </c>
      <c r="M624" s="1">
        <f>A624/data!$M$2</f>
        <v>0.9920382165605095</v>
      </c>
      <c r="N624">
        <f t="shared" si="63"/>
        <v>1.0080256821829854</v>
      </c>
    </row>
    <row r="625" spans="1:14" x14ac:dyDescent="0.2">
      <c r="A625">
        <v>624</v>
      </c>
      <c r="B625">
        <f>LARGE(data!G:G,A625)</f>
        <v>8.5245205399999996E-2</v>
      </c>
      <c r="C625">
        <f>COUNTIFS(data!E:E,data!$I$2,data!G:G,"&gt;="&amp;B625)</f>
        <v>266</v>
      </c>
      <c r="D625">
        <f>COUNTIFS(data!E:E,data!$J$2,data!G:G,"&gt;="&amp;B625)</f>
        <v>358</v>
      </c>
      <c r="E625">
        <f>COUNTIFS(data!E:E,data!$J$2,data!G:G,"&lt;"&amp;B625)</f>
        <v>4</v>
      </c>
      <c r="F625">
        <f>COUNTIFS(data!E:E,data!$I$2,data!G:G,"&lt;"&amp;B625)</f>
        <v>0</v>
      </c>
      <c r="G625">
        <f t="shared" si="58"/>
        <v>0.98895027624309395</v>
      </c>
      <c r="H625">
        <f t="shared" si="59"/>
        <v>1</v>
      </c>
      <c r="I625">
        <f t="shared" si="60"/>
        <v>2.7624309392265678E-3</v>
      </c>
      <c r="J625">
        <f t="shared" si="61"/>
        <v>0.42628205128205127</v>
      </c>
      <c r="K625">
        <f t="shared" si="62"/>
        <v>0.59775280898876404</v>
      </c>
      <c r="L625">
        <f>A625*COUNTIF(data!E:E,$J$2)/data!$M$2</f>
        <v>264.30573248407643</v>
      </c>
      <c r="M625" s="1">
        <f>A625/data!$M$2</f>
        <v>0.99363057324840764</v>
      </c>
      <c r="N625">
        <f t="shared" si="63"/>
        <v>1.0064102564102564</v>
      </c>
    </row>
    <row r="626" spans="1:14" x14ac:dyDescent="0.2">
      <c r="A626">
        <v>625</v>
      </c>
      <c r="B626">
        <f>LARGE(data!G:G,A626)</f>
        <v>8.1767814199999997E-2</v>
      </c>
      <c r="C626">
        <f>COUNTIFS(data!E:E,data!$I$2,data!G:G,"&gt;="&amp;B626)</f>
        <v>266</v>
      </c>
      <c r="D626">
        <f>COUNTIFS(data!E:E,data!$J$2,data!G:G,"&gt;="&amp;B626)</f>
        <v>359</v>
      </c>
      <c r="E626">
        <f>COUNTIFS(data!E:E,data!$J$2,data!G:G,"&lt;"&amp;B626)</f>
        <v>3</v>
      </c>
      <c r="F626">
        <f>COUNTIFS(data!E:E,data!$I$2,data!G:G,"&lt;"&amp;B626)</f>
        <v>0</v>
      </c>
      <c r="G626">
        <f t="shared" si="58"/>
        <v>0.99171270718232041</v>
      </c>
      <c r="H626">
        <f t="shared" si="59"/>
        <v>1</v>
      </c>
      <c r="I626">
        <f t="shared" si="60"/>
        <v>2.7624309392264568E-3</v>
      </c>
      <c r="J626">
        <f t="shared" si="61"/>
        <v>0.42559999999999998</v>
      </c>
      <c r="K626">
        <f t="shared" si="62"/>
        <v>0.5970819304152637</v>
      </c>
      <c r="L626">
        <f>A626*COUNTIF(data!E:E,$J$2)/data!$M$2</f>
        <v>264.72929936305735</v>
      </c>
      <c r="M626" s="1">
        <f>A626/data!$M$2</f>
        <v>0.99522292993630568</v>
      </c>
      <c r="N626">
        <f t="shared" si="63"/>
        <v>1.0047999999999999</v>
      </c>
    </row>
    <row r="627" spans="1:14" x14ac:dyDescent="0.2">
      <c r="A627">
        <v>626</v>
      </c>
      <c r="B627">
        <f>LARGE(data!G:G,A627)</f>
        <v>7.9986441000000005E-2</v>
      </c>
      <c r="C627">
        <f>COUNTIFS(data!E:E,data!$I$2,data!G:G,"&gt;="&amp;B627)</f>
        <v>266</v>
      </c>
      <c r="D627">
        <f>COUNTIFS(data!E:E,data!$J$2,data!G:G,"&gt;="&amp;B627)</f>
        <v>360</v>
      </c>
      <c r="E627">
        <f>COUNTIFS(data!E:E,data!$J$2,data!G:G,"&lt;"&amp;B627)</f>
        <v>2</v>
      </c>
      <c r="F627">
        <f>COUNTIFS(data!E:E,data!$I$2,data!G:G,"&lt;"&amp;B627)</f>
        <v>0</v>
      </c>
      <c r="G627">
        <f t="shared" si="58"/>
        <v>0.99447513812154698</v>
      </c>
      <c r="H627">
        <f t="shared" si="59"/>
        <v>1</v>
      </c>
      <c r="I627">
        <f t="shared" si="60"/>
        <v>2.7624309392265678E-3</v>
      </c>
      <c r="J627">
        <f t="shared" si="61"/>
        <v>0.42492012779552718</v>
      </c>
      <c r="K627">
        <f t="shared" si="62"/>
        <v>0.5964125560538116</v>
      </c>
      <c r="L627">
        <f>A627*COUNTIF(data!E:E,$J$2)/data!$M$2</f>
        <v>265.15286624203821</v>
      </c>
      <c r="M627" s="1">
        <f>A627/data!$M$2</f>
        <v>0.99681528662420382</v>
      </c>
      <c r="N627">
        <f t="shared" si="63"/>
        <v>1.0031948881789137</v>
      </c>
    </row>
    <row r="628" spans="1:14" x14ac:dyDescent="0.2">
      <c r="A628">
        <v>627</v>
      </c>
      <c r="B628">
        <f>LARGE(data!G:G,A628)</f>
        <v>7.9698010599999994E-2</v>
      </c>
      <c r="C628">
        <f>COUNTIFS(data!E:E,data!$I$2,data!G:G,"&gt;="&amp;B628)</f>
        <v>266</v>
      </c>
      <c r="D628">
        <f>COUNTIFS(data!E:E,data!$J$2,data!G:G,"&gt;="&amp;B628)</f>
        <v>361</v>
      </c>
      <c r="E628">
        <f>COUNTIFS(data!E:E,data!$J$2,data!G:G,"&lt;"&amp;B628)</f>
        <v>1</v>
      </c>
      <c r="F628">
        <f>COUNTIFS(data!E:E,data!$I$2,data!G:G,"&lt;"&amp;B628)</f>
        <v>0</v>
      </c>
      <c r="G628">
        <f t="shared" si="58"/>
        <v>0.99723756906077343</v>
      </c>
      <c r="H628">
        <f t="shared" si="59"/>
        <v>1</v>
      </c>
      <c r="I628">
        <f t="shared" si="60"/>
        <v>2.7624309392264568E-3</v>
      </c>
      <c r="J628">
        <f t="shared" si="61"/>
        <v>0.42424242424242425</v>
      </c>
      <c r="K628">
        <f t="shared" si="62"/>
        <v>0.5957446808510638</v>
      </c>
      <c r="L628">
        <f>A628*COUNTIF(data!E:E,$J$2)/data!$M$2</f>
        <v>265.57643312101914</v>
      </c>
      <c r="M628" s="1">
        <f>A628/data!$M$2</f>
        <v>0.99840764331210186</v>
      </c>
      <c r="N628">
        <f t="shared" si="63"/>
        <v>1.0015948963317383</v>
      </c>
    </row>
    <row r="629" spans="1:14" x14ac:dyDescent="0.2">
      <c r="A629">
        <v>628</v>
      </c>
      <c r="B629">
        <f>LARGE(data!G:G,A629)</f>
        <v>7.7098098700000006E-2</v>
      </c>
      <c r="C629">
        <f>COUNTIFS(data!E:E,data!$I$2,data!G:G,"&gt;="&amp;B629)</f>
        <v>266</v>
      </c>
      <c r="D629">
        <f>COUNTIFS(data!E:E,data!$J$2,data!G:G,"&gt;="&amp;B629)</f>
        <v>362</v>
      </c>
      <c r="E629">
        <f>COUNTIFS(data!E:E,data!$J$2,data!G:G,"&lt;"&amp;B629)</f>
        <v>0</v>
      </c>
      <c r="F629">
        <f>COUNTIFS(data!E:E,data!$I$2,data!G:G,"&lt;"&amp;B629)</f>
        <v>0</v>
      </c>
      <c r="G629">
        <f t="shared" si="58"/>
        <v>1</v>
      </c>
      <c r="H629">
        <f t="shared" si="59"/>
        <v>1</v>
      </c>
      <c r="I629">
        <f t="shared" si="60"/>
        <v>2.7624309392265678E-3</v>
      </c>
      <c r="J629">
        <f t="shared" si="61"/>
        <v>0.42356687898089174</v>
      </c>
      <c r="K629">
        <f t="shared" si="62"/>
        <v>0.59507829977628635</v>
      </c>
      <c r="L629">
        <f>A629*COUNTIF(data!E:E,$J$2)/data!$M$2</f>
        <v>266</v>
      </c>
      <c r="M629" s="1">
        <f>A629/data!$M$2</f>
        <v>1</v>
      </c>
      <c r="N629">
        <f t="shared" si="63"/>
        <v>1</v>
      </c>
    </row>
    <row r="630" spans="1:14" x14ac:dyDescent="0.2">
      <c r="M6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��  
</file>

<file path=customXml/item2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013DAFC2-486D-496A-9CF0-B5ED17877D4C}">
  <ds:schemaRefs>
    <ds:schemaRef ds:uri="http://schemas.microsoft.com/SolverFoundation/"/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72ED9C9A-56ED-407E-B896-D19518816F91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data</vt:lpstr>
      <vt:lpstr>Training</vt:lpstr>
      <vt:lpstr>Validation</vt:lpstr>
      <vt:lpstr>ROC</vt:lpstr>
      <vt:lpstr>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Seref, Onur</dc:creator>
  <cp:lastModifiedBy>AAKASH NIHALANEY - 70112100048</cp:lastModifiedBy>
  <dcterms:created xsi:type="dcterms:W3CDTF">2024-10-29T21:19:50Z</dcterms:created>
  <dcterms:modified xsi:type="dcterms:W3CDTF">2025-05-08T01:14:42Z</dcterms:modified>
</cp:coreProperties>
</file>